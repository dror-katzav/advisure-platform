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12ee81f89fc328/Desktop/PPLI Project/"/>
    </mc:Choice>
  </mc:AlternateContent>
  <xr:revisionPtr revIDLastSave="182" documentId="8_{2D0D7ECC-5D5B-4570-9E0A-6398A55D86C5}" xr6:coauthVersionLast="47" xr6:coauthVersionMax="47" xr10:uidLastSave="{22A5F82F-7950-4A8E-8822-07A343EDAAAE}"/>
  <bookViews>
    <workbookView xWindow="-57720" yWindow="5640" windowWidth="29040" windowHeight="15720" xr2:uid="{59AD4BEE-FB00-4BFA-8F04-2D7CE5AED8E0}"/>
  </bookViews>
  <sheets>
    <sheet name="Page" sheetId="2" r:id="rId1"/>
    <sheet name="Chart Feeder &gt;" sheetId="16" r:id="rId2"/>
    <sheet name="WA PIVOT" sheetId="14" r:id="rId3"/>
    <sheet name="WA" sheetId="18" r:id="rId4"/>
    <sheet name="Rank" sheetId="15" r:id="rId5"/>
    <sheet name="Strategy Feeder &gt;" sheetId="17" r:id="rId6"/>
    <sheet name="Custom" sheetId="4" r:id="rId7"/>
    <sheet name="Trad. Tax." sheetId="9" r:id="rId8"/>
    <sheet name="Trad. PPLI" sheetId="10" r:id="rId9"/>
    <sheet name="Alts. Tax." sheetId="11" r:id="rId10"/>
    <sheet name="Alts. PPLI" sheetId="12" r:id="rId11"/>
  </sheets>
  <definedNames>
    <definedName name="X_Axis">OFFSET(#REF!,0,0,Page!$C$4,1)</definedName>
  </definedNames>
  <calcPr calcId="191029"/>
  <pivotCaches>
    <pivotCache cacheId="120" r:id="rId12"/>
    <pivotCache cacheId="12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A1" i="18"/>
  <c r="K1" i="18" s="1"/>
  <c r="K6" i="18" s="1" a="1"/>
  <c r="A6" i="18" l="1" a="1"/>
  <c r="K6" i="18"/>
  <c r="A6" i="18" l="1"/>
  <c r="Y15" i="2" l="1"/>
  <c r="AB15" i="2" s="1"/>
  <c r="AE15" i="2" s="1"/>
  <c r="AH15" i="2" s="1"/>
  <c r="Y14" i="2"/>
  <c r="AB14" i="2" s="1"/>
  <c r="AE14" i="2" s="1"/>
  <c r="AH14" i="2" s="1"/>
  <c r="Y13" i="2"/>
  <c r="AB13" i="2" s="1"/>
  <c r="AE13" i="2" s="1"/>
  <c r="AH13" i="2" s="1"/>
  <c r="Y12" i="2"/>
  <c r="AB12" i="2" s="1"/>
  <c r="AE12" i="2" s="1"/>
  <c r="AH12" i="2" s="1"/>
  <c r="Y10" i="2"/>
  <c r="AB10" i="2" s="1"/>
  <c r="AE10" i="2" s="1"/>
  <c r="AH10" i="2" s="1"/>
  <c r="Y9" i="2"/>
  <c r="AB9" i="2" s="1"/>
  <c r="AE9" i="2" s="1"/>
  <c r="AH9" i="2" s="1"/>
  <c r="Y8" i="2"/>
  <c r="AB8" i="2" s="1"/>
  <c r="AE8" i="2" s="1"/>
  <c r="AH8" i="2" s="1"/>
  <c r="Y7" i="2"/>
  <c r="AB7" i="2" s="1"/>
  <c r="AE7" i="2" s="1"/>
  <c r="AH7" i="2" s="1"/>
  <c r="AH5" i="2"/>
  <c r="AE5" i="2"/>
  <c r="AB5" i="2"/>
  <c r="Y5" i="2"/>
  <c r="X3" i="12"/>
  <c r="W3" i="12"/>
  <c r="X3" i="11"/>
  <c r="W3" i="11"/>
  <c r="X3" i="10"/>
  <c r="W3" i="10"/>
  <c r="X3" i="9"/>
  <c r="W3" i="9"/>
  <c r="A2" i="15"/>
  <c r="A10" i="15" s="1"/>
  <c r="J15" i="2" l="1"/>
  <c r="M15" i="2" s="1"/>
  <c r="P15" i="2" s="1"/>
  <c r="S15" i="2" s="1"/>
  <c r="J14" i="2"/>
  <c r="M14" i="2" s="1"/>
  <c r="P14" i="2" s="1"/>
  <c r="S14" i="2" s="1"/>
  <c r="J13" i="2"/>
  <c r="M13" i="2" s="1"/>
  <c r="P13" i="2" s="1"/>
  <c r="S13" i="2" s="1"/>
  <c r="J12" i="2"/>
  <c r="M12" i="2" s="1"/>
  <c r="P12" i="2" s="1"/>
  <c r="S12" i="2" s="1"/>
  <c r="J10" i="2"/>
  <c r="M10" i="2" s="1"/>
  <c r="P10" i="2" s="1"/>
  <c r="S10" i="2" s="1"/>
  <c r="J9" i="2"/>
  <c r="M9" i="2" s="1"/>
  <c r="P9" i="2" s="1"/>
  <c r="S9" i="2" s="1"/>
  <c r="J8" i="2"/>
  <c r="M8" i="2" s="1"/>
  <c r="P8" i="2" s="1"/>
  <c r="S8" i="2" s="1"/>
  <c r="J7" i="2"/>
  <c r="M7" i="2" s="1"/>
  <c r="P7" i="2" s="1"/>
  <c r="S7" i="2" s="1"/>
  <c r="S5" i="2"/>
  <c r="P5" i="2"/>
  <c r="M5" i="2"/>
  <c r="J5" i="2"/>
  <c r="T3" i="12"/>
  <c r="S3" i="12"/>
  <c r="R3" i="12"/>
  <c r="Q3" i="12"/>
  <c r="P3" i="12"/>
  <c r="O3" i="12"/>
  <c r="N3" i="12"/>
  <c r="M3" i="12"/>
  <c r="L3" i="12"/>
  <c r="K3" i="12"/>
  <c r="J3" i="12"/>
  <c r="I3" i="12"/>
  <c r="T3" i="11"/>
  <c r="S3" i="11"/>
  <c r="R3" i="11"/>
  <c r="Q3" i="11"/>
  <c r="P3" i="11"/>
  <c r="O3" i="11"/>
  <c r="N3" i="11"/>
  <c r="M3" i="11"/>
  <c r="L3" i="11"/>
  <c r="K3" i="11"/>
  <c r="J3" i="11"/>
  <c r="I3" i="11"/>
  <c r="T3" i="10"/>
  <c r="S3" i="10"/>
  <c r="R3" i="10"/>
  <c r="Q3" i="10"/>
  <c r="P3" i="10"/>
  <c r="O3" i="10"/>
  <c r="N3" i="10"/>
  <c r="M3" i="10"/>
  <c r="L3" i="10"/>
  <c r="K3" i="10"/>
  <c r="J3" i="10"/>
  <c r="I3" i="10"/>
  <c r="T3" i="9"/>
  <c r="S3" i="9"/>
  <c r="R3" i="9"/>
  <c r="Q3" i="9"/>
  <c r="P3" i="9"/>
  <c r="O3" i="9"/>
  <c r="N3" i="9"/>
  <c r="M3" i="9"/>
  <c r="L3" i="9"/>
  <c r="K3" i="9"/>
  <c r="J3" i="9"/>
  <c r="I3" i="9"/>
  <c r="C16" i="12"/>
  <c r="C15" i="12"/>
  <c r="C14" i="12"/>
  <c r="C11" i="12"/>
  <c r="L5" i="12" s="1"/>
  <c r="C9" i="12"/>
  <c r="C8" i="12"/>
  <c r="N4" i="12" s="1"/>
  <c r="C7" i="12"/>
  <c r="D5" i="12"/>
  <c r="C3" i="12"/>
  <c r="C2" i="12"/>
  <c r="C16" i="11"/>
  <c r="C15" i="11"/>
  <c r="C14" i="11"/>
  <c r="C11" i="11"/>
  <c r="P5" i="11" s="1"/>
  <c r="C9" i="11"/>
  <c r="T4" i="11" s="1"/>
  <c r="C8" i="11"/>
  <c r="P4" i="11" s="1"/>
  <c r="C7" i="11"/>
  <c r="L4" i="11" s="1"/>
  <c r="D5" i="11"/>
  <c r="C3" i="11"/>
  <c r="C2" i="11"/>
  <c r="C16" i="10"/>
  <c r="C15" i="10"/>
  <c r="C14" i="10"/>
  <c r="C11" i="10"/>
  <c r="L5" i="10" s="1"/>
  <c r="C9" i="10"/>
  <c r="R4" i="10" s="1"/>
  <c r="C8" i="10"/>
  <c r="P4" i="10" s="1"/>
  <c r="D5" i="10"/>
  <c r="C7" i="10"/>
  <c r="L4" i="10" s="1"/>
  <c r="C3" i="10"/>
  <c r="C2" i="10"/>
  <c r="C16" i="9"/>
  <c r="C15" i="9"/>
  <c r="C14" i="9"/>
  <c r="C11" i="9"/>
  <c r="P5" i="9" s="1"/>
  <c r="C9" i="9"/>
  <c r="S4" i="9" s="1"/>
  <c r="C8" i="9"/>
  <c r="M4" i="9" s="1"/>
  <c r="D5" i="9"/>
  <c r="C7" i="9"/>
  <c r="L4" i="9" s="1"/>
  <c r="C3" i="9"/>
  <c r="C2" i="9"/>
  <c r="C16" i="4"/>
  <c r="C15" i="4"/>
  <c r="C14" i="4"/>
  <c r="C11" i="4"/>
  <c r="T5" i="4" s="1"/>
  <c r="C2" i="4"/>
  <c r="C3" i="4"/>
  <c r="E9" i="4"/>
  <c r="E8" i="4"/>
  <c r="E7" i="4"/>
  <c r="D9" i="4"/>
  <c r="D8" i="4"/>
  <c r="D7" i="4"/>
  <c r="C9" i="4"/>
  <c r="T4" i="4" s="1"/>
  <c r="C8" i="4"/>
  <c r="C7" i="4"/>
  <c r="J5" i="12" l="1"/>
  <c r="N3" i="4"/>
  <c r="Q3" i="4"/>
  <c r="M4" i="11"/>
  <c r="N4" i="11"/>
  <c r="O4" i="11"/>
  <c r="S4" i="11"/>
  <c r="N5" i="4"/>
  <c r="J3" i="4"/>
  <c r="R5" i="12"/>
  <c r="N4" i="9"/>
  <c r="J5" i="9"/>
  <c r="I4" i="9"/>
  <c r="O4" i="9"/>
  <c r="P4" i="9"/>
  <c r="R4" i="9"/>
  <c r="I4" i="11"/>
  <c r="R5" i="9"/>
  <c r="J4" i="11"/>
  <c r="K4" i="11"/>
  <c r="J5" i="4"/>
  <c r="N5" i="9"/>
  <c r="L3" i="4"/>
  <c r="M3" i="4"/>
  <c r="K4" i="4"/>
  <c r="S4" i="10"/>
  <c r="L4" i="12"/>
  <c r="L4" i="4"/>
  <c r="T4" i="10"/>
  <c r="Q4" i="11"/>
  <c r="M4" i="12"/>
  <c r="M4" i="4"/>
  <c r="Q4" i="9"/>
  <c r="R4" i="11"/>
  <c r="K4" i="12"/>
  <c r="T5" i="12"/>
  <c r="P4" i="4"/>
  <c r="T4" i="9"/>
  <c r="L5" i="11"/>
  <c r="K3" i="4"/>
  <c r="J4" i="12"/>
  <c r="N4" i="4"/>
  <c r="Q4" i="4"/>
  <c r="T5" i="11"/>
  <c r="I4" i="12"/>
  <c r="J5" i="10"/>
  <c r="O4" i="4"/>
  <c r="J5" i="11"/>
  <c r="L5" i="4"/>
  <c r="T5" i="9"/>
  <c r="S4" i="4"/>
  <c r="P3" i="4"/>
  <c r="O3" i="4"/>
  <c r="P5" i="12"/>
  <c r="X5" i="12" s="1"/>
  <c r="R3" i="4"/>
  <c r="T3" i="4"/>
  <c r="S3" i="4"/>
  <c r="K4" i="10"/>
  <c r="J4" i="10"/>
  <c r="I4" i="10"/>
  <c r="N5" i="12"/>
  <c r="P4" i="12"/>
  <c r="O4" i="12"/>
  <c r="N5" i="10"/>
  <c r="R5" i="4"/>
  <c r="R4" i="4"/>
  <c r="P5" i="4"/>
  <c r="N4" i="10"/>
  <c r="R5" i="11"/>
  <c r="N5" i="11"/>
  <c r="G10" i="12" a="1"/>
  <c r="S4" i="12"/>
  <c r="T4" i="12"/>
  <c r="R4" i="12"/>
  <c r="Q4" i="12"/>
  <c r="R5" i="10"/>
  <c r="G10" i="4" a="1"/>
  <c r="T5" i="10"/>
  <c r="P5" i="10"/>
  <c r="L5" i="9"/>
  <c r="O4" i="10"/>
  <c r="J4" i="4"/>
  <c r="I4" i="4"/>
  <c r="M4" i="10"/>
  <c r="I3" i="4"/>
  <c r="Q4" i="10"/>
  <c r="J4" i="9"/>
  <c r="K4" i="9"/>
  <c r="G10" i="11" a="1"/>
  <c r="G10" i="10" a="1"/>
  <c r="G10" i="9" a="1"/>
  <c r="D5" i="4"/>
  <c r="X5" i="10" l="1"/>
  <c r="X5" i="9"/>
  <c r="X4" i="12"/>
  <c r="W4" i="12"/>
  <c r="X4" i="9"/>
  <c r="W4" i="9"/>
  <c r="X4" i="11"/>
  <c r="W4" i="11"/>
  <c r="X5" i="11"/>
  <c r="W4" i="10"/>
  <c r="X4" i="10"/>
  <c r="H24" i="4"/>
  <c r="H18" i="4"/>
  <c r="W4" i="4"/>
  <c r="X4" i="4"/>
  <c r="X5" i="4"/>
  <c r="X3" i="4"/>
  <c r="W3" i="4"/>
  <c r="H88" i="4"/>
  <c r="H73" i="4"/>
  <c r="H94" i="4"/>
  <c r="H23" i="4"/>
  <c r="H82" i="4"/>
  <c r="H89" i="4"/>
  <c r="H93" i="4"/>
  <c r="H92" i="4"/>
  <c r="H56" i="4"/>
  <c r="H55" i="4"/>
  <c r="H53" i="4"/>
  <c r="H44" i="4"/>
  <c r="H74" i="4"/>
  <c r="H72" i="4"/>
  <c r="H58" i="4"/>
  <c r="H85" i="4"/>
  <c r="H36" i="4"/>
  <c r="H42" i="4"/>
  <c r="H48" i="4"/>
  <c r="H107" i="4"/>
  <c r="H63" i="4"/>
  <c r="H69" i="4"/>
  <c r="H105" i="4"/>
  <c r="H91" i="4"/>
  <c r="H76" i="4"/>
  <c r="H57" i="4"/>
  <c r="H54" i="4"/>
  <c r="H75" i="4"/>
  <c r="H87" i="4"/>
  <c r="H106" i="4"/>
  <c r="H50" i="4"/>
  <c r="H102" i="4"/>
  <c r="H79" i="4"/>
  <c r="H77" i="4"/>
  <c r="H101" i="4"/>
  <c r="H98" i="4"/>
  <c r="H64" i="4"/>
  <c r="H52" i="4"/>
  <c r="H43" i="4"/>
  <c r="H39" i="4"/>
  <c r="H68" i="4"/>
  <c r="H83" i="4"/>
  <c r="H70" i="4"/>
  <c r="H109" i="4"/>
  <c r="H78" i="4"/>
  <c r="H65" i="4"/>
  <c r="H108" i="4"/>
  <c r="H46" i="4"/>
  <c r="H51" i="4"/>
  <c r="H35" i="4"/>
  <c r="H86" i="4"/>
  <c r="H99" i="4"/>
  <c r="H62" i="4"/>
  <c r="H33" i="4"/>
  <c r="H67" i="4"/>
  <c r="H66" i="4"/>
  <c r="H38" i="4"/>
  <c r="H40" i="4"/>
  <c r="H49" i="4"/>
  <c r="H97" i="4"/>
  <c r="H103" i="4"/>
  <c r="H81" i="4"/>
  <c r="H84" i="4"/>
  <c r="H80" i="4"/>
  <c r="H71" i="4"/>
  <c r="H37" i="4"/>
  <c r="H41" i="4"/>
  <c r="H100" i="4"/>
  <c r="H109" i="12"/>
  <c r="H35" i="12"/>
  <c r="H105" i="12"/>
  <c r="H73" i="12"/>
  <c r="H96" i="12"/>
  <c r="H50" i="12"/>
  <c r="H43" i="12"/>
  <c r="H80" i="12"/>
  <c r="H58" i="12"/>
  <c r="H101" i="12"/>
  <c r="H81" i="12"/>
  <c r="H62" i="12"/>
  <c r="H88" i="12"/>
  <c r="H104" i="12"/>
  <c r="H53" i="12"/>
  <c r="H72" i="12"/>
  <c r="H108" i="12"/>
  <c r="H97" i="12"/>
  <c r="H103" i="12"/>
  <c r="H36" i="12"/>
  <c r="H106" i="12"/>
  <c r="H85" i="12"/>
  <c r="H63" i="12"/>
  <c r="H32" i="12"/>
  <c r="H84" i="12"/>
  <c r="H61" i="12"/>
  <c r="H40" i="12"/>
  <c r="H89" i="12"/>
  <c r="H67" i="12"/>
  <c r="H46" i="12"/>
  <c r="H66" i="12"/>
  <c r="H82" i="12"/>
  <c r="H98" i="12"/>
  <c r="H68" i="12"/>
  <c r="H39" i="12"/>
  <c r="H86" i="12"/>
  <c r="H56" i="12"/>
  <c r="H99" i="12"/>
  <c r="H90" i="12"/>
  <c r="H37" i="12"/>
  <c r="H57" i="12"/>
  <c r="H54" i="12"/>
  <c r="H45" i="12"/>
  <c r="H60" i="12"/>
  <c r="H52" i="12"/>
  <c r="H70" i="12"/>
  <c r="H71" i="12"/>
  <c r="H41" i="12"/>
  <c r="H92" i="12"/>
  <c r="H79" i="12"/>
  <c r="H93" i="12"/>
  <c r="H33" i="12"/>
  <c r="H69" i="12"/>
  <c r="H78" i="12"/>
  <c r="H74" i="12"/>
  <c r="H75" i="12"/>
  <c r="H95" i="4"/>
  <c r="H76" i="12"/>
  <c r="H59" i="4"/>
  <c r="H77" i="12"/>
  <c r="H96" i="4"/>
  <c r="H45" i="4"/>
  <c r="H91" i="12"/>
  <c r="H42" i="12"/>
  <c r="H61" i="4"/>
  <c r="H47" i="4"/>
  <c r="H34" i="12"/>
  <c r="H104" i="4"/>
  <c r="H60" i="4"/>
  <c r="H90" i="4"/>
  <c r="H64" i="12"/>
  <c r="H49" i="12"/>
  <c r="H107" i="12"/>
  <c r="H38" i="12"/>
  <c r="H95" i="12"/>
  <c r="H59" i="12"/>
  <c r="H65" i="12"/>
  <c r="H100" i="12"/>
  <c r="H48" i="12"/>
  <c r="H31" i="12"/>
  <c r="H83" i="12"/>
  <c r="H102" i="12"/>
  <c r="H55" i="12"/>
  <c r="H47" i="12"/>
  <c r="H44" i="12"/>
  <c r="H51" i="12"/>
  <c r="H87" i="12"/>
  <c r="H27" i="12"/>
  <c r="H28" i="12"/>
  <c r="H30" i="12"/>
  <c r="H19" i="12"/>
  <c r="H15" i="12"/>
  <c r="H26" i="12"/>
  <c r="H24" i="12"/>
  <c r="H23" i="12"/>
  <c r="H11" i="12"/>
  <c r="H22" i="4"/>
  <c r="H34" i="4"/>
  <c r="H27" i="4"/>
  <c r="H17" i="12"/>
  <c r="H31" i="4"/>
  <c r="H20" i="4"/>
  <c r="H26" i="4"/>
  <c r="H30" i="4"/>
  <c r="H21" i="4"/>
  <c r="H32" i="4"/>
  <c r="H25" i="4"/>
  <c r="H12" i="4"/>
  <c r="H29" i="4"/>
  <c r="H11" i="4"/>
  <c r="H16" i="4"/>
  <c r="G10" i="4"/>
  <c r="H15" i="4"/>
  <c r="H17" i="4"/>
  <c r="H28" i="4"/>
  <c r="H13" i="4"/>
  <c r="H13" i="12"/>
  <c r="H22" i="12"/>
  <c r="H20" i="12"/>
  <c r="G10" i="12"/>
  <c r="H29" i="12"/>
  <c r="H14" i="4"/>
  <c r="H94" i="12"/>
  <c r="H25" i="12"/>
  <c r="H18" i="12"/>
  <c r="H16" i="12"/>
  <c r="H14" i="12"/>
  <c r="H12" i="12"/>
  <c r="H19" i="4"/>
  <c r="H21" i="12"/>
  <c r="H91" i="9"/>
  <c r="H69" i="9"/>
  <c r="H47" i="9"/>
  <c r="H89" i="9"/>
  <c r="H67" i="9"/>
  <c r="H45" i="9"/>
  <c r="H88" i="9"/>
  <c r="H66" i="9"/>
  <c r="H44" i="9"/>
  <c r="H109" i="9"/>
  <c r="H87" i="9"/>
  <c r="H65" i="9"/>
  <c r="H43" i="9"/>
  <c r="H108" i="9"/>
  <c r="H86" i="9"/>
  <c r="H64" i="9"/>
  <c r="H42" i="9"/>
  <c r="H105" i="9"/>
  <c r="H83" i="9"/>
  <c r="H61" i="9"/>
  <c r="H39" i="9"/>
  <c r="H37" i="9"/>
  <c r="H78" i="9"/>
  <c r="H104" i="9"/>
  <c r="H82" i="9"/>
  <c r="H60" i="9"/>
  <c r="H38" i="9"/>
  <c r="H103" i="9"/>
  <c r="H81" i="9"/>
  <c r="H59" i="9"/>
  <c r="H101" i="9"/>
  <c r="H79" i="9"/>
  <c r="H57" i="9"/>
  <c r="H100" i="9"/>
  <c r="H56" i="9"/>
  <c r="H99" i="9"/>
  <c r="H77" i="9"/>
  <c r="H102" i="9"/>
  <c r="H80" i="9"/>
  <c r="H58" i="9"/>
  <c r="H36" i="9"/>
  <c r="H35" i="9"/>
  <c r="H34" i="9"/>
  <c r="H97" i="9"/>
  <c r="H52" i="9"/>
  <c r="H96" i="9"/>
  <c r="H51" i="9"/>
  <c r="H95" i="9"/>
  <c r="H50" i="9"/>
  <c r="H94" i="9"/>
  <c r="H49" i="9"/>
  <c r="H93" i="9"/>
  <c r="H48" i="9"/>
  <c r="H92" i="9"/>
  <c r="H46" i="9"/>
  <c r="H90" i="9"/>
  <c r="H41" i="9"/>
  <c r="H85" i="9"/>
  <c r="H40" i="9"/>
  <c r="H76" i="9"/>
  <c r="H32" i="9"/>
  <c r="H75" i="9"/>
  <c r="H31" i="9"/>
  <c r="H74" i="9"/>
  <c r="H73" i="9"/>
  <c r="H72" i="9"/>
  <c r="H30" i="9"/>
  <c r="H71" i="9"/>
  <c r="H70" i="9"/>
  <c r="H68" i="9"/>
  <c r="H63" i="9"/>
  <c r="H62" i="9"/>
  <c r="H107" i="9"/>
  <c r="H55" i="9"/>
  <c r="H106" i="9"/>
  <c r="H54" i="9"/>
  <c r="H98" i="9"/>
  <c r="H84" i="9"/>
  <c r="H53" i="9"/>
  <c r="H33" i="9"/>
  <c r="H104" i="10"/>
  <c r="H82" i="10"/>
  <c r="H60" i="10"/>
  <c r="H38" i="10"/>
  <c r="H102" i="10"/>
  <c r="H80" i="10"/>
  <c r="H58" i="10"/>
  <c r="H36" i="10"/>
  <c r="H101" i="10"/>
  <c r="H79" i="10"/>
  <c r="H57" i="10"/>
  <c r="H35" i="10"/>
  <c r="H100" i="10"/>
  <c r="H78" i="10"/>
  <c r="H56" i="10"/>
  <c r="H34" i="10"/>
  <c r="H99" i="10"/>
  <c r="H77" i="10"/>
  <c r="H55" i="10"/>
  <c r="H33" i="10"/>
  <c r="H96" i="10"/>
  <c r="H74" i="10"/>
  <c r="H52" i="10"/>
  <c r="H30" i="10"/>
  <c r="H50" i="10"/>
  <c r="H91" i="10"/>
  <c r="H47" i="10"/>
  <c r="H95" i="10"/>
  <c r="H73" i="10"/>
  <c r="H51" i="10"/>
  <c r="H94" i="10"/>
  <c r="H72" i="10"/>
  <c r="H92" i="10"/>
  <c r="H70" i="10"/>
  <c r="H69" i="10"/>
  <c r="H90" i="10"/>
  <c r="H68" i="10"/>
  <c r="H46" i="10"/>
  <c r="H93" i="10"/>
  <c r="H71" i="10"/>
  <c r="H49" i="10"/>
  <c r="H48" i="10"/>
  <c r="H83" i="10"/>
  <c r="H32" i="10"/>
  <c r="H81" i="10"/>
  <c r="H31" i="10"/>
  <c r="H76" i="10"/>
  <c r="H75" i="10"/>
  <c r="H67" i="10"/>
  <c r="H66" i="10"/>
  <c r="H65" i="10"/>
  <c r="H64" i="10"/>
  <c r="H108" i="10"/>
  <c r="H62" i="10"/>
  <c r="H107" i="10"/>
  <c r="H61" i="10"/>
  <c r="H106" i="10"/>
  <c r="H59" i="10"/>
  <c r="H105" i="10"/>
  <c r="H54" i="10"/>
  <c r="H103" i="10"/>
  <c r="H53" i="10"/>
  <c r="H98" i="10"/>
  <c r="H45" i="10"/>
  <c r="H97" i="10"/>
  <c r="H44" i="10"/>
  <c r="H89" i="10"/>
  <c r="H43" i="10"/>
  <c r="H88" i="10"/>
  <c r="H42" i="10"/>
  <c r="H87" i="10"/>
  <c r="H41" i="10"/>
  <c r="H86" i="10"/>
  <c r="H40" i="10"/>
  <c r="H85" i="10"/>
  <c r="H39" i="10"/>
  <c r="H109" i="10"/>
  <c r="H84" i="10"/>
  <c r="H63" i="10"/>
  <c r="H37" i="10"/>
  <c r="H106" i="11"/>
  <c r="H84" i="11"/>
  <c r="H62" i="11"/>
  <c r="H40" i="11"/>
  <c r="H104" i="11"/>
  <c r="H82" i="11"/>
  <c r="H60" i="11"/>
  <c r="H38" i="11"/>
  <c r="H103" i="11"/>
  <c r="H81" i="11"/>
  <c r="H59" i="11"/>
  <c r="H37" i="11"/>
  <c r="H102" i="11"/>
  <c r="H80" i="11"/>
  <c r="H58" i="11"/>
  <c r="H101" i="11"/>
  <c r="H79" i="11"/>
  <c r="H57" i="11"/>
  <c r="H36" i="11"/>
  <c r="H98" i="11"/>
  <c r="H76" i="11"/>
  <c r="H54" i="11"/>
  <c r="H93" i="11"/>
  <c r="H71" i="11"/>
  <c r="H49" i="11"/>
  <c r="H97" i="11"/>
  <c r="H75" i="11"/>
  <c r="H53" i="11"/>
  <c r="H96" i="11"/>
  <c r="H74" i="11"/>
  <c r="H52" i="11"/>
  <c r="H33" i="11"/>
  <c r="H94" i="11"/>
  <c r="H72" i="11"/>
  <c r="H50" i="11"/>
  <c r="H31" i="11"/>
  <c r="H92" i="11"/>
  <c r="H70" i="11"/>
  <c r="H48" i="11"/>
  <c r="H95" i="11"/>
  <c r="H73" i="11"/>
  <c r="H51" i="11"/>
  <c r="H32" i="11"/>
  <c r="H89" i="11"/>
  <c r="H43" i="11"/>
  <c r="H77" i="11"/>
  <c r="H88" i="11"/>
  <c r="H42" i="11"/>
  <c r="H87" i="11"/>
  <c r="H41" i="11"/>
  <c r="H86" i="11"/>
  <c r="H39" i="11"/>
  <c r="H85" i="11"/>
  <c r="H35" i="11"/>
  <c r="H83" i="11"/>
  <c r="H34" i="11"/>
  <c r="H78" i="11"/>
  <c r="H68" i="11"/>
  <c r="H67" i="11"/>
  <c r="H30" i="11"/>
  <c r="H66" i="11"/>
  <c r="H65" i="11"/>
  <c r="H64" i="11"/>
  <c r="H109" i="11"/>
  <c r="H63" i="11"/>
  <c r="H108" i="11"/>
  <c r="H61" i="11"/>
  <c r="H107" i="11"/>
  <c r="H56" i="11"/>
  <c r="H105" i="11"/>
  <c r="H55" i="11"/>
  <c r="H100" i="11"/>
  <c r="H47" i="11"/>
  <c r="H99" i="11"/>
  <c r="H46" i="11"/>
  <c r="H91" i="11"/>
  <c r="H45" i="11"/>
  <c r="H90" i="11"/>
  <c r="H44" i="11"/>
  <c r="H69" i="11"/>
  <c r="H22" i="11"/>
  <c r="H20" i="11"/>
  <c r="H18" i="11"/>
  <c r="H16" i="11"/>
  <c r="H25" i="11"/>
  <c r="H14" i="11"/>
  <c r="H12" i="11"/>
  <c r="G10" i="11"/>
  <c r="H29" i="11"/>
  <c r="H27" i="11"/>
  <c r="H23" i="11"/>
  <c r="H13" i="11"/>
  <c r="H15" i="11"/>
  <c r="H28" i="11"/>
  <c r="H11" i="11"/>
  <c r="H24" i="11"/>
  <c r="H19" i="11"/>
  <c r="H17" i="11"/>
  <c r="H26" i="11"/>
  <c r="H21" i="11"/>
  <c r="H20" i="10"/>
  <c r="H16" i="10"/>
  <c r="H14" i="10"/>
  <c r="H11" i="10"/>
  <c r="H22" i="10"/>
  <c r="H18" i="10"/>
  <c r="H12" i="10"/>
  <c r="G10" i="10"/>
  <c r="H13" i="10"/>
  <c r="H29" i="10"/>
  <c r="H27" i="10"/>
  <c r="H25" i="10"/>
  <c r="H15" i="10"/>
  <c r="H23" i="10"/>
  <c r="H21" i="10"/>
  <c r="H19" i="10"/>
  <c r="H17" i="10"/>
  <c r="H28" i="10"/>
  <c r="H26" i="10"/>
  <c r="H24" i="10"/>
  <c r="H20" i="9"/>
  <c r="H16" i="9"/>
  <c r="H22" i="9"/>
  <c r="H18" i="9"/>
  <c r="H12" i="9"/>
  <c r="H25" i="9"/>
  <c r="H15" i="9"/>
  <c r="G10" i="9"/>
  <c r="H29" i="9"/>
  <c r="H27" i="9"/>
  <c r="H23" i="9"/>
  <c r="H21" i="9"/>
  <c r="H19" i="9"/>
  <c r="H17" i="9"/>
  <c r="H14" i="9"/>
  <c r="H28" i="9"/>
  <c r="H13" i="9"/>
  <c r="H26" i="9"/>
  <c r="H11" i="9"/>
  <c r="H24" i="9"/>
  <c r="H10" i="12" l="1"/>
  <c r="W10" i="12" s="1"/>
  <c r="W11" i="12" s="1"/>
  <c r="H10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H10" i="11"/>
  <c r="H10" i="10"/>
  <c r="W10" i="10" s="1"/>
  <c r="H10" i="9"/>
  <c r="X10" i="9" s="1"/>
  <c r="M6" i="18" s="1"/>
  <c r="I10" i="12" l="1"/>
  <c r="I11" i="12" s="1"/>
  <c r="T10" i="12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T60" i="12" s="1"/>
  <c r="T61" i="12" s="1"/>
  <c r="T62" i="12" s="1"/>
  <c r="T63" i="12" s="1"/>
  <c r="T64" i="12" s="1"/>
  <c r="T65" i="12" s="1"/>
  <c r="T66" i="12" s="1"/>
  <c r="T67" i="12" s="1"/>
  <c r="T68" i="12" s="1"/>
  <c r="T69" i="12" s="1"/>
  <c r="T70" i="12" s="1"/>
  <c r="T71" i="12" s="1"/>
  <c r="T72" i="12" s="1"/>
  <c r="T73" i="12" s="1"/>
  <c r="T74" i="12" s="1"/>
  <c r="T75" i="12" s="1"/>
  <c r="T76" i="12" s="1"/>
  <c r="T77" i="12" s="1"/>
  <c r="T78" i="12" s="1"/>
  <c r="T79" i="12" s="1"/>
  <c r="T80" i="12" s="1"/>
  <c r="T81" i="12" s="1"/>
  <c r="T82" i="12" s="1"/>
  <c r="T83" i="12" s="1"/>
  <c r="T84" i="12" s="1"/>
  <c r="T85" i="12" s="1"/>
  <c r="T86" i="12" s="1"/>
  <c r="T87" i="12" s="1"/>
  <c r="T88" i="12" s="1"/>
  <c r="T89" i="12" s="1"/>
  <c r="T90" i="12" s="1"/>
  <c r="T91" i="12" s="1"/>
  <c r="T92" i="12" s="1"/>
  <c r="T93" i="12" s="1"/>
  <c r="T94" i="12" s="1"/>
  <c r="T95" i="12" s="1"/>
  <c r="T96" i="12" s="1"/>
  <c r="T97" i="12" s="1"/>
  <c r="T98" i="12" s="1"/>
  <c r="T99" i="12" s="1"/>
  <c r="T100" i="12" s="1"/>
  <c r="T101" i="12" s="1"/>
  <c r="T102" i="12" s="1"/>
  <c r="T103" i="12" s="1"/>
  <c r="T104" i="12" s="1"/>
  <c r="T105" i="12" s="1"/>
  <c r="T106" i="12" s="1"/>
  <c r="T107" i="12" s="1"/>
  <c r="T108" i="12" s="1"/>
  <c r="T109" i="12" s="1"/>
  <c r="Q10" i="12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N10" i="12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N31" i="12" s="1"/>
  <c r="N32" i="12" s="1"/>
  <c r="N33" i="12" s="1"/>
  <c r="N34" i="12" s="1"/>
  <c r="N35" i="12" s="1"/>
  <c r="N36" i="12" s="1"/>
  <c r="N37" i="12" s="1"/>
  <c r="N38" i="12" s="1"/>
  <c r="N39" i="12" s="1"/>
  <c r="N40" i="12" s="1"/>
  <c r="N41" i="12" s="1"/>
  <c r="N42" i="12" s="1"/>
  <c r="N43" i="12" s="1"/>
  <c r="N44" i="12" s="1"/>
  <c r="N45" i="12" s="1"/>
  <c r="N46" i="12" s="1"/>
  <c r="N47" i="12" s="1"/>
  <c r="N48" i="12" s="1"/>
  <c r="N49" i="12" s="1"/>
  <c r="N50" i="12" s="1"/>
  <c r="N51" i="12" s="1"/>
  <c r="N52" i="12" s="1"/>
  <c r="N53" i="12" s="1"/>
  <c r="N54" i="12" s="1"/>
  <c r="N55" i="12" s="1"/>
  <c r="N56" i="12" s="1"/>
  <c r="N57" i="12" s="1"/>
  <c r="N58" i="12" s="1"/>
  <c r="N59" i="12" s="1"/>
  <c r="N60" i="12" s="1"/>
  <c r="N61" i="12" s="1"/>
  <c r="N62" i="12" s="1"/>
  <c r="N63" i="12" s="1"/>
  <c r="N64" i="12" s="1"/>
  <c r="N65" i="12" s="1"/>
  <c r="N66" i="12" s="1"/>
  <c r="N67" i="12" s="1"/>
  <c r="N68" i="12" s="1"/>
  <c r="N69" i="12" s="1"/>
  <c r="N70" i="12" s="1"/>
  <c r="N71" i="12" s="1"/>
  <c r="N72" i="12" s="1"/>
  <c r="N73" i="12" s="1"/>
  <c r="N74" i="12" s="1"/>
  <c r="N75" i="12" s="1"/>
  <c r="N76" i="12" s="1"/>
  <c r="N77" i="12" s="1"/>
  <c r="N78" i="12" s="1"/>
  <c r="N79" i="12" s="1"/>
  <c r="N80" i="12" s="1"/>
  <c r="N81" i="12" s="1"/>
  <c r="N82" i="12" s="1"/>
  <c r="N83" i="12" s="1"/>
  <c r="N84" i="12" s="1"/>
  <c r="N85" i="12" s="1"/>
  <c r="N86" i="12" s="1"/>
  <c r="N87" i="12" s="1"/>
  <c r="N88" i="12" s="1"/>
  <c r="N89" i="12" s="1"/>
  <c r="N90" i="12" s="1"/>
  <c r="N91" i="12" s="1"/>
  <c r="N92" i="12" s="1"/>
  <c r="N93" i="12" s="1"/>
  <c r="N94" i="12" s="1"/>
  <c r="N95" i="12" s="1"/>
  <c r="N96" i="12" s="1"/>
  <c r="N97" i="12" s="1"/>
  <c r="N98" i="12" s="1"/>
  <c r="N99" i="12" s="1"/>
  <c r="N100" i="12" s="1"/>
  <c r="N101" i="12" s="1"/>
  <c r="N102" i="12" s="1"/>
  <c r="N103" i="12" s="1"/>
  <c r="N104" i="12" s="1"/>
  <c r="N105" i="12" s="1"/>
  <c r="N106" i="12" s="1"/>
  <c r="N107" i="12" s="1"/>
  <c r="N108" i="12" s="1"/>
  <c r="N109" i="12" s="1"/>
  <c r="S10" i="12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S59" i="12" s="1"/>
  <c r="S60" i="12" s="1"/>
  <c r="S61" i="12" s="1"/>
  <c r="S62" i="12" s="1"/>
  <c r="S63" i="12" s="1"/>
  <c r="S64" i="12" s="1"/>
  <c r="S65" i="12" s="1"/>
  <c r="S66" i="12" s="1"/>
  <c r="S67" i="12" s="1"/>
  <c r="S68" i="12" s="1"/>
  <c r="S69" i="12" s="1"/>
  <c r="S70" i="12" s="1"/>
  <c r="S71" i="12" s="1"/>
  <c r="S72" i="12" s="1"/>
  <c r="S73" i="12" s="1"/>
  <c r="S74" i="12" s="1"/>
  <c r="S75" i="12" s="1"/>
  <c r="S76" i="12" s="1"/>
  <c r="S77" i="12" s="1"/>
  <c r="S78" i="12" s="1"/>
  <c r="S79" i="12" s="1"/>
  <c r="S80" i="12" s="1"/>
  <c r="S81" i="12" s="1"/>
  <c r="S82" i="12" s="1"/>
  <c r="S83" i="12" s="1"/>
  <c r="S84" i="12" s="1"/>
  <c r="S85" i="12" s="1"/>
  <c r="S86" i="12" s="1"/>
  <c r="S87" i="12" s="1"/>
  <c r="S88" i="12" s="1"/>
  <c r="S89" i="12" s="1"/>
  <c r="S90" i="12" s="1"/>
  <c r="S91" i="12" s="1"/>
  <c r="S92" i="12" s="1"/>
  <c r="S93" i="12" s="1"/>
  <c r="S94" i="12" s="1"/>
  <c r="S95" i="12" s="1"/>
  <c r="S96" i="12" s="1"/>
  <c r="S97" i="12" s="1"/>
  <c r="S98" i="12" s="1"/>
  <c r="S99" i="12" s="1"/>
  <c r="S100" i="12" s="1"/>
  <c r="S101" i="12" s="1"/>
  <c r="S102" i="12" s="1"/>
  <c r="S103" i="12" s="1"/>
  <c r="S104" i="12" s="1"/>
  <c r="S105" i="12" s="1"/>
  <c r="S106" i="12" s="1"/>
  <c r="S107" i="12" s="1"/>
  <c r="S108" i="12" s="1"/>
  <c r="S109" i="12" s="1"/>
  <c r="P10" i="12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P31" i="12" s="1"/>
  <c r="P32" i="12" s="1"/>
  <c r="P33" i="12" s="1"/>
  <c r="P34" i="12" s="1"/>
  <c r="P35" i="12" s="1"/>
  <c r="P36" i="12" s="1"/>
  <c r="P37" i="12" s="1"/>
  <c r="P38" i="12" s="1"/>
  <c r="P39" i="12" s="1"/>
  <c r="P40" i="12" s="1"/>
  <c r="P41" i="12" s="1"/>
  <c r="P42" i="12" s="1"/>
  <c r="P43" i="12" s="1"/>
  <c r="P44" i="12" s="1"/>
  <c r="P45" i="12" s="1"/>
  <c r="P46" i="12" s="1"/>
  <c r="P47" i="12" s="1"/>
  <c r="P48" i="12" s="1"/>
  <c r="P49" i="12" s="1"/>
  <c r="P50" i="12" s="1"/>
  <c r="P51" i="12" s="1"/>
  <c r="P52" i="12" s="1"/>
  <c r="P53" i="12" s="1"/>
  <c r="P54" i="12" s="1"/>
  <c r="P55" i="12" s="1"/>
  <c r="P56" i="12" s="1"/>
  <c r="P57" i="12" s="1"/>
  <c r="P58" i="12" s="1"/>
  <c r="P59" i="12" s="1"/>
  <c r="P60" i="12" s="1"/>
  <c r="P61" i="12" s="1"/>
  <c r="P62" i="12" s="1"/>
  <c r="P63" i="12" s="1"/>
  <c r="P64" i="12" s="1"/>
  <c r="P65" i="12" s="1"/>
  <c r="P66" i="12" s="1"/>
  <c r="P67" i="12" s="1"/>
  <c r="P68" i="12" s="1"/>
  <c r="P69" i="12" s="1"/>
  <c r="P70" i="12" s="1"/>
  <c r="P71" i="12" s="1"/>
  <c r="P72" i="12" s="1"/>
  <c r="P73" i="12" s="1"/>
  <c r="P74" i="12" s="1"/>
  <c r="P75" i="12" s="1"/>
  <c r="P76" i="12" s="1"/>
  <c r="P77" i="12" s="1"/>
  <c r="P78" i="12" s="1"/>
  <c r="P79" i="12" s="1"/>
  <c r="P80" i="12" s="1"/>
  <c r="P81" i="12" s="1"/>
  <c r="P82" i="12" s="1"/>
  <c r="P83" i="12" s="1"/>
  <c r="P84" i="12" s="1"/>
  <c r="P85" i="12" s="1"/>
  <c r="P86" i="12" s="1"/>
  <c r="P87" i="12" s="1"/>
  <c r="P88" i="12" s="1"/>
  <c r="P89" i="12" s="1"/>
  <c r="P90" i="12" s="1"/>
  <c r="P91" i="12" s="1"/>
  <c r="P92" i="12" s="1"/>
  <c r="P93" i="12" s="1"/>
  <c r="P94" i="12" s="1"/>
  <c r="P95" i="12" s="1"/>
  <c r="P96" i="12" s="1"/>
  <c r="P97" i="12" s="1"/>
  <c r="P98" i="12" s="1"/>
  <c r="P99" i="12" s="1"/>
  <c r="P100" i="12" s="1"/>
  <c r="P101" i="12" s="1"/>
  <c r="P102" i="12" s="1"/>
  <c r="P103" i="12" s="1"/>
  <c r="P104" i="12" s="1"/>
  <c r="P105" i="12" s="1"/>
  <c r="P106" i="12" s="1"/>
  <c r="P107" i="12" s="1"/>
  <c r="P108" i="12" s="1"/>
  <c r="P109" i="12" s="1"/>
  <c r="O10" i="12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O31" i="12" s="1"/>
  <c r="O32" i="12" s="1"/>
  <c r="O33" i="12" s="1"/>
  <c r="O34" i="12" s="1"/>
  <c r="O35" i="12" s="1"/>
  <c r="O36" i="12" s="1"/>
  <c r="O37" i="12" s="1"/>
  <c r="O38" i="12" s="1"/>
  <c r="O39" i="12" s="1"/>
  <c r="O40" i="12" s="1"/>
  <c r="R10" i="12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L10" i="12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L84" i="12" s="1"/>
  <c r="L85" i="12" s="1"/>
  <c r="L86" i="12" s="1"/>
  <c r="L87" i="12" s="1"/>
  <c r="L88" i="12" s="1"/>
  <c r="L89" i="12" s="1"/>
  <c r="L90" i="12" s="1"/>
  <c r="L91" i="12" s="1"/>
  <c r="L92" i="12" s="1"/>
  <c r="L93" i="12" s="1"/>
  <c r="L94" i="12" s="1"/>
  <c r="L95" i="12" s="1"/>
  <c r="L96" i="12" s="1"/>
  <c r="L97" i="12" s="1"/>
  <c r="L98" i="12" s="1"/>
  <c r="L99" i="12" s="1"/>
  <c r="L100" i="12" s="1"/>
  <c r="L101" i="12" s="1"/>
  <c r="L102" i="12" s="1"/>
  <c r="L103" i="12" s="1"/>
  <c r="L104" i="12" s="1"/>
  <c r="L105" i="12" s="1"/>
  <c r="L106" i="12" s="1"/>
  <c r="L107" i="12" s="1"/>
  <c r="L108" i="12" s="1"/>
  <c r="L109" i="12" s="1"/>
  <c r="J10" i="12"/>
  <c r="J11" i="12" s="1"/>
  <c r="K10" i="12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08" i="12" s="1"/>
  <c r="K109" i="12" s="1"/>
  <c r="X10" i="12"/>
  <c r="W10" i="9"/>
  <c r="W11" i="10"/>
  <c r="AB10" i="10"/>
  <c r="AH10" i="10" s="1"/>
  <c r="AN10" i="10" s="1"/>
  <c r="AC10" i="9"/>
  <c r="X11" i="9"/>
  <c r="M7" i="18" s="1"/>
  <c r="N10" i="10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X10" i="10"/>
  <c r="N6" i="18" s="1"/>
  <c r="T10" i="11"/>
  <c r="T11" i="11" s="1"/>
  <c r="T12" i="11" s="1"/>
  <c r="T13" i="11" s="1"/>
  <c r="T14" i="11" s="1"/>
  <c r="T15" i="11" s="1"/>
  <c r="T16" i="11" s="1"/>
  <c r="T17" i="11" s="1"/>
  <c r="T18" i="11" s="1"/>
  <c r="T19" i="11" s="1"/>
  <c r="T20" i="11" s="1"/>
  <c r="T21" i="11" s="1"/>
  <c r="T22" i="11" s="1"/>
  <c r="T23" i="11" s="1"/>
  <c r="T24" i="11" s="1"/>
  <c r="T25" i="11" s="1"/>
  <c r="T26" i="11" s="1"/>
  <c r="T27" i="11" s="1"/>
  <c r="T28" i="11" s="1"/>
  <c r="T29" i="11" s="1"/>
  <c r="T30" i="11" s="1"/>
  <c r="T31" i="11" s="1"/>
  <c r="T32" i="11" s="1"/>
  <c r="T33" i="11" s="1"/>
  <c r="T34" i="11" s="1"/>
  <c r="T35" i="11" s="1"/>
  <c r="T36" i="11" s="1"/>
  <c r="T37" i="11" s="1"/>
  <c r="T38" i="11" s="1"/>
  <c r="T39" i="11" s="1"/>
  <c r="T40" i="11" s="1"/>
  <c r="T41" i="11" s="1"/>
  <c r="T42" i="11" s="1"/>
  <c r="T43" i="11" s="1"/>
  <c r="T44" i="11" s="1"/>
  <c r="T45" i="11" s="1"/>
  <c r="T46" i="11" s="1"/>
  <c r="T47" i="11" s="1"/>
  <c r="T48" i="11" s="1"/>
  <c r="T49" i="11" s="1"/>
  <c r="T50" i="11" s="1"/>
  <c r="T51" i="11" s="1"/>
  <c r="T52" i="11" s="1"/>
  <c r="T53" i="11" s="1"/>
  <c r="T54" i="11" s="1"/>
  <c r="T55" i="11" s="1"/>
  <c r="T56" i="11" s="1"/>
  <c r="T57" i="11" s="1"/>
  <c r="T58" i="11" s="1"/>
  <c r="T59" i="11" s="1"/>
  <c r="T60" i="11" s="1"/>
  <c r="T61" i="11" s="1"/>
  <c r="T62" i="11" s="1"/>
  <c r="T63" i="11" s="1"/>
  <c r="T64" i="11" s="1"/>
  <c r="T65" i="11" s="1"/>
  <c r="T66" i="11" s="1"/>
  <c r="T67" i="11" s="1"/>
  <c r="T68" i="11" s="1"/>
  <c r="T69" i="11" s="1"/>
  <c r="T70" i="11" s="1"/>
  <c r="T71" i="11" s="1"/>
  <c r="T72" i="11" s="1"/>
  <c r="T73" i="11" s="1"/>
  <c r="T74" i="11" s="1"/>
  <c r="T75" i="11" s="1"/>
  <c r="T76" i="11" s="1"/>
  <c r="T77" i="11" s="1"/>
  <c r="T78" i="11" s="1"/>
  <c r="T79" i="11" s="1"/>
  <c r="T80" i="11" s="1"/>
  <c r="T81" i="11" s="1"/>
  <c r="T82" i="11" s="1"/>
  <c r="T83" i="11" s="1"/>
  <c r="T84" i="11" s="1"/>
  <c r="T85" i="11" s="1"/>
  <c r="T86" i="11" s="1"/>
  <c r="T87" i="11" s="1"/>
  <c r="T88" i="11" s="1"/>
  <c r="T89" i="11" s="1"/>
  <c r="T90" i="11" s="1"/>
  <c r="T91" i="11" s="1"/>
  <c r="T92" i="11" s="1"/>
  <c r="T93" i="11" s="1"/>
  <c r="T94" i="11" s="1"/>
  <c r="T95" i="11" s="1"/>
  <c r="T96" i="11" s="1"/>
  <c r="T97" i="11" s="1"/>
  <c r="T98" i="11" s="1"/>
  <c r="T99" i="11" s="1"/>
  <c r="T100" i="11" s="1"/>
  <c r="T101" i="11" s="1"/>
  <c r="T102" i="11" s="1"/>
  <c r="T103" i="11" s="1"/>
  <c r="T104" i="11" s="1"/>
  <c r="T105" i="11" s="1"/>
  <c r="T106" i="11" s="1"/>
  <c r="T107" i="11" s="1"/>
  <c r="T108" i="11" s="1"/>
  <c r="T109" i="11" s="1"/>
  <c r="X10" i="11"/>
  <c r="O6" i="18" s="1"/>
  <c r="W10" i="11"/>
  <c r="M10" i="12"/>
  <c r="AB10" i="12"/>
  <c r="AH10" i="12" s="1"/>
  <c r="AN10" i="12" s="1"/>
  <c r="AB11" i="12"/>
  <c r="W12" i="12"/>
  <c r="I10" i="9"/>
  <c r="I11" i="9" s="1"/>
  <c r="W10" i="4"/>
  <c r="X10" i="4"/>
  <c r="L6" i="18" s="1"/>
  <c r="P10" i="4"/>
  <c r="P11" i="4" s="1"/>
  <c r="M10" i="4"/>
  <c r="M11" i="4" s="1"/>
  <c r="Q10" i="4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T10" i="4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S10" i="4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J10" i="4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S10" i="9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S67" i="9" s="1"/>
  <c r="S68" i="9" s="1"/>
  <c r="S69" i="9" s="1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S82" i="9" s="1"/>
  <c r="S83" i="9" s="1"/>
  <c r="S84" i="9" s="1"/>
  <c r="S85" i="9" s="1"/>
  <c r="S86" i="9" s="1"/>
  <c r="S87" i="9" s="1"/>
  <c r="S88" i="9" s="1"/>
  <c r="S89" i="9" s="1"/>
  <c r="S90" i="9" s="1"/>
  <c r="S91" i="9" s="1"/>
  <c r="S92" i="9" s="1"/>
  <c r="S93" i="9" s="1"/>
  <c r="S94" i="9" s="1"/>
  <c r="S95" i="9" s="1"/>
  <c r="S96" i="9" s="1"/>
  <c r="S97" i="9" s="1"/>
  <c r="S98" i="9" s="1"/>
  <c r="S99" i="9" s="1"/>
  <c r="S100" i="9" s="1"/>
  <c r="S101" i="9" s="1"/>
  <c r="S102" i="9" s="1"/>
  <c r="S103" i="9" s="1"/>
  <c r="S104" i="9" s="1"/>
  <c r="S105" i="9" s="1"/>
  <c r="S106" i="9" s="1"/>
  <c r="S107" i="9" s="1"/>
  <c r="S108" i="9" s="1"/>
  <c r="S109" i="9" s="1"/>
  <c r="O10" i="4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I10" i="4"/>
  <c r="K10" i="4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L10" i="10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106" i="10" s="1"/>
  <c r="L107" i="10" s="1"/>
  <c r="L108" i="10" s="1"/>
  <c r="L109" i="10" s="1"/>
  <c r="T10" i="10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T84" i="10" s="1"/>
  <c r="T85" i="10" s="1"/>
  <c r="T86" i="10" s="1"/>
  <c r="T87" i="10" s="1"/>
  <c r="T88" i="10" s="1"/>
  <c r="T89" i="10" s="1"/>
  <c r="T90" i="10" s="1"/>
  <c r="T91" i="10" s="1"/>
  <c r="T92" i="10" s="1"/>
  <c r="T93" i="10" s="1"/>
  <c r="T94" i="10" s="1"/>
  <c r="T95" i="10" s="1"/>
  <c r="T96" i="10" s="1"/>
  <c r="T97" i="10" s="1"/>
  <c r="T98" i="10" s="1"/>
  <c r="T99" i="10" s="1"/>
  <c r="T100" i="10" s="1"/>
  <c r="T101" i="10" s="1"/>
  <c r="T102" i="10" s="1"/>
  <c r="T103" i="10" s="1"/>
  <c r="T104" i="10" s="1"/>
  <c r="T105" i="10" s="1"/>
  <c r="T106" i="10" s="1"/>
  <c r="T107" i="10" s="1"/>
  <c r="T108" i="10" s="1"/>
  <c r="T109" i="10" s="1"/>
  <c r="K10" i="10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N10" i="9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N22" i="9" s="1"/>
  <c r="N23" i="9" s="1"/>
  <c r="N24" i="9" s="1"/>
  <c r="N25" i="9" s="1"/>
  <c r="N26" i="9" s="1"/>
  <c r="N27" i="9" s="1"/>
  <c r="N28" i="9" s="1"/>
  <c r="N29" i="9" s="1"/>
  <c r="N30" i="9" s="1"/>
  <c r="N31" i="9" s="1"/>
  <c r="N32" i="9" s="1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43" i="9" s="1"/>
  <c r="N44" i="9" s="1"/>
  <c r="N45" i="9" s="1"/>
  <c r="N46" i="9" s="1"/>
  <c r="N47" i="9" s="1"/>
  <c r="N48" i="9" s="1"/>
  <c r="N49" i="9" s="1"/>
  <c r="N50" i="9" s="1"/>
  <c r="N51" i="9" s="1"/>
  <c r="N52" i="9" s="1"/>
  <c r="N53" i="9" s="1"/>
  <c r="N54" i="9" s="1"/>
  <c r="N55" i="9" s="1"/>
  <c r="N56" i="9" s="1"/>
  <c r="N57" i="9" s="1"/>
  <c r="N58" i="9" s="1"/>
  <c r="N59" i="9" s="1"/>
  <c r="N60" i="9" s="1"/>
  <c r="N61" i="9" s="1"/>
  <c r="N62" i="9" s="1"/>
  <c r="N63" i="9" s="1"/>
  <c r="N64" i="9" s="1"/>
  <c r="N65" i="9" s="1"/>
  <c r="N66" i="9" s="1"/>
  <c r="N67" i="9" s="1"/>
  <c r="N68" i="9" s="1"/>
  <c r="N69" i="9" s="1"/>
  <c r="N70" i="9" s="1"/>
  <c r="N71" i="9" s="1"/>
  <c r="N72" i="9" s="1"/>
  <c r="N73" i="9" s="1"/>
  <c r="N74" i="9" s="1"/>
  <c r="N75" i="9" s="1"/>
  <c r="N76" i="9" s="1"/>
  <c r="N77" i="9" s="1"/>
  <c r="N78" i="9" s="1"/>
  <c r="N79" i="9" s="1"/>
  <c r="N80" i="9" s="1"/>
  <c r="N81" i="9" s="1"/>
  <c r="N82" i="9" s="1"/>
  <c r="N83" i="9" s="1"/>
  <c r="N84" i="9" s="1"/>
  <c r="N85" i="9" s="1"/>
  <c r="N86" i="9" s="1"/>
  <c r="N87" i="9" s="1"/>
  <c r="N88" i="9" s="1"/>
  <c r="N89" i="9" s="1"/>
  <c r="N90" i="9" s="1"/>
  <c r="N91" i="9" s="1"/>
  <c r="N92" i="9" s="1"/>
  <c r="N93" i="9" s="1"/>
  <c r="N94" i="9" s="1"/>
  <c r="N95" i="9" s="1"/>
  <c r="N96" i="9" s="1"/>
  <c r="N97" i="9" s="1"/>
  <c r="N98" i="9" s="1"/>
  <c r="N99" i="9" s="1"/>
  <c r="N100" i="9" s="1"/>
  <c r="N101" i="9" s="1"/>
  <c r="N102" i="9" s="1"/>
  <c r="N103" i="9" s="1"/>
  <c r="N104" i="9" s="1"/>
  <c r="N105" i="9" s="1"/>
  <c r="N106" i="9" s="1"/>
  <c r="N107" i="9" s="1"/>
  <c r="N108" i="9" s="1"/>
  <c r="N109" i="9" s="1"/>
  <c r="N10" i="11"/>
  <c r="N11" i="11" s="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N29" i="11" s="1"/>
  <c r="N30" i="11" s="1"/>
  <c r="N31" i="11" s="1"/>
  <c r="N32" i="11" s="1"/>
  <c r="N33" i="11" s="1"/>
  <c r="N34" i="11" s="1"/>
  <c r="N35" i="11" s="1"/>
  <c r="N36" i="11" s="1"/>
  <c r="N37" i="11" s="1"/>
  <c r="N38" i="11" s="1"/>
  <c r="N39" i="11" s="1"/>
  <c r="N40" i="11" s="1"/>
  <c r="N41" i="11" s="1"/>
  <c r="N42" i="11" s="1"/>
  <c r="N43" i="11" s="1"/>
  <c r="N44" i="11" s="1"/>
  <c r="N45" i="11" s="1"/>
  <c r="N46" i="11" s="1"/>
  <c r="N47" i="11" s="1"/>
  <c r="N48" i="11" s="1"/>
  <c r="N49" i="11" s="1"/>
  <c r="N50" i="11" s="1"/>
  <c r="N51" i="11" s="1"/>
  <c r="N52" i="11" s="1"/>
  <c r="N53" i="11" s="1"/>
  <c r="N54" i="11" s="1"/>
  <c r="N55" i="11" s="1"/>
  <c r="N56" i="11" s="1"/>
  <c r="N57" i="11" s="1"/>
  <c r="N58" i="11" s="1"/>
  <c r="N59" i="11" s="1"/>
  <c r="N60" i="11" s="1"/>
  <c r="N61" i="11" s="1"/>
  <c r="N62" i="11" s="1"/>
  <c r="N63" i="11" s="1"/>
  <c r="N64" i="11" s="1"/>
  <c r="N65" i="11" s="1"/>
  <c r="N66" i="11" s="1"/>
  <c r="N67" i="11" s="1"/>
  <c r="N68" i="11" s="1"/>
  <c r="N69" i="11" s="1"/>
  <c r="N70" i="11" s="1"/>
  <c r="N71" i="11" s="1"/>
  <c r="N72" i="11" s="1"/>
  <c r="N73" i="11" s="1"/>
  <c r="N74" i="11" s="1"/>
  <c r="N75" i="11" s="1"/>
  <c r="N76" i="11" s="1"/>
  <c r="N77" i="11" s="1"/>
  <c r="N78" i="11" s="1"/>
  <c r="N79" i="11" s="1"/>
  <c r="N80" i="11" s="1"/>
  <c r="N81" i="11" s="1"/>
  <c r="N82" i="11" s="1"/>
  <c r="N83" i="11" s="1"/>
  <c r="N84" i="11" s="1"/>
  <c r="N85" i="11" s="1"/>
  <c r="N86" i="11" s="1"/>
  <c r="N87" i="11" s="1"/>
  <c r="N88" i="11" s="1"/>
  <c r="N89" i="11" s="1"/>
  <c r="N90" i="11" s="1"/>
  <c r="N91" i="11" s="1"/>
  <c r="N92" i="11" s="1"/>
  <c r="N93" i="11" s="1"/>
  <c r="N94" i="11" s="1"/>
  <c r="N95" i="11" s="1"/>
  <c r="N96" i="11" s="1"/>
  <c r="N97" i="11" s="1"/>
  <c r="N98" i="11" s="1"/>
  <c r="N99" i="11" s="1"/>
  <c r="N100" i="11" s="1"/>
  <c r="N101" i="11" s="1"/>
  <c r="N102" i="11" s="1"/>
  <c r="N103" i="11" s="1"/>
  <c r="N104" i="11" s="1"/>
  <c r="N105" i="11" s="1"/>
  <c r="N106" i="11" s="1"/>
  <c r="N107" i="11" s="1"/>
  <c r="N108" i="11" s="1"/>
  <c r="N109" i="11" s="1"/>
  <c r="T10" i="9"/>
  <c r="T11" i="9" s="1"/>
  <c r="T12" i="9" s="1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T60" i="9" s="1"/>
  <c r="T61" i="9" s="1"/>
  <c r="T62" i="9" s="1"/>
  <c r="T63" i="9" s="1"/>
  <c r="T64" i="9" s="1"/>
  <c r="T65" i="9" s="1"/>
  <c r="T66" i="9" s="1"/>
  <c r="T67" i="9" s="1"/>
  <c r="T68" i="9" s="1"/>
  <c r="T69" i="9" s="1"/>
  <c r="T70" i="9" s="1"/>
  <c r="T71" i="9" s="1"/>
  <c r="T72" i="9" s="1"/>
  <c r="T73" i="9" s="1"/>
  <c r="T74" i="9" s="1"/>
  <c r="T75" i="9" s="1"/>
  <c r="T76" i="9" s="1"/>
  <c r="T77" i="9" s="1"/>
  <c r="T78" i="9" s="1"/>
  <c r="T79" i="9" s="1"/>
  <c r="T80" i="9" s="1"/>
  <c r="T81" i="9" s="1"/>
  <c r="T82" i="9" s="1"/>
  <c r="T83" i="9" s="1"/>
  <c r="T84" i="9" s="1"/>
  <c r="T85" i="9" s="1"/>
  <c r="T86" i="9" s="1"/>
  <c r="T87" i="9" s="1"/>
  <c r="T88" i="9" s="1"/>
  <c r="T89" i="9" s="1"/>
  <c r="T90" i="9" s="1"/>
  <c r="T91" i="9" s="1"/>
  <c r="T92" i="9" s="1"/>
  <c r="T93" i="9" s="1"/>
  <c r="T94" i="9" s="1"/>
  <c r="T95" i="9" s="1"/>
  <c r="T96" i="9" s="1"/>
  <c r="T97" i="9" s="1"/>
  <c r="T98" i="9" s="1"/>
  <c r="T99" i="9" s="1"/>
  <c r="T100" i="9" s="1"/>
  <c r="T101" i="9" s="1"/>
  <c r="T102" i="9" s="1"/>
  <c r="T103" i="9" s="1"/>
  <c r="T104" i="9" s="1"/>
  <c r="T105" i="9" s="1"/>
  <c r="T106" i="9" s="1"/>
  <c r="T107" i="9" s="1"/>
  <c r="T108" i="9" s="1"/>
  <c r="T109" i="9" s="1"/>
  <c r="P10" i="1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91" i="11" s="1"/>
  <c r="P92" i="11" s="1"/>
  <c r="P93" i="11" s="1"/>
  <c r="P94" i="11" s="1"/>
  <c r="P95" i="11" s="1"/>
  <c r="P96" i="11" s="1"/>
  <c r="P97" i="11" s="1"/>
  <c r="P98" i="11" s="1"/>
  <c r="P99" i="11" s="1"/>
  <c r="P100" i="11" s="1"/>
  <c r="P101" i="11" s="1"/>
  <c r="P102" i="11" s="1"/>
  <c r="P103" i="11" s="1"/>
  <c r="P104" i="11" s="1"/>
  <c r="P105" i="11" s="1"/>
  <c r="P106" i="11" s="1"/>
  <c r="P107" i="11" s="1"/>
  <c r="P108" i="11" s="1"/>
  <c r="P109" i="11" s="1"/>
  <c r="P10" i="9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P37" i="9" s="1"/>
  <c r="P38" i="9" s="1"/>
  <c r="P39" i="9" s="1"/>
  <c r="P40" i="9" s="1"/>
  <c r="P41" i="9" s="1"/>
  <c r="P42" i="9" s="1"/>
  <c r="P43" i="9" s="1"/>
  <c r="P44" i="9" s="1"/>
  <c r="P45" i="9" s="1"/>
  <c r="P46" i="9" s="1"/>
  <c r="P47" i="9" s="1"/>
  <c r="P48" i="9" s="1"/>
  <c r="P49" i="9" s="1"/>
  <c r="P50" i="9" s="1"/>
  <c r="P51" i="9" s="1"/>
  <c r="P52" i="9" s="1"/>
  <c r="P53" i="9" s="1"/>
  <c r="P54" i="9" s="1"/>
  <c r="P55" i="9" s="1"/>
  <c r="P56" i="9" s="1"/>
  <c r="P57" i="9" s="1"/>
  <c r="P58" i="9" s="1"/>
  <c r="P59" i="9" s="1"/>
  <c r="P60" i="9" s="1"/>
  <c r="P61" i="9" s="1"/>
  <c r="P62" i="9" s="1"/>
  <c r="P63" i="9" s="1"/>
  <c r="P64" i="9" s="1"/>
  <c r="P65" i="9" s="1"/>
  <c r="P66" i="9" s="1"/>
  <c r="P67" i="9" s="1"/>
  <c r="P68" i="9" s="1"/>
  <c r="P69" i="9" s="1"/>
  <c r="P70" i="9" s="1"/>
  <c r="P71" i="9" s="1"/>
  <c r="P72" i="9" s="1"/>
  <c r="P73" i="9" s="1"/>
  <c r="P74" i="9" s="1"/>
  <c r="P75" i="9" s="1"/>
  <c r="P76" i="9" s="1"/>
  <c r="P77" i="9" s="1"/>
  <c r="P78" i="9" s="1"/>
  <c r="P79" i="9" s="1"/>
  <c r="P80" i="9" s="1"/>
  <c r="P81" i="9" s="1"/>
  <c r="P82" i="9" s="1"/>
  <c r="P83" i="9" s="1"/>
  <c r="P84" i="9" s="1"/>
  <c r="P85" i="9" s="1"/>
  <c r="P86" i="9" s="1"/>
  <c r="P87" i="9" s="1"/>
  <c r="P88" i="9" s="1"/>
  <c r="P89" i="9" s="1"/>
  <c r="P90" i="9" s="1"/>
  <c r="P91" i="9" s="1"/>
  <c r="P92" i="9" s="1"/>
  <c r="P93" i="9" s="1"/>
  <c r="P94" i="9" s="1"/>
  <c r="P95" i="9" s="1"/>
  <c r="P96" i="9" s="1"/>
  <c r="P97" i="9" s="1"/>
  <c r="P98" i="9" s="1"/>
  <c r="P99" i="9" s="1"/>
  <c r="P100" i="9" s="1"/>
  <c r="P101" i="9" s="1"/>
  <c r="P102" i="9" s="1"/>
  <c r="P103" i="9" s="1"/>
  <c r="P104" i="9" s="1"/>
  <c r="P105" i="9" s="1"/>
  <c r="P106" i="9" s="1"/>
  <c r="P107" i="9" s="1"/>
  <c r="P108" i="9" s="1"/>
  <c r="P109" i="9" s="1"/>
  <c r="S10" i="1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S86" i="11" s="1"/>
  <c r="S87" i="11" s="1"/>
  <c r="S88" i="11" s="1"/>
  <c r="S89" i="11" s="1"/>
  <c r="S90" i="11" s="1"/>
  <c r="S91" i="11" s="1"/>
  <c r="S92" i="11" s="1"/>
  <c r="S93" i="11" s="1"/>
  <c r="S94" i="11" s="1"/>
  <c r="S95" i="11" s="1"/>
  <c r="S96" i="11" s="1"/>
  <c r="S97" i="11" s="1"/>
  <c r="S98" i="11" s="1"/>
  <c r="S99" i="11" s="1"/>
  <c r="S100" i="11" s="1"/>
  <c r="S101" i="11" s="1"/>
  <c r="S102" i="11" s="1"/>
  <c r="S103" i="11" s="1"/>
  <c r="S104" i="11" s="1"/>
  <c r="S105" i="11" s="1"/>
  <c r="S106" i="11" s="1"/>
  <c r="S107" i="11" s="1"/>
  <c r="S108" i="11" s="1"/>
  <c r="S109" i="11" s="1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K98" i="9" s="1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K109" i="9" s="1"/>
  <c r="J10" i="10"/>
  <c r="J11" i="10" s="1"/>
  <c r="I12" i="12"/>
  <c r="Q10" i="10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I10" i="11"/>
  <c r="Q10" i="9"/>
  <c r="Q11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25" i="9" s="1"/>
  <c r="Q26" i="9" s="1"/>
  <c r="Q27" i="9" s="1"/>
  <c r="Q28" i="9" s="1"/>
  <c r="Q29" i="9" s="1"/>
  <c r="Q30" i="9" s="1"/>
  <c r="Q31" i="9" s="1"/>
  <c r="Q32" i="9" s="1"/>
  <c r="Q33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0" i="9" s="1"/>
  <c r="Q51" i="9" s="1"/>
  <c r="Q52" i="9" s="1"/>
  <c r="Q53" i="9" s="1"/>
  <c r="Q54" i="9" s="1"/>
  <c r="Q55" i="9" s="1"/>
  <c r="Q56" i="9" s="1"/>
  <c r="Q57" i="9" s="1"/>
  <c r="Q58" i="9" s="1"/>
  <c r="Q59" i="9" s="1"/>
  <c r="Q60" i="9" s="1"/>
  <c r="Q61" i="9" s="1"/>
  <c r="Q62" i="9" s="1"/>
  <c r="Q63" i="9" s="1"/>
  <c r="Q64" i="9" s="1"/>
  <c r="Q65" i="9" s="1"/>
  <c r="Q66" i="9" s="1"/>
  <c r="Q67" i="9" s="1"/>
  <c r="Q68" i="9" s="1"/>
  <c r="Q69" i="9" s="1"/>
  <c r="Q70" i="9" s="1"/>
  <c r="Q71" i="9" s="1"/>
  <c r="Q72" i="9" s="1"/>
  <c r="Q73" i="9" s="1"/>
  <c r="Q74" i="9" s="1"/>
  <c r="Q75" i="9" s="1"/>
  <c r="Q76" i="9" s="1"/>
  <c r="Q77" i="9" s="1"/>
  <c r="Q78" i="9" s="1"/>
  <c r="Q79" i="9" s="1"/>
  <c r="Q80" i="9" s="1"/>
  <c r="Q81" i="9" s="1"/>
  <c r="Q82" i="9" s="1"/>
  <c r="Q83" i="9" s="1"/>
  <c r="Q84" i="9" s="1"/>
  <c r="Q85" i="9" s="1"/>
  <c r="Q86" i="9" s="1"/>
  <c r="Q87" i="9" s="1"/>
  <c r="Q88" i="9" s="1"/>
  <c r="Q89" i="9" s="1"/>
  <c r="Q90" i="9" s="1"/>
  <c r="Q91" i="9" s="1"/>
  <c r="Q92" i="9" s="1"/>
  <c r="Q93" i="9" s="1"/>
  <c r="Q94" i="9" s="1"/>
  <c r="Q95" i="9" s="1"/>
  <c r="Q96" i="9" s="1"/>
  <c r="Q97" i="9" s="1"/>
  <c r="Q98" i="9" s="1"/>
  <c r="Q99" i="9" s="1"/>
  <c r="Q100" i="9" s="1"/>
  <c r="Q101" i="9" s="1"/>
  <c r="Q102" i="9" s="1"/>
  <c r="Q103" i="9" s="1"/>
  <c r="Q104" i="9" s="1"/>
  <c r="Q105" i="9" s="1"/>
  <c r="Q106" i="9" s="1"/>
  <c r="Q107" i="9" s="1"/>
  <c r="Q108" i="9" s="1"/>
  <c r="Q109" i="9" s="1"/>
  <c r="M10" i="10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M88" i="10" s="1"/>
  <c r="M89" i="10" s="1"/>
  <c r="M90" i="10" s="1"/>
  <c r="M91" i="10" s="1"/>
  <c r="M92" i="10" s="1"/>
  <c r="M93" i="10" s="1"/>
  <c r="M94" i="10" s="1"/>
  <c r="M95" i="10" s="1"/>
  <c r="M96" i="10" s="1"/>
  <c r="M97" i="10" s="1"/>
  <c r="M98" i="10" s="1"/>
  <c r="M99" i="10" s="1"/>
  <c r="M100" i="10" s="1"/>
  <c r="M101" i="10" s="1"/>
  <c r="M102" i="10" s="1"/>
  <c r="M103" i="10" s="1"/>
  <c r="M104" i="10" s="1"/>
  <c r="M105" i="10" s="1"/>
  <c r="M106" i="10" s="1"/>
  <c r="M107" i="10" s="1"/>
  <c r="M108" i="10" s="1"/>
  <c r="M109" i="10" s="1"/>
  <c r="O10" i="1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O29" i="11" s="1"/>
  <c r="O30" i="11" s="1"/>
  <c r="O31" i="11" s="1"/>
  <c r="O32" i="11" s="1"/>
  <c r="O33" i="11" s="1"/>
  <c r="O34" i="11" s="1"/>
  <c r="O35" i="11" s="1"/>
  <c r="O36" i="11" s="1"/>
  <c r="O37" i="11" s="1"/>
  <c r="O38" i="11" s="1"/>
  <c r="O39" i="11" s="1"/>
  <c r="O40" i="11" s="1"/>
  <c r="O41" i="11" s="1"/>
  <c r="O42" i="11" s="1"/>
  <c r="O43" i="11" s="1"/>
  <c r="O44" i="11" s="1"/>
  <c r="O45" i="11" s="1"/>
  <c r="O46" i="11" s="1"/>
  <c r="O47" i="11" s="1"/>
  <c r="O48" i="11" s="1"/>
  <c r="O49" i="11" s="1"/>
  <c r="O50" i="11" s="1"/>
  <c r="O51" i="11" s="1"/>
  <c r="O52" i="11" s="1"/>
  <c r="O53" i="11" s="1"/>
  <c r="O54" i="11" s="1"/>
  <c r="O55" i="11" s="1"/>
  <c r="O56" i="11" s="1"/>
  <c r="O57" i="11" s="1"/>
  <c r="O58" i="11" s="1"/>
  <c r="O59" i="11" s="1"/>
  <c r="O60" i="11" s="1"/>
  <c r="O61" i="11" s="1"/>
  <c r="O62" i="11" s="1"/>
  <c r="O63" i="11" s="1"/>
  <c r="O64" i="11" s="1"/>
  <c r="O65" i="11" s="1"/>
  <c r="O66" i="11" s="1"/>
  <c r="O67" i="11" s="1"/>
  <c r="O68" i="11" s="1"/>
  <c r="O69" i="11" s="1"/>
  <c r="O70" i="11" s="1"/>
  <c r="O71" i="11" s="1"/>
  <c r="O72" i="11" s="1"/>
  <c r="O73" i="11" s="1"/>
  <c r="O74" i="11" s="1"/>
  <c r="O75" i="11" s="1"/>
  <c r="O76" i="11" s="1"/>
  <c r="O77" i="11" s="1"/>
  <c r="O78" i="11" s="1"/>
  <c r="O79" i="11" s="1"/>
  <c r="O80" i="11" s="1"/>
  <c r="O81" i="11" s="1"/>
  <c r="O82" i="11" s="1"/>
  <c r="O83" i="11" s="1"/>
  <c r="O84" i="11" s="1"/>
  <c r="O85" i="11" s="1"/>
  <c r="O86" i="11" s="1"/>
  <c r="O87" i="11" s="1"/>
  <c r="O88" i="11" s="1"/>
  <c r="O89" i="11" s="1"/>
  <c r="O90" i="11" s="1"/>
  <c r="O91" i="11" s="1"/>
  <c r="O92" i="11" s="1"/>
  <c r="O93" i="11" s="1"/>
  <c r="O94" i="11" s="1"/>
  <c r="O95" i="11" s="1"/>
  <c r="O96" i="11" s="1"/>
  <c r="O97" i="11" s="1"/>
  <c r="O98" i="11" s="1"/>
  <c r="O99" i="11" s="1"/>
  <c r="O100" i="11" s="1"/>
  <c r="O101" i="11" s="1"/>
  <c r="O102" i="11" s="1"/>
  <c r="O103" i="11" s="1"/>
  <c r="O104" i="11" s="1"/>
  <c r="O105" i="11" s="1"/>
  <c r="O106" i="11" s="1"/>
  <c r="O107" i="11" s="1"/>
  <c r="O108" i="11" s="1"/>
  <c r="O109" i="11" s="1"/>
  <c r="R10" i="1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K10" i="1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J10" i="11"/>
  <c r="J11" i="11" s="1"/>
  <c r="L10" i="9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R10" i="9"/>
  <c r="R11" i="9" s="1"/>
  <c r="R12" i="9" s="1"/>
  <c r="R13" i="9" s="1"/>
  <c r="R14" i="9" s="1"/>
  <c r="R15" i="9" s="1"/>
  <c r="R16" i="9" s="1"/>
  <c r="R17" i="9" s="1"/>
  <c r="R18" i="9" s="1"/>
  <c r="R19" i="9" s="1"/>
  <c r="R20" i="9" s="1"/>
  <c r="R21" i="9" s="1"/>
  <c r="R22" i="9" s="1"/>
  <c r="I10" i="10"/>
  <c r="O10" i="9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O88" i="9" s="1"/>
  <c r="O89" i="9" s="1"/>
  <c r="O90" i="9" s="1"/>
  <c r="O91" i="9" s="1"/>
  <c r="O92" i="9" s="1"/>
  <c r="O93" i="9" s="1"/>
  <c r="O94" i="9" s="1"/>
  <c r="O95" i="9" s="1"/>
  <c r="O96" i="9" s="1"/>
  <c r="O97" i="9" s="1"/>
  <c r="O98" i="9" s="1"/>
  <c r="O99" i="9" s="1"/>
  <c r="O100" i="9" s="1"/>
  <c r="O101" i="9" s="1"/>
  <c r="O102" i="9" s="1"/>
  <c r="O103" i="9" s="1"/>
  <c r="O104" i="9" s="1"/>
  <c r="O105" i="9" s="1"/>
  <c r="O106" i="9" s="1"/>
  <c r="O107" i="9" s="1"/>
  <c r="O108" i="9" s="1"/>
  <c r="O109" i="9" s="1"/>
  <c r="R10" i="10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J10" i="9"/>
  <c r="J11" i="9" s="1"/>
  <c r="Q10" i="11"/>
  <c r="Q11" i="11" s="1"/>
  <c r="Q12" i="11" s="1"/>
  <c r="Q13" i="11" s="1"/>
  <c r="Q14" i="11" s="1"/>
  <c r="Q15" i="11" s="1"/>
  <c r="Q16" i="11" s="1"/>
  <c r="Q17" i="11" s="1"/>
  <c r="Q18" i="11" s="1"/>
  <c r="Q19" i="11" s="1"/>
  <c r="Q20" i="11" s="1"/>
  <c r="Q21" i="11" s="1"/>
  <c r="Q22" i="11" s="1"/>
  <c r="Q23" i="11" s="1"/>
  <c r="Q24" i="11" s="1"/>
  <c r="Q25" i="11" s="1"/>
  <c r="Q26" i="11" s="1"/>
  <c r="Q27" i="11" s="1"/>
  <c r="Q28" i="11" s="1"/>
  <c r="Q29" i="11" s="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Q44" i="11" s="1"/>
  <c r="Q45" i="11" s="1"/>
  <c r="Q46" i="11" s="1"/>
  <c r="Q47" i="11" s="1"/>
  <c r="Q48" i="11" s="1"/>
  <c r="Q49" i="11" s="1"/>
  <c r="Q50" i="11" s="1"/>
  <c r="Q51" i="11" s="1"/>
  <c r="Q52" i="11" s="1"/>
  <c r="Q53" i="11" s="1"/>
  <c r="Q54" i="11" s="1"/>
  <c r="Q55" i="11" s="1"/>
  <c r="Q56" i="11" s="1"/>
  <c r="Q57" i="11" s="1"/>
  <c r="Q58" i="11" s="1"/>
  <c r="Q59" i="11" s="1"/>
  <c r="Q60" i="11" s="1"/>
  <c r="Q61" i="11" s="1"/>
  <c r="Q62" i="11" s="1"/>
  <c r="Q63" i="11" s="1"/>
  <c r="Q64" i="11" s="1"/>
  <c r="Q65" i="11" s="1"/>
  <c r="Q66" i="11" s="1"/>
  <c r="Q67" i="11" s="1"/>
  <c r="Q68" i="11" s="1"/>
  <c r="Q69" i="11" s="1"/>
  <c r="Q70" i="11" s="1"/>
  <c r="Q71" i="11" s="1"/>
  <c r="Q72" i="11" s="1"/>
  <c r="Q73" i="11" s="1"/>
  <c r="Q74" i="11" s="1"/>
  <c r="Q75" i="11" s="1"/>
  <c r="Q76" i="11" s="1"/>
  <c r="Q77" i="11" s="1"/>
  <c r="Q78" i="11" s="1"/>
  <c r="Q79" i="11" s="1"/>
  <c r="Q80" i="11" s="1"/>
  <c r="Q81" i="11" s="1"/>
  <c r="Q82" i="11" s="1"/>
  <c r="Q83" i="11" s="1"/>
  <c r="Q84" i="11" s="1"/>
  <c r="Q85" i="11" s="1"/>
  <c r="Q86" i="11" s="1"/>
  <c r="Q87" i="11" s="1"/>
  <c r="Q88" i="11" s="1"/>
  <c r="Q89" i="11" s="1"/>
  <c r="Q90" i="11" s="1"/>
  <c r="Q91" i="11" s="1"/>
  <c r="Q92" i="11" s="1"/>
  <c r="Q93" i="11" s="1"/>
  <c r="Q94" i="11" s="1"/>
  <c r="Q95" i="11" s="1"/>
  <c r="Q96" i="11" s="1"/>
  <c r="Q97" i="11" s="1"/>
  <c r="Q98" i="11" s="1"/>
  <c r="Q99" i="11" s="1"/>
  <c r="Q100" i="11" s="1"/>
  <c r="Q101" i="11" s="1"/>
  <c r="Q102" i="11" s="1"/>
  <c r="Q103" i="11" s="1"/>
  <c r="Q104" i="11" s="1"/>
  <c r="Q105" i="11" s="1"/>
  <c r="Q106" i="11" s="1"/>
  <c r="Q107" i="11" s="1"/>
  <c r="Q108" i="11" s="1"/>
  <c r="Q109" i="11" s="1"/>
  <c r="O10" i="10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O84" i="10" s="1"/>
  <c r="O85" i="10" s="1"/>
  <c r="O86" i="10" s="1"/>
  <c r="O87" i="10" s="1"/>
  <c r="O88" i="10" s="1"/>
  <c r="O89" i="10" s="1"/>
  <c r="O90" i="10" s="1"/>
  <c r="O91" i="10" s="1"/>
  <c r="O92" i="10" s="1"/>
  <c r="O93" i="10" s="1"/>
  <c r="O94" i="10" s="1"/>
  <c r="O95" i="10" s="1"/>
  <c r="O96" i="10" s="1"/>
  <c r="O97" i="10" s="1"/>
  <c r="O98" i="10" s="1"/>
  <c r="O99" i="10" s="1"/>
  <c r="O100" i="10" s="1"/>
  <c r="O101" i="10" s="1"/>
  <c r="O102" i="10" s="1"/>
  <c r="O103" i="10" s="1"/>
  <c r="O104" i="10" s="1"/>
  <c r="O105" i="10" s="1"/>
  <c r="O106" i="10" s="1"/>
  <c r="O107" i="10" s="1"/>
  <c r="O108" i="10" s="1"/>
  <c r="O109" i="10" s="1"/>
  <c r="L10" i="1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L85" i="11" s="1"/>
  <c r="L86" i="11" s="1"/>
  <c r="L87" i="11" s="1"/>
  <c r="L88" i="11" s="1"/>
  <c r="L89" i="11" s="1"/>
  <c r="L90" i="11" s="1"/>
  <c r="L91" i="11" s="1"/>
  <c r="L92" i="11" s="1"/>
  <c r="L93" i="11" s="1"/>
  <c r="L94" i="11" s="1"/>
  <c r="L95" i="11" s="1"/>
  <c r="L96" i="11" s="1"/>
  <c r="L97" i="11" s="1"/>
  <c r="L98" i="11" s="1"/>
  <c r="L99" i="11" s="1"/>
  <c r="L100" i="11" s="1"/>
  <c r="L101" i="11" s="1"/>
  <c r="L102" i="11" s="1"/>
  <c r="L103" i="11" s="1"/>
  <c r="L104" i="11" s="1"/>
  <c r="L105" i="11" s="1"/>
  <c r="L106" i="11" s="1"/>
  <c r="L107" i="11" s="1"/>
  <c r="L108" i="11" s="1"/>
  <c r="L109" i="11" s="1"/>
  <c r="M10" i="9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M109" i="9" s="1"/>
  <c r="S10" i="10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S84" i="10" s="1"/>
  <c r="S85" i="10" s="1"/>
  <c r="S86" i="10" s="1"/>
  <c r="S87" i="10" s="1"/>
  <c r="S88" i="10" s="1"/>
  <c r="S89" i="10" s="1"/>
  <c r="S90" i="10" s="1"/>
  <c r="S91" i="10" s="1"/>
  <c r="S92" i="10" s="1"/>
  <c r="S93" i="10" s="1"/>
  <c r="S94" i="10" s="1"/>
  <c r="S95" i="10" s="1"/>
  <c r="S96" i="10" s="1"/>
  <c r="S97" i="10" s="1"/>
  <c r="S98" i="10" s="1"/>
  <c r="S99" i="10" s="1"/>
  <c r="S100" i="10" s="1"/>
  <c r="S101" i="10" s="1"/>
  <c r="S102" i="10" s="1"/>
  <c r="S103" i="10" s="1"/>
  <c r="S104" i="10" s="1"/>
  <c r="S105" i="10" s="1"/>
  <c r="S106" i="10" s="1"/>
  <c r="S107" i="10" s="1"/>
  <c r="S108" i="10" s="1"/>
  <c r="S109" i="10" s="1"/>
  <c r="P10" i="10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M10" i="1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M103" i="11" s="1"/>
  <c r="M104" i="11" s="1"/>
  <c r="M105" i="11" s="1"/>
  <c r="M106" i="11" s="1"/>
  <c r="M107" i="11" s="1"/>
  <c r="M108" i="11" s="1"/>
  <c r="M109" i="11" s="1"/>
  <c r="V11" i="12" l="1"/>
  <c r="V10" i="12"/>
  <c r="F6" i="18" s="1"/>
  <c r="X11" i="12"/>
  <c r="P6" i="18"/>
  <c r="F7" i="18"/>
  <c r="AC10" i="12"/>
  <c r="AI10" i="12" s="1"/>
  <c r="V10" i="9"/>
  <c r="W11" i="9"/>
  <c r="AB10" i="9"/>
  <c r="AH10" i="9" s="1"/>
  <c r="AN10" i="9" s="1"/>
  <c r="R23" i="4"/>
  <c r="R24" i="4" s="1"/>
  <c r="V11" i="10"/>
  <c r="D7" i="18" s="1"/>
  <c r="V10" i="11"/>
  <c r="R23" i="9"/>
  <c r="R24" i="9" s="1"/>
  <c r="U11" i="9"/>
  <c r="V11" i="9"/>
  <c r="W11" i="11"/>
  <c r="AB10" i="11"/>
  <c r="AH10" i="11" s="1"/>
  <c r="AN10" i="11" s="1"/>
  <c r="X11" i="10"/>
  <c r="N7" i="18" s="1"/>
  <c r="AC10" i="10"/>
  <c r="U10" i="11"/>
  <c r="Y10" i="11" s="1"/>
  <c r="AE10" i="11" s="1"/>
  <c r="AK10" i="11" s="1"/>
  <c r="M11" i="12"/>
  <c r="U10" i="12"/>
  <c r="Y10" i="12" s="1"/>
  <c r="AE10" i="12" s="1"/>
  <c r="AK10" i="12" s="1"/>
  <c r="R25" i="12"/>
  <c r="R23" i="10"/>
  <c r="R24" i="10" s="1"/>
  <c r="X11" i="11"/>
  <c r="O7" i="18" s="1"/>
  <c r="AC10" i="11"/>
  <c r="U10" i="10"/>
  <c r="Y10" i="10" s="1"/>
  <c r="AE10" i="10" s="1"/>
  <c r="AK10" i="10" s="1"/>
  <c r="V11" i="11"/>
  <c r="V10" i="10"/>
  <c r="R23" i="11"/>
  <c r="R24" i="11" s="1"/>
  <c r="U10" i="9"/>
  <c r="Y10" i="9" s="1"/>
  <c r="AE10" i="9" s="1"/>
  <c r="AK10" i="9" s="1"/>
  <c r="AI10" i="9"/>
  <c r="AC11" i="9"/>
  <c r="X12" i="9"/>
  <c r="M8" i="18" s="1"/>
  <c r="W13" i="12"/>
  <c r="AB12" i="12"/>
  <c r="AH11" i="12"/>
  <c r="AN11" i="12" s="1"/>
  <c r="AB11" i="10"/>
  <c r="AH11" i="10" s="1"/>
  <c r="AN11" i="10" s="1"/>
  <c r="W12" i="10"/>
  <c r="X11" i="4"/>
  <c r="L7" i="18" s="1"/>
  <c r="AC10" i="4"/>
  <c r="AI10" i="4" s="1"/>
  <c r="W11" i="4"/>
  <c r="AB10" i="4"/>
  <c r="AH10" i="4" s="1"/>
  <c r="J11" i="4"/>
  <c r="V11" i="4" s="1"/>
  <c r="B7" i="18" s="1"/>
  <c r="I11" i="4"/>
  <c r="U11" i="4" s="1"/>
  <c r="O41" i="12"/>
  <c r="K42" i="4"/>
  <c r="V10" i="4"/>
  <c r="B6" i="18" s="1"/>
  <c r="U10" i="4"/>
  <c r="Y10" i="4" s="1"/>
  <c r="AE10" i="4" s="1"/>
  <c r="AK10" i="4" s="1"/>
  <c r="I11" i="11"/>
  <c r="U11" i="11" s="1"/>
  <c r="I11" i="10"/>
  <c r="U11" i="10" s="1"/>
  <c r="M12" i="4"/>
  <c r="J12" i="12"/>
  <c r="V12" i="12" s="1"/>
  <c r="J12" i="9"/>
  <c r="V12" i="9" s="1"/>
  <c r="C8" i="18" s="1"/>
  <c r="I13" i="12"/>
  <c r="J12" i="10"/>
  <c r="V12" i="10" s="1"/>
  <c r="J12" i="11"/>
  <c r="V12" i="11" s="1"/>
  <c r="E8" i="18" s="1"/>
  <c r="P12" i="4"/>
  <c r="I12" i="9"/>
  <c r="U12" i="9" s="1"/>
  <c r="Z10" i="12" l="1"/>
  <c r="Z11" i="12"/>
  <c r="AA10" i="12"/>
  <c r="AD10" i="9"/>
  <c r="Y11" i="11"/>
  <c r="AE11" i="11" s="1"/>
  <c r="AK11" i="11" s="1"/>
  <c r="AD10" i="12"/>
  <c r="Y12" i="9"/>
  <c r="Z10" i="10"/>
  <c r="AA10" i="10" s="1"/>
  <c r="D6" i="18"/>
  <c r="Z12" i="12"/>
  <c r="F8" i="18"/>
  <c r="Z10" i="9"/>
  <c r="AF10" i="9" s="1"/>
  <c r="AG10" i="9" s="1"/>
  <c r="C6" i="18"/>
  <c r="Z10" i="11"/>
  <c r="AA10" i="11" s="1"/>
  <c r="E6" i="18"/>
  <c r="Z11" i="11"/>
  <c r="E7" i="18"/>
  <c r="Z12" i="10"/>
  <c r="D8" i="18"/>
  <c r="Z11" i="9"/>
  <c r="C7" i="18"/>
  <c r="AF10" i="12"/>
  <c r="AF11" i="12" s="1"/>
  <c r="AL11" i="12" s="1"/>
  <c r="P7" i="18"/>
  <c r="X12" i="12"/>
  <c r="AC11" i="12"/>
  <c r="Y11" i="10"/>
  <c r="AE11" i="10" s="1"/>
  <c r="AK11" i="10" s="1"/>
  <c r="AH12" i="12"/>
  <c r="AN12" i="12" s="1"/>
  <c r="AB11" i="9"/>
  <c r="AH11" i="9" s="1"/>
  <c r="AN11" i="9" s="1"/>
  <c r="W12" i="9"/>
  <c r="Y11" i="9"/>
  <c r="AE11" i="9" s="1"/>
  <c r="AK11" i="9" s="1"/>
  <c r="AI10" i="11"/>
  <c r="AD10" i="11"/>
  <c r="R25" i="10"/>
  <c r="Z11" i="10"/>
  <c r="AC11" i="10"/>
  <c r="X12" i="10"/>
  <c r="N8" i="18" s="1"/>
  <c r="AB12" i="10"/>
  <c r="AH12" i="10" s="1"/>
  <c r="AN12" i="10" s="1"/>
  <c r="W13" i="10"/>
  <c r="R26" i="12"/>
  <c r="AO10" i="4"/>
  <c r="AJ10" i="4"/>
  <c r="Z12" i="11"/>
  <c r="R25" i="9"/>
  <c r="M12" i="12"/>
  <c r="U11" i="12"/>
  <c r="Y11" i="12" s="1"/>
  <c r="AD10" i="10"/>
  <c r="AI10" i="10"/>
  <c r="Z12" i="9"/>
  <c r="AB13" i="12"/>
  <c r="W14" i="12"/>
  <c r="R25" i="4"/>
  <c r="AO10" i="9"/>
  <c r="AP10" i="9" s="1"/>
  <c r="AJ10" i="9"/>
  <c r="W12" i="11"/>
  <c r="AB11" i="11"/>
  <c r="AH11" i="11" s="1"/>
  <c r="AN11" i="11" s="1"/>
  <c r="AC12" i="9"/>
  <c r="X13" i="9"/>
  <c r="M9" i="18" s="1"/>
  <c r="AN10" i="4"/>
  <c r="R25" i="11"/>
  <c r="X12" i="11"/>
  <c r="O8" i="18" s="1"/>
  <c r="AC11" i="11"/>
  <c r="AI11" i="9"/>
  <c r="AO10" i="12"/>
  <c r="AP10" i="12" s="1"/>
  <c r="AJ10" i="12"/>
  <c r="AD10" i="4"/>
  <c r="W12" i="4"/>
  <c r="AB11" i="4"/>
  <c r="AH11" i="4" s="1"/>
  <c r="X12" i="4"/>
  <c r="L8" i="18" s="1"/>
  <c r="AC11" i="4"/>
  <c r="I12" i="4"/>
  <c r="J12" i="4"/>
  <c r="V12" i="4" s="1"/>
  <c r="B8" i="18" s="1"/>
  <c r="Z10" i="4"/>
  <c r="AF10" i="4" s="1"/>
  <c r="AG10" i="4" s="1"/>
  <c r="O42" i="12"/>
  <c r="K43" i="4"/>
  <c r="Y11" i="4"/>
  <c r="AE11" i="4" s="1"/>
  <c r="AK11" i="4" s="1"/>
  <c r="Z11" i="4"/>
  <c r="J13" i="9"/>
  <c r="V13" i="9" s="1"/>
  <c r="J13" i="12"/>
  <c r="V13" i="12" s="1"/>
  <c r="P13" i="4"/>
  <c r="M13" i="4"/>
  <c r="J13" i="10"/>
  <c r="V13" i="10" s="1"/>
  <c r="I14" i="12"/>
  <c r="I13" i="9"/>
  <c r="U13" i="9" s="1"/>
  <c r="I12" i="10"/>
  <c r="U12" i="10" s="1"/>
  <c r="Y12" i="10" s="1"/>
  <c r="I12" i="11"/>
  <c r="U12" i="11" s="1"/>
  <c r="Y12" i="11" s="1"/>
  <c r="J13" i="11"/>
  <c r="V13" i="11" s="1"/>
  <c r="AA11" i="11" l="1"/>
  <c r="AA10" i="9"/>
  <c r="AA11" i="9"/>
  <c r="AE12" i="11"/>
  <c r="AK12" i="11" s="1"/>
  <c r="AF10" i="10"/>
  <c r="AD11" i="4"/>
  <c r="AA12" i="10"/>
  <c r="AF11" i="9"/>
  <c r="AF12" i="9" s="1"/>
  <c r="AF10" i="11"/>
  <c r="AG10" i="11" s="1"/>
  <c r="AL10" i="9"/>
  <c r="AM10" i="9" s="1"/>
  <c r="Z13" i="9"/>
  <c r="C9" i="18"/>
  <c r="AG10" i="12"/>
  <c r="Z13" i="10"/>
  <c r="D9" i="18"/>
  <c r="AL10" i="12"/>
  <c r="AM10" i="12" s="1"/>
  <c r="Z13" i="12"/>
  <c r="F9" i="18"/>
  <c r="AH13" i="12"/>
  <c r="AN13" i="12" s="1"/>
  <c r="P8" i="18"/>
  <c r="AC12" i="12"/>
  <c r="X13" i="12"/>
  <c r="Z13" i="11"/>
  <c r="E9" i="18"/>
  <c r="AF12" i="12"/>
  <c r="AF13" i="12" s="1"/>
  <c r="AD11" i="12"/>
  <c r="AI11" i="12"/>
  <c r="AE12" i="10"/>
  <c r="AK12" i="10" s="1"/>
  <c r="AE12" i="9"/>
  <c r="AK12" i="9" s="1"/>
  <c r="AB12" i="9"/>
  <c r="AH12" i="9" s="1"/>
  <c r="AN12" i="9" s="1"/>
  <c r="W13" i="9"/>
  <c r="AD11" i="9"/>
  <c r="AN11" i="4"/>
  <c r="R26" i="9"/>
  <c r="X14" i="9"/>
  <c r="M10" i="18" s="1"/>
  <c r="AC13" i="9"/>
  <c r="AC12" i="10"/>
  <c r="X13" i="10"/>
  <c r="N9" i="18" s="1"/>
  <c r="AI12" i="9"/>
  <c r="AA12" i="11"/>
  <c r="AD11" i="10"/>
  <c r="AI11" i="10"/>
  <c r="AL10" i="10"/>
  <c r="AM10" i="10" s="1"/>
  <c r="AG10" i="10"/>
  <c r="AF11" i="10"/>
  <c r="AA11" i="10"/>
  <c r="AO10" i="10"/>
  <c r="AP10" i="10" s="1"/>
  <c r="AJ10" i="10"/>
  <c r="AD11" i="11"/>
  <c r="AI11" i="11"/>
  <c r="R26" i="10"/>
  <c r="AP10" i="4"/>
  <c r="AI11" i="4"/>
  <c r="R26" i="4"/>
  <c r="AO10" i="11"/>
  <c r="AP10" i="11" s="1"/>
  <c r="AJ10" i="11"/>
  <c r="R26" i="11"/>
  <c r="W13" i="11"/>
  <c r="AB12" i="11"/>
  <c r="AH12" i="11" s="1"/>
  <c r="AN12" i="11" s="1"/>
  <c r="Y13" i="9"/>
  <c r="AE11" i="12"/>
  <c r="AA11" i="12"/>
  <c r="M13" i="12"/>
  <c r="U12" i="12"/>
  <c r="Y12" i="12" s="1"/>
  <c r="AO11" i="9"/>
  <c r="AP11" i="9" s="1"/>
  <c r="AJ11" i="9"/>
  <c r="W15" i="12"/>
  <c r="AB14" i="12"/>
  <c r="R27" i="12"/>
  <c r="R28" i="12" s="1"/>
  <c r="W14" i="10"/>
  <c r="AB13" i="10"/>
  <c r="AH13" i="10" s="1"/>
  <c r="AN13" i="10" s="1"/>
  <c r="AC12" i="11"/>
  <c r="X13" i="11"/>
  <c r="O9" i="18" s="1"/>
  <c r="AA12" i="9"/>
  <c r="X13" i="4"/>
  <c r="L9" i="18" s="1"/>
  <c r="AC12" i="4"/>
  <c r="W13" i="4"/>
  <c r="AB12" i="4"/>
  <c r="AH12" i="4" s="1"/>
  <c r="I13" i="4"/>
  <c r="U13" i="4" s="1"/>
  <c r="J13" i="4"/>
  <c r="V13" i="4" s="1"/>
  <c r="B9" i="18" s="1"/>
  <c r="U12" i="4"/>
  <c r="Y12" i="4" s="1"/>
  <c r="AE12" i="4" s="1"/>
  <c r="AK12" i="4" s="1"/>
  <c r="AF11" i="4"/>
  <c r="AL11" i="4" s="1"/>
  <c r="AM11" i="4" s="1"/>
  <c r="AL10" i="4"/>
  <c r="AM10" i="4" s="1"/>
  <c r="AA10" i="4"/>
  <c r="K44" i="4"/>
  <c r="O43" i="12"/>
  <c r="Z12" i="4"/>
  <c r="AA11" i="4"/>
  <c r="M14" i="4"/>
  <c r="I15" i="12"/>
  <c r="I13" i="10"/>
  <c r="U13" i="10" s="1"/>
  <c r="Y13" i="10" s="1"/>
  <c r="J14" i="10"/>
  <c r="V14" i="10" s="1"/>
  <c r="I14" i="9"/>
  <c r="U14" i="9" s="1"/>
  <c r="Y14" i="9" s="1"/>
  <c r="P14" i="4"/>
  <c r="J14" i="12"/>
  <c r="V14" i="12" s="1"/>
  <c r="J14" i="9"/>
  <c r="V14" i="9" s="1"/>
  <c r="J14" i="11"/>
  <c r="V14" i="11" s="1"/>
  <c r="I13" i="11"/>
  <c r="U13" i="11" s="1"/>
  <c r="Y13" i="11" s="1"/>
  <c r="AE13" i="11" s="1"/>
  <c r="AK13" i="11" s="1"/>
  <c r="AF11" i="11" l="1"/>
  <c r="AF12" i="11" s="1"/>
  <c r="AG11" i="9"/>
  <c r="AL11" i="9"/>
  <c r="AM11" i="9" s="1"/>
  <c r="AF13" i="9"/>
  <c r="AL13" i="9" s="1"/>
  <c r="AL10" i="11"/>
  <c r="AM10" i="11" s="1"/>
  <c r="AF13" i="11"/>
  <c r="AE13" i="9"/>
  <c r="AK13" i="9" s="1"/>
  <c r="P9" i="18"/>
  <c r="AC13" i="12"/>
  <c r="X14" i="12"/>
  <c r="AD12" i="12"/>
  <c r="AI12" i="12"/>
  <c r="AO11" i="12"/>
  <c r="AP11" i="12" s="1"/>
  <c r="AJ11" i="12"/>
  <c r="AD12" i="9"/>
  <c r="AL12" i="12"/>
  <c r="Z14" i="9"/>
  <c r="AA14" i="9" s="1"/>
  <c r="C10" i="18"/>
  <c r="Z14" i="11"/>
  <c r="E10" i="18"/>
  <c r="Z14" i="12"/>
  <c r="AF14" i="12" s="1"/>
  <c r="F10" i="18"/>
  <c r="AH14" i="12"/>
  <c r="AN14" i="12" s="1"/>
  <c r="Z14" i="10"/>
  <c r="D10" i="18"/>
  <c r="AE13" i="10"/>
  <c r="AK13" i="10" s="1"/>
  <c r="AA13" i="10"/>
  <c r="AA13" i="9"/>
  <c r="W14" i="9"/>
  <c r="AB13" i="9"/>
  <c r="AH13" i="9" s="1"/>
  <c r="AN13" i="9" s="1"/>
  <c r="AL13" i="11"/>
  <c r="AM13" i="11" s="1"/>
  <c r="AG13" i="11"/>
  <c r="AN12" i="4"/>
  <c r="AJ11" i="10"/>
  <c r="AO11" i="10"/>
  <c r="AP11" i="10" s="1"/>
  <c r="M14" i="12"/>
  <c r="U13" i="12"/>
  <c r="Y13" i="12" s="1"/>
  <c r="R27" i="4"/>
  <c r="R28" i="4" s="1"/>
  <c r="AJ11" i="4"/>
  <c r="AO11" i="4"/>
  <c r="AP11" i="4" s="1"/>
  <c r="AJ12" i="9"/>
  <c r="AO12" i="9"/>
  <c r="AP12" i="9" s="1"/>
  <c r="AL12" i="9"/>
  <c r="AM12" i="9" s="1"/>
  <c r="AG12" i="9"/>
  <c r="AC13" i="10"/>
  <c r="X14" i="10"/>
  <c r="N10" i="18" s="1"/>
  <c r="AI12" i="11"/>
  <c r="AD12" i="11"/>
  <c r="AA13" i="11"/>
  <c r="AI13" i="9"/>
  <c r="R27" i="10"/>
  <c r="R28" i="10" s="1"/>
  <c r="AC14" i="9"/>
  <c r="X15" i="9"/>
  <c r="M11" i="18" s="1"/>
  <c r="AK11" i="12"/>
  <c r="AM11" i="12" s="1"/>
  <c r="AG11" i="12"/>
  <c r="W14" i="11"/>
  <c r="AB13" i="11"/>
  <c r="AH13" i="11" s="1"/>
  <c r="AN13" i="11" s="1"/>
  <c r="AO11" i="11"/>
  <c r="AP11" i="11" s="1"/>
  <c r="AJ11" i="11"/>
  <c r="AE12" i="12"/>
  <c r="AA12" i="12"/>
  <c r="AL13" i="12"/>
  <c r="AB14" i="10"/>
  <c r="AH14" i="10" s="1"/>
  <c r="AN14" i="10" s="1"/>
  <c r="W15" i="10"/>
  <c r="R27" i="9"/>
  <c r="R28" i="9" s="1"/>
  <c r="AB15" i="12"/>
  <c r="W16" i="12"/>
  <c r="AL11" i="10"/>
  <c r="AM11" i="10" s="1"/>
  <c r="AG11" i="10"/>
  <c r="AF12" i="10"/>
  <c r="AL12" i="11"/>
  <c r="AM12" i="11" s="1"/>
  <c r="AG12" i="11"/>
  <c r="AC13" i="11"/>
  <c r="X14" i="11"/>
  <c r="O10" i="18" s="1"/>
  <c r="AD12" i="10"/>
  <c r="AI12" i="10"/>
  <c r="AI12" i="4"/>
  <c r="R27" i="11"/>
  <c r="R28" i="11" s="1"/>
  <c r="R29" i="12"/>
  <c r="AL11" i="11"/>
  <c r="AM11" i="11" s="1"/>
  <c r="AG11" i="11"/>
  <c r="W14" i="4"/>
  <c r="AB13" i="4"/>
  <c r="AH13" i="4" s="1"/>
  <c r="AD12" i="4"/>
  <c r="AA12" i="4"/>
  <c r="X14" i="4"/>
  <c r="L10" i="18" s="1"/>
  <c r="AC13" i="4"/>
  <c r="J14" i="4"/>
  <c r="V14" i="4" s="1"/>
  <c r="B10" i="18" s="1"/>
  <c r="Y13" i="4"/>
  <c r="AE13" i="4" s="1"/>
  <c r="AK13" i="4" s="1"/>
  <c r="I14" i="4"/>
  <c r="AG11" i="4"/>
  <c r="AF12" i="4"/>
  <c r="AL12" i="4" s="1"/>
  <c r="AM12" i="4" s="1"/>
  <c r="O44" i="12"/>
  <c r="K45" i="4"/>
  <c r="Z13" i="4"/>
  <c r="J15" i="11"/>
  <c r="V15" i="11" s="1"/>
  <c r="I14" i="10"/>
  <c r="U14" i="10" s="1"/>
  <c r="Y14" i="10" s="1"/>
  <c r="J15" i="12"/>
  <c r="V15" i="12" s="1"/>
  <c r="M15" i="4"/>
  <c r="J15" i="9"/>
  <c r="V15" i="9" s="1"/>
  <c r="J15" i="10"/>
  <c r="V15" i="10" s="1"/>
  <c r="P15" i="4"/>
  <c r="I16" i="12"/>
  <c r="I14" i="11"/>
  <c r="U14" i="11" s="1"/>
  <c r="Y14" i="11" s="1"/>
  <c r="AE14" i="11" s="1"/>
  <c r="AK14" i="11" s="1"/>
  <c r="I15" i="9"/>
  <c r="U15" i="9" s="1"/>
  <c r="Y15" i="9" s="1"/>
  <c r="AF14" i="11" l="1"/>
  <c r="AD13" i="9"/>
  <c r="AG13" i="9"/>
  <c r="AM13" i="9"/>
  <c r="AA14" i="10"/>
  <c r="AE14" i="9"/>
  <c r="AK14" i="9" s="1"/>
  <c r="AF14" i="9"/>
  <c r="AL14" i="9" s="1"/>
  <c r="AM14" i="9" s="1"/>
  <c r="Z15" i="9"/>
  <c r="AA15" i="9" s="1"/>
  <c r="C11" i="18"/>
  <c r="AA14" i="11"/>
  <c r="AE14" i="10"/>
  <c r="AK14" i="10" s="1"/>
  <c r="AE15" i="9"/>
  <c r="AK15" i="9" s="1"/>
  <c r="Z15" i="12"/>
  <c r="AF15" i="12" s="1"/>
  <c r="F11" i="18"/>
  <c r="Z15" i="10"/>
  <c r="D11" i="18"/>
  <c r="AJ12" i="12"/>
  <c r="AO12" i="12"/>
  <c r="AP12" i="12" s="1"/>
  <c r="Z15" i="11"/>
  <c r="AF15" i="11" s="1"/>
  <c r="E11" i="18"/>
  <c r="P10" i="18"/>
  <c r="X15" i="12"/>
  <c r="AC14" i="12"/>
  <c r="AH15" i="12"/>
  <c r="AN15" i="12" s="1"/>
  <c r="AI13" i="12"/>
  <c r="AD13" i="12"/>
  <c r="W15" i="9"/>
  <c r="AB14" i="9"/>
  <c r="AH14" i="9" s="1"/>
  <c r="AN14" i="9" s="1"/>
  <c r="AN13" i="4"/>
  <c r="W17" i="12"/>
  <c r="AB16" i="12"/>
  <c r="W16" i="10"/>
  <c r="AB15" i="10"/>
  <c r="AH15" i="10" s="1"/>
  <c r="AN15" i="10" s="1"/>
  <c r="R30" i="12"/>
  <c r="AL14" i="11"/>
  <c r="AM14" i="11" s="1"/>
  <c r="AG14" i="11"/>
  <c r="AC15" i="9"/>
  <c r="X16" i="9"/>
  <c r="M12" i="18" s="1"/>
  <c r="AL12" i="10"/>
  <c r="AM12" i="10" s="1"/>
  <c r="AG12" i="10"/>
  <c r="AF13" i="10"/>
  <c r="AO12" i="11"/>
  <c r="AP12" i="11" s="1"/>
  <c r="AJ12" i="11"/>
  <c r="R29" i="11"/>
  <c r="AE13" i="12"/>
  <c r="AA13" i="12"/>
  <c r="AD13" i="4"/>
  <c r="AI13" i="4"/>
  <c r="M15" i="12"/>
  <c r="U14" i="12"/>
  <c r="Y14" i="12" s="1"/>
  <c r="AC14" i="10"/>
  <c r="X15" i="10"/>
  <c r="N11" i="18" s="1"/>
  <c r="AI13" i="10"/>
  <c r="AD13" i="10"/>
  <c r="R29" i="9"/>
  <c r="AJ12" i="4"/>
  <c r="AO12" i="4"/>
  <c r="AP12" i="4" s="1"/>
  <c r="AC14" i="11"/>
  <c r="X15" i="11"/>
  <c r="O11" i="18" s="1"/>
  <c r="AI14" i="9"/>
  <c r="R29" i="10"/>
  <c r="AJ13" i="9"/>
  <c r="AO13" i="9"/>
  <c r="AP13" i="9" s="1"/>
  <c r="AL14" i="12"/>
  <c r="R29" i="4"/>
  <c r="AJ12" i="10"/>
  <c r="AO12" i="10"/>
  <c r="AP12" i="10" s="1"/>
  <c r="AK12" i="12"/>
  <c r="AM12" i="12" s="1"/>
  <c r="AG12" i="12"/>
  <c r="AI13" i="11"/>
  <c r="AD13" i="11"/>
  <c r="AB14" i="11"/>
  <c r="AH14" i="11" s="1"/>
  <c r="AN14" i="11" s="1"/>
  <c r="W15" i="11"/>
  <c r="AA13" i="4"/>
  <c r="X15" i="4"/>
  <c r="L11" i="18" s="1"/>
  <c r="AC14" i="4"/>
  <c r="W15" i="4"/>
  <c r="AB14" i="4"/>
  <c r="AH14" i="4" s="1"/>
  <c r="I15" i="4"/>
  <c r="U15" i="4" s="1"/>
  <c r="J15" i="4"/>
  <c r="V15" i="4" s="1"/>
  <c r="B11" i="18" s="1"/>
  <c r="U14" i="4"/>
  <c r="Y14" i="4" s="1"/>
  <c r="AE14" i="4" s="1"/>
  <c r="AK14" i="4" s="1"/>
  <c r="AG12" i="4"/>
  <c r="K46" i="4"/>
  <c r="O45" i="12"/>
  <c r="AF13" i="4"/>
  <c r="AL13" i="4" s="1"/>
  <c r="AM13" i="4" s="1"/>
  <c r="Z14" i="4"/>
  <c r="J16" i="12"/>
  <c r="V16" i="12" s="1"/>
  <c r="I15" i="10"/>
  <c r="U15" i="10" s="1"/>
  <c r="Y15" i="10" s="1"/>
  <c r="J16" i="10"/>
  <c r="V16" i="10" s="1"/>
  <c r="P16" i="4"/>
  <c r="I16" i="9"/>
  <c r="U16" i="9" s="1"/>
  <c r="Y16" i="9" s="1"/>
  <c r="M16" i="4"/>
  <c r="I15" i="11"/>
  <c r="U15" i="11" s="1"/>
  <c r="Y15" i="11" s="1"/>
  <c r="AE15" i="11" s="1"/>
  <c r="AK15" i="11" s="1"/>
  <c r="I17" i="12"/>
  <c r="J16" i="9"/>
  <c r="V16" i="9" s="1"/>
  <c r="J16" i="11"/>
  <c r="V16" i="11" s="1"/>
  <c r="AF15" i="9" l="1"/>
  <c r="AG14" i="9"/>
  <c r="AE16" i="9"/>
  <c r="AK16" i="9" s="1"/>
  <c r="AE15" i="10"/>
  <c r="AK15" i="10" s="1"/>
  <c r="AD14" i="9"/>
  <c r="Y15" i="4"/>
  <c r="AA15" i="10"/>
  <c r="Z16" i="12"/>
  <c r="AF16" i="12" s="1"/>
  <c r="F12" i="18"/>
  <c r="AI14" i="12"/>
  <c r="AD14" i="12"/>
  <c r="Z16" i="10"/>
  <c r="D12" i="18"/>
  <c r="Z16" i="11"/>
  <c r="AF16" i="11" s="1"/>
  <c r="E12" i="18"/>
  <c r="P11" i="18"/>
  <c r="X16" i="12"/>
  <c r="AC15" i="12"/>
  <c r="Z16" i="9"/>
  <c r="AA16" i="9" s="1"/>
  <c r="C12" i="18"/>
  <c r="AH16" i="12"/>
  <c r="AN16" i="12" s="1"/>
  <c r="AO13" i="12"/>
  <c r="AP13" i="12" s="1"/>
  <c r="AJ13" i="12"/>
  <c r="AI14" i="4"/>
  <c r="AO14" i="4" s="1"/>
  <c r="AB15" i="9"/>
  <c r="AH15" i="9" s="1"/>
  <c r="AN15" i="9" s="1"/>
  <c r="W16" i="9"/>
  <c r="AN14" i="4"/>
  <c r="AL13" i="10"/>
  <c r="AM13" i="10" s="1"/>
  <c r="AG13" i="10"/>
  <c r="AF14" i="10"/>
  <c r="AC16" i="9"/>
  <c r="X17" i="9"/>
  <c r="M13" i="18" s="1"/>
  <c r="AO13" i="10"/>
  <c r="AP13" i="10" s="1"/>
  <c r="AJ13" i="10"/>
  <c r="AC15" i="10"/>
  <c r="X16" i="10"/>
  <c r="N12" i="18" s="1"/>
  <c r="AI14" i="10"/>
  <c r="AD14" i="10"/>
  <c r="AJ13" i="4"/>
  <c r="AO13" i="4"/>
  <c r="AP13" i="4" s="1"/>
  <c r="R30" i="10"/>
  <c r="AK13" i="12"/>
  <c r="AM13" i="12" s="1"/>
  <c r="AG13" i="12"/>
  <c r="W17" i="10"/>
  <c r="AB16" i="10"/>
  <c r="AH16" i="10" s="1"/>
  <c r="AN16" i="10" s="1"/>
  <c r="R30" i="4"/>
  <c r="AI15" i="9"/>
  <c r="AE14" i="12"/>
  <c r="AA14" i="12"/>
  <c r="AJ14" i="9"/>
  <c r="AO14" i="9"/>
  <c r="AP14" i="9" s="1"/>
  <c r="R30" i="9"/>
  <c r="M16" i="12"/>
  <c r="U15" i="12"/>
  <c r="Y15" i="12" s="1"/>
  <c r="W16" i="11"/>
  <c r="AB15" i="11"/>
  <c r="AH15" i="11" s="1"/>
  <c r="AN15" i="11" s="1"/>
  <c r="R30" i="11"/>
  <c r="AL15" i="9"/>
  <c r="AM15" i="9" s="1"/>
  <c r="AG15" i="9"/>
  <c r="R31" i="12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R68" i="12" s="1"/>
  <c r="R69" i="12" s="1"/>
  <c r="R70" i="12" s="1"/>
  <c r="R71" i="12" s="1"/>
  <c r="R72" i="12" s="1"/>
  <c r="R73" i="12" s="1"/>
  <c r="R74" i="12" s="1"/>
  <c r="R75" i="12" s="1"/>
  <c r="R76" i="12" s="1"/>
  <c r="R77" i="12" s="1"/>
  <c r="R78" i="12" s="1"/>
  <c r="R79" i="12" s="1"/>
  <c r="R80" i="12" s="1"/>
  <c r="R81" i="12" s="1"/>
  <c r="R82" i="12" s="1"/>
  <c r="R83" i="12" s="1"/>
  <c r="R84" i="12" s="1"/>
  <c r="R85" i="12" s="1"/>
  <c r="R86" i="12" s="1"/>
  <c r="R87" i="12" s="1"/>
  <c r="R88" i="12" s="1"/>
  <c r="R89" i="12" s="1"/>
  <c r="R90" i="12" s="1"/>
  <c r="R91" i="12" s="1"/>
  <c r="R92" i="12" s="1"/>
  <c r="R93" i="12" s="1"/>
  <c r="R94" i="12" s="1"/>
  <c r="R95" i="12" s="1"/>
  <c r="R96" i="12" s="1"/>
  <c r="R97" i="12" s="1"/>
  <c r="R98" i="12" s="1"/>
  <c r="R99" i="12" s="1"/>
  <c r="R100" i="12" s="1"/>
  <c r="R101" i="12" s="1"/>
  <c r="R102" i="12" s="1"/>
  <c r="R103" i="12" s="1"/>
  <c r="R104" i="12" s="1"/>
  <c r="R105" i="12" s="1"/>
  <c r="R106" i="12" s="1"/>
  <c r="R107" i="12" s="1"/>
  <c r="R108" i="12" s="1"/>
  <c r="R109" i="12" s="1"/>
  <c r="AL15" i="11"/>
  <c r="AM15" i="11" s="1"/>
  <c r="AG15" i="11"/>
  <c r="AI14" i="11"/>
  <c r="AD14" i="11"/>
  <c r="AL15" i="12"/>
  <c r="AO13" i="11"/>
  <c r="AP13" i="11" s="1"/>
  <c r="AJ13" i="11"/>
  <c r="W18" i="12"/>
  <c r="AB17" i="12"/>
  <c r="X16" i="11"/>
  <c r="O12" i="18" s="1"/>
  <c r="AC15" i="11"/>
  <c r="AA15" i="11"/>
  <c r="W16" i="4"/>
  <c r="AB15" i="4"/>
  <c r="AH15" i="4" s="1"/>
  <c r="AD14" i="4"/>
  <c r="X16" i="4"/>
  <c r="L12" i="18" s="1"/>
  <c r="AC15" i="4"/>
  <c r="AE15" i="4"/>
  <c r="AK15" i="4" s="1"/>
  <c r="I16" i="4"/>
  <c r="U16" i="4" s="1"/>
  <c r="Y16" i="4" s="1"/>
  <c r="J16" i="4"/>
  <c r="V16" i="4" s="1"/>
  <c r="B12" i="18" s="1"/>
  <c r="AF14" i="4"/>
  <c r="AL14" i="4" s="1"/>
  <c r="AM14" i="4" s="1"/>
  <c r="AG13" i="4"/>
  <c r="K47" i="4"/>
  <c r="O46" i="12"/>
  <c r="AA14" i="4"/>
  <c r="Z15" i="4"/>
  <c r="I17" i="9"/>
  <c r="U17" i="9" s="1"/>
  <c r="Y17" i="9" s="1"/>
  <c r="P17" i="4"/>
  <c r="J17" i="10"/>
  <c r="V17" i="10" s="1"/>
  <c r="M17" i="4"/>
  <c r="J17" i="9"/>
  <c r="V17" i="9" s="1"/>
  <c r="I16" i="10"/>
  <c r="U16" i="10" s="1"/>
  <c r="Y16" i="10" s="1"/>
  <c r="I18" i="12"/>
  <c r="J17" i="12"/>
  <c r="V17" i="12" s="1"/>
  <c r="J17" i="11"/>
  <c r="V17" i="11" s="1"/>
  <c r="I16" i="11"/>
  <c r="U16" i="11" s="1"/>
  <c r="Y16" i="11" s="1"/>
  <c r="AE16" i="11" s="1"/>
  <c r="AK16" i="11" s="1"/>
  <c r="AE16" i="10" l="1"/>
  <c r="AK16" i="10" s="1"/>
  <c r="AE17" i="9"/>
  <c r="AK17" i="9" s="1"/>
  <c r="AD15" i="9"/>
  <c r="AP14" i="4"/>
  <c r="AA15" i="4"/>
  <c r="AF16" i="9"/>
  <c r="AL16" i="9" s="1"/>
  <c r="AM16" i="9" s="1"/>
  <c r="AA16" i="10"/>
  <c r="P12" i="18"/>
  <c r="X17" i="12"/>
  <c r="AC16" i="12"/>
  <c r="AD15" i="12"/>
  <c r="AI15" i="12"/>
  <c r="Z17" i="11"/>
  <c r="AF17" i="11" s="1"/>
  <c r="E13" i="18"/>
  <c r="AJ14" i="12"/>
  <c r="AO14" i="12"/>
  <c r="AP14" i="12" s="1"/>
  <c r="Z17" i="12"/>
  <c r="AF17" i="12" s="1"/>
  <c r="F13" i="18"/>
  <c r="AH17" i="12"/>
  <c r="AN17" i="12" s="1"/>
  <c r="AJ14" i="4"/>
  <c r="Z17" i="10"/>
  <c r="D13" i="18"/>
  <c r="Z17" i="9"/>
  <c r="C13" i="18"/>
  <c r="W17" i="9"/>
  <c r="AB16" i="9"/>
  <c r="AH16" i="9" s="1"/>
  <c r="AN16" i="9" s="1"/>
  <c r="AN15" i="4"/>
  <c r="R31" i="1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R46" i="11" s="1"/>
  <c r="R47" i="11" s="1"/>
  <c r="R48" i="11" s="1"/>
  <c r="R49" i="11" s="1"/>
  <c r="R50" i="11" s="1"/>
  <c r="R51" i="11" s="1"/>
  <c r="R52" i="11" s="1"/>
  <c r="R53" i="11" s="1"/>
  <c r="R54" i="11" s="1"/>
  <c r="R55" i="11" s="1"/>
  <c r="R56" i="11" s="1"/>
  <c r="R57" i="11" s="1"/>
  <c r="R58" i="11" s="1"/>
  <c r="R59" i="11" s="1"/>
  <c r="R60" i="11" s="1"/>
  <c r="R61" i="11" s="1"/>
  <c r="R62" i="11" s="1"/>
  <c r="R63" i="11" s="1"/>
  <c r="R64" i="11" s="1"/>
  <c r="R65" i="11" s="1"/>
  <c r="R66" i="11" s="1"/>
  <c r="R67" i="11" s="1"/>
  <c r="R68" i="11" s="1"/>
  <c r="R69" i="11" s="1"/>
  <c r="R70" i="11" s="1"/>
  <c r="R71" i="11" s="1"/>
  <c r="R72" i="11" s="1"/>
  <c r="R73" i="11" s="1"/>
  <c r="R74" i="11" s="1"/>
  <c r="R75" i="11" s="1"/>
  <c r="R76" i="11" s="1"/>
  <c r="R77" i="11" s="1"/>
  <c r="R78" i="11" s="1"/>
  <c r="R79" i="11" s="1"/>
  <c r="R80" i="11" s="1"/>
  <c r="R81" i="11" s="1"/>
  <c r="R82" i="11" s="1"/>
  <c r="R83" i="11" s="1"/>
  <c r="R84" i="11" s="1"/>
  <c r="R85" i="11" s="1"/>
  <c r="R86" i="11" s="1"/>
  <c r="R87" i="11" s="1"/>
  <c r="R88" i="11" s="1"/>
  <c r="R89" i="11" s="1"/>
  <c r="R90" i="11" s="1"/>
  <c r="R91" i="11" s="1"/>
  <c r="R92" i="11" s="1"/>
  <c r="R93" i="11" s="1"/>
  <c r="R94" i="11" s="1"/>
  <c r="R95" i="11" s="1"/>
  <c r="R96" i="11" s="1"/>
  <c r="R97" i="11" s="1"/>
  <c r="R98" i="11" s="1"/>
  <c r="R99" i="11" s="1"/>
  <c r="R100" i="11" s="1"/>
  <c r="R101" i="11" s="1"/>
  <c r="R102" i="11" s="1"/>
  <c r="R103" i="11" s="1"/>
  <c r="R104" i="11" s="1"/>
  <c r="R105" i="11" s="1"/>
  <c r="R106" i="11" s="1"/>
  <c r="R107" i="11" s="1"/>
  <c r="R108" i="11" s="1"/>
  <c r="R109" i="11" s="1"/>
  <c r="M17" i="12"/>
  <c r="U16" i="12"/>
  <c r="Y16" i="12" s="1"/>
  <c r="R31" i="10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R72" i="10" s="1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R84" i="10" s="1"/>
  <c r="R85" i="10" s="1"/>
  <c r="R86" i="10" s="1"/>
  <c r="R87" i="10" s="1"/>
  <c r="R88" i="10" s="1"/>
  <c r="R89" i="10" s="1"/>
  <c r="R90" i="10" s="1"/>
  <c r="R91" i="10" s="1"/>
  <c r="R92" i="10" s="1"/>
  <c r="R93" i="10" s="1"/>
  <c r="R94" i="10" s="1"/>
  <c r="R95" i="10" s="1"/>
  <c r="R96" i="10" s="1"/>
  <c r="R97" i="10" s="1"/>
  <c r="R98" i="10" s="1"/>
  <c r="R99" i="10" s="1"/>
  <c r="R100" i="10" s="1"/>
  <c r="R101" i="10" s="1"/>
  <c r="R102" i="10" s="1"/>
  <c r="R103" i="10" s="1"/>
  <c r="R104" i="10" s="1"/>
  <c r="R105" i="10" s="1"/>
  <c r="R106" i="10" s="1"/>
  <c r="R107" i="10" s="1"/>
  <c r="R108" i="10" s="1"/>
  <c r="R109" i="10" s="1"/>
  <c r="AE15" i="12"/>
  <c r="AA15" i="12"/>
  <c r="AD15" i="10"/>
  <c r="AI15" i="10"/>
  <c r="AB16" i="11"/>
  <c r="AH16" i="11" s="1"/>
  <c r="AN16" i="11" s="1"/>
  <c r="W17" i="11"/>
  <c r="AL16" i="12"/>
  <c r="X18" i="9"/>
  <c r="M14" i="18" s="1"/>
  <c r="AC17" i="9"/>
  <c r="X17" i="10"/>
  <c r="N13" i="18" s="1"/>
  <c r="AC16" i="10"/>
  <c r="AI16" i="9"/>
  <c r="W18" i="10"/>
  <c r="AB17" i="10"/>
  <c r="AH17" i="10" s="1"/>
  <c r="AN17" i="10" s="1"/>
  <c r="AI15" i="11"/>
  <c r="AD15" i="11"/>
  <c r="AK14" i="12"/>
  <c r="AM14" i="12" s="1"/>
  <c r="AG14" i="12"/>
  <c r="AL14" i="10"/>
  <c r="AM14" i="10" s="1"/>
  <c r="AG14" i="10"/>
  <c r="AF15" i="10"/>
  <c r="X17" i="11"/>
  <c r="O13" i="18" s="1"/>
  <c r="AC16" i="11"/>
  <c r="AO15" i="9"/>
  <c r="AP15" i="9" s="1"/>
  <c r="AJ15" i="9"/>
  <c r="AE16" i="4"/>
  <c r="AK16" i="4" s="1"/>
  <c r="R31" i="9"/>
  <c r="R32" i="9" s="1"/>
  <c r="R33" i="9" s="1"/>
  <c r="R34" i="9" s="1"/>
  <c r="R35" i="9" s="1"/>
  <c r="R36" i="9" s="1"/>
  <c r="R37" i="9" s="1"/>
  <c r="R38" i="9" s="1"/>
  <c r="R39" i="9" s="1"/>
  <c r="R40" i="9" s="1"/>
  <c r="R41" i="9" s="1"/>
  <c r="R42" i="9" s="1"/>
  <c r="R43" i="9" s="1"/>
  <c r="R44" i="9" s="1"/>
  <c r="R45" i="9" s="1"/>
  <c r="R46" i="9" s="1"/>
  <c r="R47" i="9" s="1"/>
  <c r="R48" i="9" s="1"/>
  <c r="R49" i="9" s="1"/>
  <c r="R50" i="9" s="1"/>
  <c r="R51" i="9" s="1"/>
  <c r="R52" i="9" s="1"/>
  <c r="R53" i="9" s="1"/>
  <c r="R54" i="9" s="1"/>
  <c r="R55" i="9" s="1"/>
  <c r="R56" i="9" s="1"/>
  <c r="R57" i="9" s="1"/>
  <c r="R58" i="9" s="1"/>
  <c r="R59" i="9" s="1"/>
  <c r="R60" i="9" s="1"/>
  <c r="R61" i="9" s="1"/>
  <c r="R62" i="9" s="1"/>
  <c r="R63" i="9" s="1"/>
  <c r="R64" i="9" s="1"/>
  <c r="R65" i="9" s="1"/>
  <c r="R66" i="9" s="1"/>
  <c r="R67" i="9" s="1"/>
  <c r="R68" i="9" s="1"/>
  <c r="R69" i="9" s="1"/>
  <c r="R70" i="9" s="1"/>
  <c r="R71" i="9" s="1"/>
  <c r="R72" i="9" s="1"/>
  <c r="R73" i="9" s="1"/>
  <c r="R74" i="9" s="1"/>
  <c r="R75" i="9" s="1"/>
  <c r="R76" i="9" s="1"/>
  <c r="R77" i="9" s="1"/>
  <c r="R78" i="9" s="1"/>
  <c r="R79" i="9" s="1"/>
  <c r="R80" i="9" s="1"/>
  <c r="R81" i="9" s="1"/>
  <c r="R82" i="9" s="1"/>
  <c r="R83" i="9" s="1"/>
  <c r="R84" i="9" s="1"/>
  <c r="R85" i="9" s="1"/>
  <c r="R86" i="9" s="1"/>
  <c r="R87" i="9" s="1"/>
  <c r="R88" i="9" s="1"/>
  <c r="R89" i="9" s="1"/>
  <c r="R90" i="9" s="1"/>
  <c r="R91" i="9" s="1"/>
  <c r="R92" i="9" s="1"/>
  <c r="R93" i="9" s="1"/>
  <c r="R94" i="9" s="1"/>
  <c r="R95" i="9" s="1"/>
  <c r="R96" i="9" s="1"/>
  <c r="R97" i="9" s="1"/>
  <c r="R98" i="9" s="1"/>
  <c r="R99" i="9" s="1"/>
  <c r="R100" i="9" s="1"/>
  <c r="R101" i="9" s="1"/>
  <c r="R102" i="9" s="1"/>
  <c r="R103" i="9" s="1"/>
  <c r="R104" i="9" s="1"/>
  <c r="R105" i="9" s="1"/>
  <c r="R106" i="9" s="1"/>
  <c r="R107" i="9" s="1"/>
  <c r="R108" i="9" s="1"/>
  <c r="R109" i="9" s="1"/>
  <c r="W19" i="12"/>
  <c r="AB18" i="12"/>
  <c r="AL16" i="11"/>
  <c r="AM16" i="11" s="1"/>
  <c r="AG16" i="11"/>
  <c r="AO14" i="11"/>
  <c r="AP14" i="11" s="1"/>
  <c r="AJ14" i="11"/>
  <c r="AO14" i="10"/>
  <c r="AP14" i="10" s="1"/>
  <c r="AJ14" i="10"/>
  <c r="AD15" i="4"/>
  <c r="AI15" i="4"/>
  <c r="AA16" i="11"/>
  <c r="R31" i="4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X17" i="4"/>
  <c r="L13" i="18" s="1"/>
  <c r="AC16" i="4"/>
  <c r="W17" i="4"/>
  <c r="AB16" i="4"/>
  <c r="AH16" i="4" s="1"/>
  <c r="AG14" i="4"/>
  <c r="J17" i="4"/>
  <c r="V17" i="4" s="1"/>
  <c r="B13" i="18" s="1"/>
  <c r="I17" i="4"/>
  <c r="U17" i="4" s="1"/>
  <c r="Y17" i="4" s="1"/>
  <c r="O47" i="12"/>
  <c r="K48" i="4"/>
  <c r="AF15" i="4"/>
  <c r="AL15" i="4" s="1"/>
  <c r="AM15" i="4" s="1"/>
  <c r="Z16" i="4"/>
  <c r="AA16" i="4" s="1"/>
  <c r="J18" i="9"/>
  <c r="V18" i="9" s="1"/>
  <c r="M18" i="4"/>
  <c r="I17" i="10"/>
  <c r="U17" i="10" s="1"/>
  <c r="Y17" i="10" s="1"/>
  <c r="AE17" i="10" s="1"/>
  <c r="AK17" i="10" s="1"/>
  <c r="I17" i="11"/>
  <c r="U17" i="11" s="1"/>
  <c r="Y17" i="11" s="1"/>
  <c r="AE17" i="11" s="1"/>
  <c r="AK17" i="11" s="1"/>
  <c r="I18" i="9"/>
  <c r="U18" i="9" s="1"/>
  <c r="Y18" i="9" s="1"/>
  <c r="AE18" i="9" s="1"/>
  <c r="AK18" i="9" s="1"/>
  <c r="J18" i="12"/>
  <c r="V18" i="12" s="1"/>
  <c r="J18" i="10"/>
  <c r="V18" i="10" s="1"/>
  <c r="I19" i="12"/>
  <c r="J18" i="11"/>
  <c r="V18" i="11" s="1"/>
  <c r="P18" i="4"/>
  <c r="AG16" i="9" l="1"/>
  <c r="AF17" i="9"/>
  <c r="AH18" i="12"/>
  <c r="AN18" i="12" s="1"/>
  <c r="Z18" i="10"/>
  <c r="D14" i="18"/>
  <c r="AJ15" i="12"/>
  <c r="AO15" i="12"/>
  <c r="AP15" i="12" s="1"/>
  <c r="AD16" i="9"/>
  <c r="Z18" i="12"/>
  <c r="AF18" i="12" s="1"/>
  <c r="F14" i="18"/>
  <c r="AD16" i="12"/>
  <c r="AI16" i="12"/>
  <c r="AA17" i="9"/>
  <c r="P13" i="18"/>
  <c r="X18" i="12"/>
  <c r="AC17" i="12"/>
  <c r="Z18" i="11"/>
  <c r="E14" i="18"/>
  <c r="AE17" i="4"/>
  <c r="AK17" i="4" s="1"/>
  <c r="Z18" i="9"/>
  <c r="C14" i="18"/>
  <c r="AI16" i="4"/>
  <c r="AO16" i="4" s="1"/>
  <c r="W18" i="9"/>
  <c r="AB17" i="9"/>
  <c r="AH17" i="9" s="1"/>
  <c r="AN17" i="9" s="1"/>
  <c r="AN16" i="4"/>
  <c r="AB19" i="12"/>
  <c r="W20" i="12"/>
  <c r="AJ15" i="10"/>
  <c r="AO15" i="10"/>
  <c r="AP15" i="10" s="1"/>
  <c r="W19" i="10"/>
  <c r="AB18" i="10"/>
  <c r="AH18" i="10" s="1"/>
  <c r="AN18" i="10" s="1"/>
  <c r="X19" i="9"/>
  <c r="M15" i="18" s="1"/>
  <c r="AC18" i="9"/>
  <c r="AK15" i="12"/>
  <c r="AM15" i="12" s="1"/>
  <c r="AG15" i="12"/>
  <c r="AA17" i="10"/>
  <c r="AJ16" i="9"/>
  <c r="AO16" i="9"/>
  <c r="AP16" i="9" s="1"/>
  <c r="AO15" i="11"/>
  <c r="AP15" i="11" s="1"/>
  <c r="AJ15" i="11"/>
  <c r="AF18" i="11"/>
  <c r="AD16" i="11"/>
  <c r="AI16" i="11"/>
  <c r="AL17" i="12"/>
  <c r="M18" i="12"/>
  <c r="U17" i="12"/>
  <c r="Y17" i="12" s="1"/>
  <c r="AG15" i="10"/>
  <c r="AL15" i="10"/>
  <c r="AM15" i="10" s="1"/>
  <c r="AF16" i="10"/>
  <c r="AE16" i="12"/>
  <c r="AA16" i="12"/>
  <c r="AC17" i="11"/>
  <c r="X18" i="11"/>
  <c r="O14" i="18" s="1"/>
  <c r="AI17" i="9"/>
  <c r="W18" i="11"/>
  <c r="AB17" i="11"/>
  <c r="AH17" i="11" s="1"/>
  <c r="AN17" i="11" s="1"/>
  <c r="AG17" i="9"/>
  <c r="AL17" i="9"/>
  <c r="AM17" i="9" s="1"/>
  <c r="AL17" i="11"/>
  <c r="AM17" i="11" s="1"/>
  <c r="AG17" i="11"/>
  <c r="AO15" i="4"/>
  <c r="AP15" i="4" s="1"/>
  <c r="AJ15" i="4"/>
  <c r="AA17" i="11"/>
  <c r="AC17" i="10"/>
  <c r="X18" i="10"/>
  <c r="N14" i="18" s="1"/>
  <c r="AI16" i="10"/>
  <c r="AD16" i="10"/>
  <c r="W18" i="4"/>
  <c r="AB17" i="4"/>
  <c r="AH17" i="4" s="1"/>
  <c r="AD16" i="4"/>
  <c r="X18" i="4"/>
  <c r="L14" i="18" s="1"/>
  <c r="AC17" i="4"/>
  <c r="I18" i="4"/>
  <c r="U18" i="4" s="1"/>
  <c r="Y18" i="4" s="1"/>
  <c r="J18" i="4"/>
  <c r="AF16" i="4"/>
  <c r="AL16" i="4" s="1"/>
  <c r="AM16" i="4" s="1"/>
  <c r="AG15" i="4"/>
  <c r="O48" i="12"/>
  <c r="K49" i="4"/>
  <c r="Z17" i="4"/>
  <c r="J19" i="11"/>
  <c r="V19" i="11" s="1"/>
  <c r="J19" i="12"/>
  <c r="V19" i="12" s="1"/>
  <c r="I20" i="12"/>
  <c r="I18" i="11"/>
  <c r="U18" i="11" s="1"/>
  <c r="Y18" i="11" s="1"/>
  <c r="AE18" i="11" s="1"/>
  <c r="AK18" i="11" s="1"/>
  <c r="J19" i="10"/>
  <c r="V19" i="10" s="1"/>
  <c r="P19" i="4"/>
  <c r="M19" i="4"/>
  <c r="I19" i="9"/>
  <c r="U19" i="9" s="1"/>
  <c r="Y19" i="9" s="1"/>
  <c r="AE19" i="9" s="1"/>
  <c r="AK19" i="9" s="1"/>
  <c r="I18" i="10"/>
  <c r="U18" i="10" s="1"/>
  <c r="Y18" i="10" s="1"/>
  <c r="AE18" i="10" s="1"/>
  <c r="AK18" i="10" s="1"/>
  <c r="J19" i="9"/>
  <c r="V19" i="9" s="1"/>
  <c r="AF18" i="9" l="1"/>
  <c r="AH19" i="12"/>
  <c r="AN19" i="12" s="1"/>
  <c r="AA18" i="9"/>
  <c r="AP16" i="4"/>
  <c r="AE18" i="4"/>
  <c r="AK18" i="4" s="1"/>
  <c r="AI17" i="4"/>
  <c r="AO17" i="4" s="1"/>
  <c r="Z19" i="9"/>
  <c r="AA19" i="9" s="1"/>
  <c r="C15" i="18"/>
  <c r="AD17" i="9"/>
  <c r="P14" i="18"/>
  <c r="AC18" i="12"/>
  <c r="X19" i="12"/>
  <c r="AO16" i="12"/>
  <c r="AP16" i="12" s="1"/>
  <c r="AJ16" i="12"/>
  <c r="AJ16" i="4"/>
  <c r="Z19" i="11"/>
  <c r="AF19" i="11" s="1"/>
  <c r="E15" i="18"/>
  <c r="AD17" i="12"/>
  <c r="AI17" i="12"/>
  <c r="Z19" i="10"/>
  <c r="D15" i="18"/>
  <c r="Z19" i="12"/>
  <c r="AF19" i="12" s="1"/>
  <c r="F15" i="18"/>
  <c r="AB18" i="9"/>
  <c r="AH18" i="9" s="1"/>
  <c r="AN18" i="9" s="1"/>
  <c r="W19" i="9"/>
  <c r="AN17" i="4"/>
  <c r="X19" i="10"/>
  <c r="N15" i="18" s="1"/>
  <c r="AC18" i="10"/>
  <c r="X19" i="11"/>
  <c r="O15" i="18" s="1"/>
  <c r="AC18" i="11"/>
  <c r="AD17" i="11"/>
  <c r="AI17" i="11"/>
  <c r="AJ17" i="4"/>
  <c r="AK16" i="12"/>
  <c r="AM16" i="12" s="1"/>
  <c r="AG16" i="12"/>
  <c r="X20" i="9"/>
  <c r="M16" i="18" s="1"/>
  <c r="AC19" i="9"/>
  <c r="AL18" i="12"/>
  <c r="AL16" i="10"/>
  <c r="AM16" i="10" s="1"/>
  <c r="AG16" i="10"/>
  <c r="AF17" i="10"/>
  <c r="AG18" i="9"/>
  <c r="AL18" i="9"/>
  <c r="AM18" i="9" s="1"/>
  <c r="AE17" i="12"/>
  <c r="AA17" i="12"/>
  <c r="M19" i="12"/>
  <c r="U18" i="12"/>
  <c r="Y18" i="12" s="1"/>
  <c r="AO16" i="10"/>
  <c r="AP16" i="10" s="1"/>
  <c r="AJ16" i="10"/>
  <c r="AB19" i="10"/>
  <c r="AH19" i="10" s="1"/>
  <c r="AN19" i="10" s="1"/>
  <c r="W20" i="10"/>
  <c r="AJ16" i="11"/>
  <c r="AO16" i="11"/>
  <c r="AP16" i="11" s="1"/>
  <c r="AJ17" i="9"/>
  <c r="AO17" i="9"/>
  <c r="AP17" i="9" s="1"/>
  <c r="W21" i="12"/>
  <c r="AB20" i="12"/>
  <c r="AA18" i="10"/>
  <c r="AL18" i="11"/>
  <c r="AM18" i="11" s="1"/>
  <c r="AG18" i="11"/>
  <c r="AB18" i="11"/>
  <c r="AH18" i="11" s="1"/>
  <c r="AN18" i="11" s="1"/>
  <c r="W19" i="11"/>
  <c r="AI17" i="10"/>
  <c r="AD17" i="10"/>
  <c r="AI18" i="9"/>
  <c r="AA18" i="11"/>
  <c r="AB18" i="4"/>
  <c r="AH18" i="4" s="1"/>
  <c r="W19" i="4"/>
  <c r="AD17" i="4"/>
  <c r="X19" i="4"/>
  <c r="L15" i="18" s="1"/>
  <c r="AC18" i="4"/>
  <c r="I19" i="4"/>
  <c r="U19" i="4" s="1"/>
  <c r="Y19" i="4" s="1"/>
  <c r="J19" i="4"/>
  <c r="V19" i="4" s="1"/>
  <c r="B15" i="18" s="1"/>
  <c r="V18" i="4"/>
  <c r="AG16" i="4"/>
  <c r="AF17" i="4"/>
  <c r="AL17" i="4" s="1"/>
  <c r="AM17" i="4" s="1"/>
  <c r="AA17" i="4"/>
  <c r="K50" i="4"/>
  <c r="O49" i="12"/>
  <c r="I19" i="10"/>
  <c r="U19" i="10" s="1"/>
  <c r="Y19" i="10" s="1"/>
  <c r="AE19" i="10" s="1"/>
  <c r="AK19" i="10" s="1"/>
  <c r="P20" i="4"/>
  <c r="M20" i="4"/>
  <c r="J20" i="12"/>
  <c r="V20" i="12" s="1"/>
  <c r="I19" i="11"/>
  <c r="U19" i="11" s="1"/>
  <c r="Y19" i="11" s="1"/>
  <c r="AE19" i="11" s="1"/>
  <c r="AK19" i="11" s="1"/>
  <c r="J20" i="10"/>
  <c r="V20" i="10" s="1"/>
  <c r="J20" i="9"/>
  <c r="V20" i="9" s="1"/>
  <c r="I20" i="9"/>
  <c r="U20" i="9" s="1"/>
  <c r="Y20" i="9" s="1"/>
  <c r="AE20" i="9" s="1"/>
  <c r="AK20" i="9" s="1"/>
  <c r="I21" i="12"/>
  <c r="J20" i="11"/>
  <c r="V20" i="11" s="1"/>
  <c r="AE19" i="4" l="1"/>
  <c r="AK19" i="4" s="1"/>
  <c r="AH20" i="12"/>
  <c r="AN20" i="12" s="1"/>
  <c r="AF19" i="9"/>
  <c r="AL19" i="9" s="1"/>
  <c r="AM19" i="9" s="1"/>
  <c r="AG17" i="4"/>
  <c r="Z18" i="4"/>
  <c r="AA18" i="4" s="1"/>
  <c r="B14" i="18"/>
  <c r="AP17" i="4"/>
  <c r="P15" i="18"/>
  <c r="AC19" i="12"/>
  <c r="X20" i="12"/>
  <c r="Z20" i="11"/>
  <c r="AF20" i="11" s="1"/>
  <c r="E16" i="18"/>
  <c r="AD18" i="12"/>
  <c r="AI18" i="12"/>
  <c r="Z20" i="9"/>
  <c r="AA20" i="9" s="1"/>
  <c r="C16" i="18"/>
  <c r="AO17" i="12"/>
  <c r="AP17" i="12" s="1"/>
  <c r="AJ17" i="12"/>
  <c r="AD18" i="9"/>
  <c r="Z20" i="10"/>
  <c r="D16" i="18"/>
  <c r="Z20" i="12"/>
  <c r="AF20" i="12" s="1"/>
  <c r="F16" i="18"/>
  <c r="AA19" i="11"/>
  <c r="W20" i="9"/>
  <c r="AB19" i="9"/>
  <c r="AH19" i="9" s="1"/>
  <c r="AN19" i="9" s="1"/>
  <c r="AN18" i="4"/>
  <c r="AI19" i="9"/>
  <c r="X21" i="9"/>
  <c r="M17" i="18" s="1"/>
  <c r="AC20" i="9"/>
  <c r="AJ17" i="10"/>
  <c r="AO17" i="10"/>
  <c r="AP17" i="10" s="1"/>
  <c r="AG19" i="11"/>
  <c r="AL19" i="11"/>
  <c r="AM19" i="11" s="1"/>
  <c r="AE18" i="12"/>
  <c r="AA18" i="12"/>
  <c r="W20" i="11"/>
  <c r="AB19" i="11"/>
  <c r="AH19" i="11" s="1"/>
  <c r="AN19" i="11" s="1"/>
  <c r="AD18" i="11"/>
  <c r="AI18" i="11"/>
  <c r="AB20" i="10"/>
  <c r="AH20" i="10" s="1"/>
  <c r="AN20" i="10" s="1"/>
  <c r="W21" i="10"/>
  <c r="AO18" i="9"/>
  <c r="AP18" i="9" s="1"/>
  <c r="AJ18" i="9"/>
  <c r="AA19" i="10"/>
  <c r="X20" i="11"/>
  <c r="O16" i="18" s="1"/>
  <c r="AC19" i="11"/>
  <c r="AD18" i="10"/>
  <c r="AI18" i="10"/>
  <c r="AC19" i="10"/>
  <c r="X20" i="10"/>
  <c r="N16" i="18" s="1"/>
  <c r="AL19" i="12"/>
  <c r="AG17" i="10"/>
  <c r="AL17" i="10"/>
  <c r="AM17" i="10" s="1"/>
  <c r="AF18" i="10"/>
  <c r="M20" i="12"/>
  <c r="U19" i="12"/>
  <c r="Y19" i="12" s="1"/>
  <c r="AO17" i="11"/>
  <c r="AP17" i="11" s="1"/>
  <c r="AJ17" i="11"/>
  <c r="AK17" i="12"/>
  <c r="AM17" i="12" s="1"/>
  <c r="AG17" i="12"/>
  <c r="AD18" i="4"/>
  <c r="AI18" i="4"/>
  <c r="AB21" i="12"/>
  <c r="AH21" i="12" s="1"/>
  <c r="AN21" i="12" s="1"/>
  <c r="W22" i="12"/>
  <c r="X20" i="4"/>
  <c r="L16" i="18" s="1"/>
  <c r="AC19" i="4"/>
  <c r="W20" i="4"/>
  <c r="AB19" i="4"/>
  <c r="AH19" i="4" s="1"/>
  <c r="I20" i="4"/>
  <c r="U20" i="4" s="1"/>
  <c r="Y20" i="4" s="1"/>
  <c r="AE20" i="4" s="1"/>
  <c r="AK20" i="4" s="1"/>
  <c r="J20" i="4"/>
  <c r="O50" i="12"/>
  <c r="K51" i="4"/>
  <c r="Z19" i="4"/>
  <c r="AA19" i="4" s="1"/>
  <c r="I21" i="9"/>
  <c r="U21" i="9" s="1"/>
  <c r="Y21" i="9" s="1"/>
  <c r="AE21" i="9" s="1"/>
  <c r="AK21" i="9" s="1"/>
  <c r="J21" i="11"/>
  <c r="V21" i="11" s="1"/>
  <c r="M21" i="4"/>
  <c r="J21" i="10"/>
  <c r="V21" i="10" s="1"/>
  <c r="P21" i="4"/>
  <c r="I22" i="12"/>
  <c r="I20" i="11"/>
  <c r="U20" i="11" s="1"/>
  <c r="Y20" i="11" s="1"/>
  <c r="AE20" i="11" s="1"/>
  <c r="AK20" i="11" s="1"/>
  <c r="J21" i="12"/>
  <c r="V21" i="12" s="1"/>
  <c r="J21" i="9"/>
  <c r="V21" i="9" s="1"/>
  <c r="I20" i="10"/>
  <c r="U20" i="10" s="1"/>
  <c r="Y20" i="10" s="1"/>
  <c r="AE20" i="10" s="1"/>
  <c r="AK20" i="10" s="1"/>
  <c r="AG19" i="9" l="1"/>
  <c r="AF18" i="4"/>
  <c r="AL18" i="4" s="1"/>
  <c r="AM18" i="4" s="1"/>
  <c r="AA20" i="10"/>
  <c r="AO18" i="12"/>
  <c r="AP18" i="12" s="1"/>
  <c r="AJ18" i="12"/>
  <c r="P16" i="18"/>
  <c r="AC20" i="12"/>
  <c r="X21" i="12"/>
  <c r="Z21" i="10"/>
  <c r="D17" i="18"/>
  <c r="AI19" i="12"/>
  <c r="AD19" i="12"/>
  <c r="Z21" i="9"/>
  <c r="AA21" i="9" s="1"/>
  <c r="C17" i="18"/>
  <c r="Z21" i="11"/>
  <c r="AF21" i="11" s="1"/>
  <c r="E17" i="18"/>
  <c r="AF20" i="9"/>
  <c r="AL20" i="9" s="1"/>
  <c r="AM20" i="9" s="1"/>
  <c r="Z21" i="12"/>
  <c r="AF21" i="12" s="1"/>
  <c r="F17" i="18"/>
  <c r="AD19" i="9"/>
  <c r="W21" i="9"/>
  <c r="AB20" i="9"/>
  <c r="AH20" i="9" s="1"/>
  <c r="AN20" i="9" s="1"/>
  <c r="AN19" i="4"/>
  <c r="AO18" i="4"/>
  <c r="AP18" i="4" s="1"/>
  <c r="AJ18" i="4"/>
  <c r="AO18" i="10"/>
  <c r="AP18" i="10" s="1"/>
  <c r="AJ18" i="10"/>
  <c r="AI19" i="4"/>
  <c r="AE19" i="12"/>
  <c r="AA19" i="12"/>
  <c r="AD19" i="11"/>
  <c r="AI19" i="11"/>
  <c r="X21" i="10"/>
  <c r="N17" i="18" s="1"/>
  <c r="AC20" i="10"/>
  <c r="W23" i="12"/>
  <c r="AB22" i="12"/>
  <c r="AH22" i="12" s="1"/>
  <c r="AN22" i="12" s="1"/>
  <c r="M21" i="12"/>
  <c r="U20" i="12"/>
  <c r="Y20" i="12" s="1"/>
  <c r="AC20" i="11"/>
  <c r="X21" i="11"/>
  <c r="O17" i="18" s="1"/>
  <c r="AI19" i="10"/>
  <c r="AD19" i="10"/>
  <c r="AL20" i="11"/>
  <c r="AM20" i="11" s="1"/>
  <c r="AG20" i="11"/>
  <c r="AA20" i="11"/>
  <c r="AL18" i="10"/>
  <c r="AM18" i="10" s="1"/>
  <c r="AG18" i="10"/>
  <c r="AF19" i="10"/>
  <c r="AI20" i="9"/>
  <c r="X22" i="9"/>
  <c r="M18" i="18" s="1"/>
  <c r="AC21" i="9"/>
  <c r="AJ19" i="9"/>
  <c r="AO19" i="9"/>
  <c r="AP19" i="9" s="1"/>
  <c r="AB20" i="11"/>
  <c r="AH20" i="11" s="1"/>
  <c r="AN20" i="11" s="1"/>
  <c r="W21" i="11"/>
  <c r="W22" i="10"/>
  <c r="AB21" i="10"/>
  <c r="AH21" i="10" s="1"/>
  <c r="AN21" i="10" s="1"/>
  <c r="AK18" i="12"/>
  <c r="AM18" i="12" s="1"/>
  <c r="AG18" i="12"/>
  <c r="AL20" i="12"/>
  <c r="AO18" i="11"/>
  <c r="AP18" i="11" s="1"/>
  <c r="AJ18" i="11"/>
  <c r="AD19" i="4"/>
  <c r="W21" i="4"/>
  <c r="AB20" i="4"/>
  <c r="AH20" i="4" s="1"/>
  <c r="X21" i="4"/>
  <c r="L17" i="18" s="1"/>
  <c r="AC20" i="4"/>
  <c r="AG18" i="4"/>
  <c r="I21" i="4"/>
  <c r="U21" i="4" s="1"/>
  <c r="Y21" i="4" s="1"/>
  <c r="AE21" i="4" s="1"/>
  <c r="AK21" i="4" s="1"/>
  <c r="J21" i="4"/>
  <c r="V21" i="4" s="1"/>
  <c r="B17" i="18" s="1"/>
  <c r="V20" i="4"/>
  <c r="K52" i="4"/>
  <c r="O51" i="12"/>
  <c r="AF19" i="4"/>
  <c r="AG19" i="4" s="1"/>
  <c r="J22" i="11"/>
  <c r="V22" i="11" s="1"/>
  <c r="I22" i="9"/>
  <c r="U22" i="9" s="1"/>
  <c r="Y22" i="9" s="1"/>
  <c r="AE22" i="9" s="1"/>
  <c r="AK22" i="9" s="1"/>
  <c r="I23" i="12"/>
  <c r="J22" i="10"/>
  <c r="V22" i="10" s="1"/>
  <c r="M22" i="4"/>
  <c r="J22" i="12"/>
  <c r="V22" i="12" s="1"/>
  <c r="I21" i="11"/>
  <c r="U21" i="11" s="1"/>
  <c r="Y21" i="11" s="1"/>
  <c r="AE21" i="11" s="1"/>
  <c r="AK21" i="11" s="1"/>
  <c r="I21" i="10"/>
  <c r="U21" i="10" s="1"/>
  <c r="Y21" i="10" s="1"/>
  <c r="AE21" i="10" s="1"/>
  <c r="AK21" i="10" s="1"/>
  <c r="J22" i="9"/>
  <c r="V22" i="9" s="1"/>
  <c r="P22" i="4"/>
  <c r="Z20" i="4" l="1"/>
  <c r="AA20" i="4" s="1"/>
  <c r="B16" i="18"/>
  <c r="AO19" i="12"/>
  <c r="AP19" i="12" s="1"/>
  <c r="AJ19" i="12"/>
  <c r="AF21" i="9"/>
  <c r="AG21" i="9" s="1"/>
  <c r="AD20" i="9"/>
  <c r="Z22" i="10"/>
  <c r="D18" i="18"/>
  <c r="P17" i="18"/>
  <c r="X22" i="12"/>
  <c r="AC21" i="12"/>
  <c r="AG20" i="9"/>
  <c r="AI20" i="12"/>
  <c r="AD20" i="12"/>
  <c r="Z22" i="9"/>
  <c r="AF22" i="9" s="1"/>
  <c r="C18" i="18"/>
  <c r="Z22" i="12"/>
  <c r="AF22" i="12" s="1"/>
  <c r="F18" i="18"/>
  <c r="Z22" i="11"/>
  <c r="AF22" i="11" s="1"/>
  <c r="E18" i="18"/>
  <c r="W22" i="9"/>
  <c r="AB21" i="9"/>
  <c r="AH21" i="9" s="1"/>
  <c r="AN21" i="9" s="1"/>
  <c r="AN20" i="4"/>
  <c r="AA21" i="10"/>
  <c r="AL21" i="12"/>
  <c r="W22" i="11"/>
  <c r="AB21" i="11"/>
  <c r="AH21" i="11" s="1"/>
  <c r="AN21" i="11" s="1"/>
  <c r="AG19" i="10"/>
  <c r="AL19" i="10"/>
  <c r="AM19" i="10" s="1"/>
  <c r="AF20" i="10"/>
  <c r="AD20" i="4"/>
  <c r="AI20" i="4"/>
  <c r="AJ19" i="11"/>
  <c r="AO19" i="11"/>
  <c r="AP19" i="11" s="1"/>
  <c r="AO19" i="10"/>
  <c r="AP19" i="10" s="1"/>
  <c r="AJ19" i="10"/>
  <c r="AL21" i="9"/>
  <c r="AM21" i="9" s="1"/>
  <c r="AC21" i="11"/>
  <c r="X22" i="11"/>
  <c r="O18" i="18" s="1"/>
  <c r="X22" i="10"/>
  <c r="N18" i="18" s="1"/>
  <c r="AC21" i="10"/>
  <c r="AI20" i="11"/>
  <c r="AD20" i="11"/>
  <c r="AO19" i="4"/>
  <c r="AP19" i="4" s="1"/>
  <c r="AJ19" i="4"/>
  <c r="AL21" i="11"/>
  <c r="AM21" i="11" s="1"/>
  <c r="AG21" i="11"/>
  <c r="AE20" i="12"/>
  <c r="AA20" i="12"/>
  <c r="AB22" i="10"/>
  <c r="AH22" i="10" s="1"/>
  <c r="AN22" i="10" s="1"/>
  <c r="W23" i="10"/>
  <c r="M22" i="12"/>
  <c r="U21" i="12"/>
  <c r="Y21" i="12" s="1"/>
  <c r="AI21" i="9"/>
  <c r="AD20" i="10"/>
  <c r="AI20" i="10"/>
  <c r="X23" i="9"/>
  <c r="M19" i="18" s="1"/>
  <c r="AC22" i="9"/>
  <c r="AK19" i="12"/>
  <c r="AM19" i="12" s="1"/>
  <c r="AG19" i="12"/>
  <c r="AJ20" i="9"/>
  <c r="AO20" i="9"/>
  <c r="AP20" i="9" s="1"/>
  <c r="AA21" i="11"/>
  <c r="W24" i="12"/>
  <c r="AB23" i="12"/>
  <c r="AH23" i="12" s="1"/>
  <c r="AN23" i="12" s="1"/>
  <c r="X22" i="4"/>
  <c r="L18" i="18" s="1"/>
  <c r="AC21" i="4"/>
  <c r="W22" i="4"/>
  <c r="AB21" i="4"/>
  <c r="AH21" i="4" s="1"/>
  <c r="I22" i="4"/>
  <c r="U22" i="4" s="1"/>
  <c r="Y22" i="4" s="1"/>
  <c r="AE22" i="4" s="1"/>
  <c r="AK22" i="4" s="1"/>
  <c r="J22" i="4"/>
  <c r="V22" i="4" s="1"/>
  <c r="B18" i="18" s="1"/>
  <c r="O52" i="12"/>
  <c r="K53" i="4"/>
  <c r="AF20" i="4"/>
  <c r="AL19" i="4"/>
  <c r="AM19" i="4" s="1"/>
  <c r="Z21" i="4"/>
  <c r="AA21" i="4" s="1"/>
  <c r="J23" i="12"/>
  <c r="V23" i="12" s="1"/>
  <c r="I24" i="12"/>
  <c r="I22" i="10"/>
  <c r="U22" i="10" s="1"/>
  <c r="Y22" i="10" s="1"/>
  <c r="AE22" i="10" s="1"/>
  <c r="AK22" i="10" s="1"/>
  <c r="I22" i="11"/>
  <c r="U22" i="11" s="1"/>
  <c r="Y22" i="11" s="1"/>
  <c r="AE22" i="11" s="1"/>
  <c r="AK22" i="11" s="1"/>
  <c r="J23" i="9"/>
  <c r="V23" i="9" s="1"/>
  <c r="M23" i="4"/>
  <c r="I23" i="9"/>
  <c r="U23" i="9" s="1"/>
  <c r="Y23" i="9" s="1"/>
  <c r="AE23" i="9" s="1"/>
  <c r="AK23" i="9" s="1"/>
  <c r="P23" i="4"/>
  <c r="J23" i="11"/>
  <c r="V23" i="11" s="1"/>
  <c r="J23" i="10"/>
  <c r="V23" i="10" s="1"/>
  <c r="Z23" i="11" l="1"/>
  <c r="AF23" i="11" s="1"/>
  <c r="E19" i="18"/>
  <c r="Z23" i="9"/>
  <c r="C19" i="18"/>
  <c r="AI21" i="12"/>
  <c r="AD21" i="12"/>
  <c r="P18" i="18"/>
  <c r="AC22" i="12"/>
  <c r="X23" i="12"/>
  <c r="Z23" i="10"/>
  <c r="D19" i="18"/>
  <c r="AD21" i="9"/>
  <c r="AA22" i="9"/>
  <c r="Z23" i="12"/>
  <c r="AF23" i="12" s="1"/>
  <c r="F19" i="18"/>
  <c r="AJ20" i="12"/>
  <c r="AO20" i="12"/>
  <c r="AP20" i="12" s="1"/>
  <c r="AA22" i="10"/>
  <c r="AB22" i="9"/>
  <c r="AH22" i="9" s="1"/>
  <c r="AN22" i="9" s="1"/>
  <c r="W23" i="9"/>
  <c r="AN21" i="4"/>
  <c r="AL20" i="10"/>
  <c r="AM20" i="10" s="1"/>
  <c r="AG20" i="10"/>
  <c r="AF21" i="10"/>
  <c r="AO20" i="11"/>
  <c r="AP20" i="11" s="1"/>
  <c r="AJ20" i="11"/>
  <c r="AB24" i="12"/>
  <c r="AH24" i="12" s="1"/>
  <c r="AN24" i="12" s="1"/>
  <c r="W25" i="12"/>
  <c r="AO20" i="4"/>
  <c r="AP20" i="4" s="1"/>
  <c r="AJ20" i="4"/>
  <c r="AI22" i="9"/>
  <c r="AB22" i="11"/>
  <c r="AH22" i="11" s="1"/>
  <c r="AN22" i="11" s="1"/>
  <c r="W23" i="11"/>
  <c r="AA23" i="9"/>
  <c r="AF23" i="9"/>
  <c r="AC22" i="10"/>
  <c r="X23" i="10"/>
  <c r="N19" i="18" s="1"/>
  <c r="X23" i="11"/>
  <c r="O19" i="18" s="1"/>
  <c r="AC22" i="11"/>
  <c r="AI21" i="11"/>
  <c r="AD21" i="11"/>
  <c r="AI21" i="4"/>
  <c r="AO21" i="9"/>
  <c r="AP21" i="9" s="1"/>
  <c r="AJ21" i="9"/>
  <c r="AE21" i="12"/>
  <c r="AA21" i="12"/>
  <c r="M23" i="12"/>
  <c r="U22" i="12"/>
  <c r="Y22" i="12" s="1"/>
  <c r="AL22" i="12"/>
  <c r="AK20" i="12"/>
  <c r="AM20" i="12" s="1"/>
  <c r="AG20" i="12"/>
  <c r="AD21" i="10"/>
  <c r="AI21" i="10"/>
  <c r="W24" i="10"/>
  <c r="AB23" i="10"/>
  <c r="AH23" i="10" s="1"/>
  <c r="AN23" i="10" s="1"/>
  <c r="AO20" i="10"/>
  <c r="AP20" i="10" s="1"/>
  <c r="AJ20" i="10"/>
  <c r="AL22" i="11"/>
  <c r="AM22" i="11" s="1"/>
  <c r="AG22" i="11"/>
  <c r="AL22" i="9"/>
  <c r="AM22" i="9" s="1"/>
  <c r="AG22" i="9"/>
  <c r="AC23" i="9"/>
  <c r="X24" i="9"/>
  <c r="M20" i="18" s="1"/>
  <c r="AA22" i="11"/>
  <c r="W23" i="4"/>
  <c r="AB22" i="4"/>
  <c r="AH22" i="4" s="1"/>
  <c r="AD21" i="4"/>
  <c r="X23" i="4"/>
  <c r="L19" i="18" s="1"/>
  <c r="AC22" i="4"/>
  <c r="J23" i="4"/>
  <c r="V23" i="4" s="1"/>
  <c r="B19" i="18" s="1"/>
  <c r="I23" i="4"/>
  <c r="AF21" i="4"/>
  <c r="AG21" i="4" s="1"/>
  <c r="AL20" i="4"/>
  <c r="AM20" i="4" s="1"/>
  <c r="AG20" i="4"/>
  <c r="K54" i="4"/>
  <c r="O53" i="12"/>
  <c r="Z22" i="4"/>
  <c r="AA22" i="4" s="1"/>
  <c r="J24" i="11"/>
  <c r="V24" i="11" s="1"/>
  <c r="I25" i="12"/>
  <c r="I23" i="10"/>
  <c r="U23" i="10" s="1"/>
  <c r="Y23" i="10" s="1"/>
  <c r="AE23" i="10" s="1"/>
  <c r="AK23" i="10" s="1"/>
  <c r="P24" i="4"/>
  <c r="I24" i="9"/>
  <c r="U24" i="9" s="1"/>
  <c r="Y24" i="9" s="1"/>
  <c r="AE24" i="9" s="1"/>
  <c r="AK24" i="9" s="1"/>
  <c r="M24" i="4"/>
  <c r="J24" i="9"/>
  <c r="V24" i="9" s="1"/>
  <c r="I23" i="11"/>
  <c r="U23" i="11" s="1"/>
  <c r="Y23" i="11" s="1"/>
  <c r="AE23" i="11" s="1"/>
  <c r="AK23" i="11" s="1"/>
  <c r="J24" i="10"/>
  <c r="V24" i="10" s="1"/>
  <c r="J24" i="12"/>
  <c r="V24" i="12" s="1"/>
  <c r="AD22" i="9" l="1"/>
  <c r="Z24" i="11"/>
  <c r="AF24" i="11" s="1"/>
  <c r="E20" i="18"/>
  <c r="P19" i="18"/>
  <c r="AC23" i="12"/>
  <c r="X24" i="12"/>
  <c r="AI22" i="12"/>
  <c r="AD22" i="12"/>
  <c r="Z24" i="9"/>
  <c r="C20" i="18"/>
  <c r="AO21" i="12"/>
  <c r="AP21" i="12" s="1"/>
  <c r="AJ21" i="12"/>
  <c r="Z24" i="12"/>
  <c r="AF24" i="12" s="1"/>
  <c r="F20" i="18"/>
  <c r="Z24" i="10"/>
  <c r="D20" i="18"/>
  <c r="AA23" i="10"/>
  <c r="W24" i="9"/>
  <c r="AB23" i="9"/>
  <c r="AH23" i="9" s="1"/>
  <c r="AN23" i="9" s="1"/>
  <c r="AL21" i="4"/>
  <c r="AM21" i="4" s="1"/>
  <c r="AN22" i="4"/>
  <c r="AI23" i="9"/>
  <c r="AO21" i="4"/>
  <c r="AP21" i="4" s="1"/>
  <c r="AJ21" i="4"/>
  <c r="AJ21" i="10"/>
  <c r="AO21" i="10"/>
  <c r="AP21" i="10" s="1"/>
  <c r="AB23" i="11"/>
  <c r="AH23" i="11" s="1"/>
  <c r="AN23" i="11" s="1"/>
  <c r="W24" i="11"/>
  <c r="AL23" i="11"/>
  <c r="AM23" i="11" s="1"/>
  <c r="AG23" i="11"/>
  <c r="AL23" i="12"/>
  <c r="AL23" i="9"/>
  <c r="AM23" i="9" s="1"/>
  <c r="AG23" i="9"/>
  <c r="AA24" i="9"/>
  <c r="AF24" i="9"/>
  <c r="W25" i="10"/>
  <c r="AB24" i="10"/>
  <c r="AH24" i="10" s="1"/>
  <c r="AN24" i="10" s="1"/>
  <c r="AA23" i="11"/>
  <c r="W26" i="12"/>
  <c r="AB25" i="12"/>
  <c r="AH25" i="12" s="1"/>
  <c r="AN25" i="12" s="1"/>
  <c r="AG21" i="10"/>
  <c r="AL21" i="10"/>
  <c r="AM21" i="10" s="1"/>
  <c r="AF22" i="10"/>
  <c r="AK21" i="12"/>
  <c r="AM21" i="12" s="1"/>
  <c r="AG21" i="12"/>
  <c r="AO22" i="9"/>
  <c r="AP22" i="9" s="1"/>
  <c r="AJ22" i="9"/>
  <c r="AC24" i="9"/>
  <c r="X25" i="9"/>
  <c r="M21" i="18" s="1"/>
  <c r="AJ21" i="11"/>
  <c r="AO21" i="11"/>
  <c r="AP21" i="11" s="1"/>
  <c r="AE22" i="12"/>
  <c r="AA22" i="12"/>
  <c r="AC23" i="11"/>
  <c r="X24" i="11"/>
  <c r="O20" i="18" s="1"/>
  <c r="AI22" i="10"/>
  <c r="AD22" i="10"/>
  <c r="AI22" i="11"/>
  <c r="AD22" i="11"/>
  <c r="AD22" i="4"/>
  <c r="AI22" i="4"/>
  <c r="M24" i="12"/>
  <c r="U23" i="12"/>
  <c r="Y23" i="12" s="1"/>
  <c r="X24" i="10"/>
  <c r="N20" i="18" s="1"/>
  <c r="AC23" i="10"/>
  <c r="AC23" i="4"/>
  <c r="X24" i="4"/>
  <c r="L20" i="18" s="1"/>
  <c r="W24" i="4"/>
  <c r="AB23" i="4"/>
  <c r="AH23" i="4" s="1"/>
  <c r="I24" i="4"/>
  <c r="U24" i="4" s="1"/>
  <c r="U23" i="4"/>
  <c r="Y23" i="4" s="1"/>
  <c r="AE23" i="4" s="1"/>
  <c r="AK23" i="4" s="1"/>
  <c r="J24" i="4"/>
  <c r="V24" i="4" s="1"/>
  <c r="B20" i="18" s="1"/>
  <c r="AF22" i="4"/>
  <c r="AG22" i="4" s="1"/>
  <c r="O54" i="12"/>
  <c r="K55" i="4"/>
  <c r="Z23" i="4"/>
  <c r="I25" i="9"/>
  <c r="U25" i="9" s="1"/>
  <c r="Y25" i="9" s="1"/>
  <c r="AE25" i="9" s="1"/>
  <c r="AK25" i="9" s="1"/>
  <c r="P25" i="4"/>
  <c r="J25" i="12"/>
  <c r="V25" i="12" s="1"/>
  <c r="I26" i="12"/>
  <c r="J25" i="10"/>
  <c r="V25" i="10" s="1"/>
  <c r="J25" i="11"/>
  <c r="V25" i="11" s="1"/>
  <c r="J25" i="9"/>
  <c r="V25" i="9" s="1"/>
  <c r="M25" i="4"/>
  <c r="I24" i="11"/>
  <c r="U24" i="11" s="1"/>
  <c r="Y24" i="11" s="1"/>
  <c r="AE24" i="11" s="1"/>
  <c r="AK24" i="11" s="1"/>
  <c r="I24" i="10"/>
  <c r="U24" i="10" s="1"/>
  <c r="Y24" i="10" s="1"/>
  <c r="AE24" i="10" s="1"/>
  <c r="AK24" i="10" s="1"/>
  <c r="AO22" i="12" l="1"/>
  <c r="AP22" i="12" s="1"/>
  <c r="AJ22" i="12"/>
  <c r="Z25" i="12"/>
  <c r="AF25" i="12" s="1"/>
  <c r="F21" i="18"/>
  <c r="P20" i="18"/>
  <c r="AC24" i="12"/>
  <c r="X25" i="12"/>
  <c r="AD23" i="12"/>
  <c r="AI23" i="12"/>
  <c r="Z25" i="9"/>
  <c r="AA25" i="9" s="1"/>
  <c r="C21" i="18"/>
  <c r="AA24" i="11"/>
  <c r="Z25" i="10"/>
  <c r="D21" i="18"/>
  <c r="Y24" i="4"/>
  <c r="AE24" i="4" s="1"/>
  <c r="AK24" i="4" s="1"/>
  <c r="Z25" i="11"/>
  <c r="AF25" i="11" s="1"/>
  <c r="E21" i="18"/>
  <c r="AD23" i="9"/>
  <c r="W25" i="9"/>
  <c r="AB24" i="9"/>
  <c r="AH24" i="9" s="1"/>
  <c r="AN24" i="9" s="1"/>
  <c r="AN23" i="4"/>
  <c r="AE23" i="12"/>
  <c r="AA23" i="12"/>
  <c r="AB24" i="11"/>
  <c r="AH24" i="11" s="1"/>
  <c r="AN24" i="11" s="1"/>
  <c r="W25" i="11"/>
  <c r="AL22" i="10"/>
  <c r="AM22" i="10" s="1"/>
  <c r="AG22" i="10"/>
  <c r="AF23" i="10"/>
  <c r="AO22" i="10"/>
  <c r="AP22" i="10" s="1"/>
  <c r="AJ22" i="10"/>
  <c r="X26" i="9"/>
  <c r="M22" i="18" s="1"/>
  <c r="AC25" i="9"/>
  <c r="AI23" i="10"/>
  <c r="AD23" i="10"/>
  <c r="X25" i="10"/>
  <c r="N21" i="18" s="1"/>
  <c r="AC24" i="10"/>
  <c r="AI24" i="9"/>
  <c r="AI23" i="11"/>
  <c r="AD23" i="11"/>
  <c r="AB25" i="10"/>
  <c r="AH25" i="10" s="1"/>
  <c r="AN25" i="10" s="1"/>
  <c r="W26" i="10"/>
  <c r="M25" i="12"/>
  <c r="U24" i="12"/>
  <c r="Y24" i="12" s="1"/>
  <c r="AI23" i="4"/>
  <c r="AO22" i="11"/>
  <c r="AP22" i="11" s="1"/>
  <c r="AJ22" i="11"/>
  <c r="W27" i="12"/>
  <c r="AB26" i="12"/>
  <c r="AH26" i="12" s="1"/>
  <c r="AN26" i="12" s="1"/>
  <c r="X25" i="11"/>
  <c r="O21" i="18" s="1"/>
  <c r="AC24" i="11"/>
  <c r="AK22" i="12"/>
  <c r="AM22" i="12" s="1"/>
  <c r="AG22" i="12"/>
  <c r="AO23" i="9"/>
  <c r="AP23" i="9" s="1"/>
  <c r="AJ23" i="9"/>
  <c r="AL24" i="9"/>
  <c r="AM24" i="9" s="1"/>
  <c r="AG24" i="9"/>
  <c r="AL22" i="4"/>
  <c r="AM22" i="4" s="1"/>
  <c r="AL24" i="12"/>
  <c r="AO22" i="4"/>
  <c r="AP22" i="4" s="1"/>
  <c r="AJ22" i="4"/>
  <c r="AL24" i="11"/>
  <c r="AM24" i="11" s="1"/>
  <c r="AG24" i="11"/>
  <c r="AA24" i="10"/>
  <c r="W25" i="4"/>
  <c r="AB24" i="4"/>
  <c r="AH24" i="4" s="1"/>
  <c r="X25" i="4"/>
  <c r="L21" i="18" s="1"/>
  <c r="AC24" i="4"/>
  <c r="AD23" i="4"/>
  <c r="AF23" i="4"/>
  <c r="AG23" i="4" s="1"/>
  <c r="J25" i="4"/>
  <c r="I25" i="4"/>
  <c r="U25" i="4" s="1"/>
  <c r="Y25" i="4" s="1"/>
  <c r="AA23" i="4"/>
  <c r="K56" i="4"/>
  <c r="O55" i="12"/>
  <c r="Z24" i="4"/>
  <c r="J26" i="11"/>
  <c r="V26" i="11" s="1"/>
  <c r="I25" i="10"/>
  <c r="U25" i="10" s="1"/>
  <c r="Y25" i="10" s="1"/>
  <c r="AE25" i="10" s="1"/>
  <c r="AK25" i="10" s="1"/>
  <c r="I25" i="11"/>
  <c r="U25" i="11" s="1"/>
  <c r="Y25" i="11" s="1"/>
  <c r="AE25" i="11" s="1"/>
  <c r="AK25" i="11" s="1"/>
  <c r="P26" i="4"/>
  <c r="I26" i="9"/>
  <c r="U26" i="9" s="1"/>
  <c r="Y26" i="9" s="1"/>
  <c r="AE26" i="9" s="1"/>
  <c r="AK26" i="9" s="1"/>
  <c r="I27" i="12"/>
  <c r="J26" i="12"/>
  <c r="V26" i="12" s="1"/>
  <c r="M26" i="4"/>
  <c r="J26" i="9"/>
  <c r="V26" i="9" s="1"/>
  <c r="J26" i="10"/>
  <c r="V26" i="10" s="1"/>
  <c r="Z26" i="10" l="1"/>
  <c r="D22" i="18"/>
  <c r="AJ23" i="12"/>
  <c r="AO23" i="12"/>
  <c r="AP23" i="12" s="1"/>
  <c r="Z26" i="12"/>
  <c r="AF26" i="12" s="1"/>
  <c r="F22" i="18"/>
  <c r="P21" i="18"/>
  <c r="X26" i="12"/>
  <c r="AC25" i="12"/>
  <c r="Z26" i="11"/>
  <c r="AF26" i="11" s="1"/>
  <c r="E22" i="18"/>
  <c r="AE25" i="4"/>
  <c r="AK25" i="4" s="1"/>
  <c r="AF25" i="9"/>
  <c r="AG25" i="9" s="1"/>
  <c r="AI24" i="12"/>
  <c r="AD24" i="12"/>
  <c r="Z26" i="9"/>
  <c r="C22" i="18"/>
  <c r="AD24" i="9"/>
  <c r="W26" i="9"/>
  <c r="AB25" i="9"/>
  <c r="AH25" i="9" s="1"/>
  <c r="AN25" i="9" s="1"/>
  <c r="AN24" i="4"/>
  <c r="AO23" i="4"/>
  <c r="AP23" i="4" s="1"/>
  <c r="AJ23" i="4"/>
  <c r="AE24" i="12"/>
  <c r="AA24" i="12"/>
  <c r="M26" i="12"/>
  <c r="U25" i="12"/>
  <c r="Y25" i="12" s="1"/>
  <c r="AB26" i="10"/>
  <c r="AH26" i="10" s="1"/>
  <c r="AN26" i="10" s="1"/>
  <c r="W27" i="10"/>
  <c r="AL23" i="4"/>
  <c r="AM23" i="4" s="1"/>
  <c r="AB27" i="12"/>
  <c r="AH27" i="12" s="1"/>
  <c r="AN27" i="12" s="1"/>
  <c r="W28" i="12"/>
  <c r="X27" i="9"/>
  <c r="M23" i="18" s="1"/>
  <c r="AC26" i="9"/>
  <c r="AO23" i="11"/>
  <c r="AP23" i="11" s="1"/>
  <c r="AJ23" i="11"/>
  <c r="AL25" i="12"/>
  <c r="AB25" i="11"/>
  <c r="AH25" i="11" s="1"/>
  <c r="AN25" i="11" s="1"/>
  <c r="W26" i="11"/>
  <c r="X26" i="11"/>
  <c r="O22" i="18" s="1"/>
  <c r="AC25" i="11"/>
  <c r="X26" i="10"/>
  <c r="N22" i="18" s="1"/>
  <c r="AC25" i="10"/>
  <c r="AL23" i="10"/>
  <c r="AM23" i="10" s="1"/>
  <c r="AG23" i="10"/>
  <c r="AF24" i="10"/>
  <c r="AD24" i="10"/>
  <c r="AI24" i="10"/>
  <c r="AO23" i="10"/>
  <c r="AP23" i="10" s="1"/>
  <c r="AJ23" i="10"/>
  <c r="AI25" i="9"/>
  <c r="AD24" i="11"/>
  <c r="AI24" i="11"/>
  <c r="AD24" i="4"/>
  <c r="AI24" i="4"/>
  <c r="AA25" i="10"/>
  <c r="AK23" i="12"/>
  <c r="AM23" i="12" s="1"/>
  <c r="AG23" i="12"/>
  <c r="AG25" i="11"/>
  <c r="AL25" i="11"/>
  <c r="AM25" i="11" s="1"/>
  <c r="AJ24" i="9"/>
  <c r="AO24" i="9"/>
  <c r="AP24" i="9" s="1"/>
  <c r="AF24" i="4"/>
  <c r="AL24" i="4" s="1"/>
  <c r="AM24" i="4" s="1"/>
  <c r="AA25" i="11"/>
  <c r="X26" i="4"/>
  <c r="L22" i="18" s="1"/>
  <c r="AC25" i="4"/>
  <c r="W26" i="4"/>
  <c r="AB25" i="4"/>
  <c r="AH25" i="4" s="1"/>
  <c r="I26" i="4"/>
  <c r="U26" i="4" s="1"/>
  <c r="Y26" i="4" s="1"/>
  <c r="J26" i="4"/>
  <c r="V26" i="4" s="1"/>
  <c r="B22" i="18" s="1"/>
  <c r="V25" i="4"/>
  <c r="K57" i="4"/>
  <c r="O56" i="12"/>
  <c r="AA24" i="4"/>
  <c r="I26" i="11"/>
  <c r="U26" i="11" s="1"/>
  <c r="Y26" i="11" s="1"/>
  <c r="AE26" i="11" s="1"/>
  <c r="AK26" i="11" s="1"/>
  <c r="I28" i="12"/>
  <c r="J27" i="11"/>
  <c r="V27" i="11" s="1"/>
  <c r="M27" i="4"/>
  <c r="P27" i="4"/>
  <c r="I27" i="9"/>
  <c r="U27" i="9" s="1"/>
  <c r="Y27" i="9" s="1"/>
  <c r="AE27" i="9" s="1"/>
  <c r="AK27" i="9" s="1"/>
  <c r="J27" i="9"/>
  <c r="V27" i="9" s="1"/>
  <c r="J27" i="12"/>
  <c r="V27" i="12" s="1"/>
  <c r="I26" i="10"/>
  <c r="U26" i="10" s="1"/>
  <c r="Y26" i="10" s="1"/>
  <c r="AE26" i="10" s="1"/>
  <c r="AK26" i="10" s="1"/>
  <c r="J27" i="10"/>
  <c r="V27" i="10" s="1"/>
  <c r="AF26" i="9" l="1"/>
  <c r="AL26" i="9" s="1"/>
  <c r="AM26" i="9" s="1"/>
  <c r="AA26" i="9"/>
  <c r="AE26" i="4"/>
  <c r="AK26" i="4" s="1"/>
  <c r="AI25" i="4"/>
  <c r="AO25" i="4" s="1"/>
  <c r="Z27" i="9"/>
  <c r="C23" i="18"/>
  <c r="AD25" i="12"/>
  <c r="AI25" i="12"/>
  <c r="P22" i="18"/>
  <c r="X27" i="12"/>
  <c r="AC26" i="12"/>
  <c r="Z27" i="12"/>
  <c r="AF27" i="12" s="1"/>
  <c r="F23" i="18"/>
  <c r="Z27" i="10"/>
  <c r="D23" i="18"/>
  <c r="Z27" i="11"/>
  <c r="AF27" i="11" s="1"/>
  <c r="E23" i="18"/>
  <c r="AD25" i="9"/>
  <c r="AL25" i="9"/>
  <c r="AM25" i="9" s="1"/>
  <c r="Z25" i="4"/>
  <c r="AA25" i="4" s="1"/>
  <c r="B21" i="18"/>
  <c r="AO24" i="12"/>
  <c r="AP24" i="12" s="1"/>
  <c r="AJ24" i="12"/>
  <c r="AA26" i="11"/>
  <c r="W27" i="9"/>
  <c r="AB26" i="9"/>
  <c r="AH26" i="9" s="1"/>
  <c r="AN26" i="9" s="1"/>
  <c r="AN25" i="4"/>
  <c r="W28" i="10"/>
  <c r="AB27" i="10"/>
  <c r="AH27" i="10" s="1"/>
  <c r="AN27" i="10" s="1"/>
  <c r="M27" i="12"/>
  <c r="U26" i="12"/>
  <c r="Y26" i="12" s="1"/>
  <c r="AA27" i="9"/>
  <c r="AF27" i="9"/>
  <c r="AL24" i="10"/>
  <c r="AM24" i="10" s="1"/>
  <c r="AG24" i="10"/>
  <c r="AF25" i="10"/>
  <c r="W29" i="12"/>
  <c r="AB28" i="12"/>
  <c r="AH28" i="12" s="1"/>
  <c r="AN28" i="12" s="1"/>
  <c r="AG24" i="4"/>
  <c r="AI25" i="11"/>
  <c r="AD25" i="11"/>
  <c r="AK24" i="12"/>
  <c r="AM24" i="12" s="1"/>
  <c r="AG24" i="12"/>
  <c r="AC26" i="10"/>
  <c r="X27" i="10"/>
  <c r="N23" i="18" s="1"/>
  <c r="W27" i="11"/>
  <c r="AB26" i="11"/>
  <c r="AH26" i="11" s="1"/>
  <c r="AN26" i="11" s="1"/>
  <c r="AE25" i="12"/>
  <c r="AA25" i="12"/>
  <c r="AO24" i="11"/>
  <c r="AP24" i="11" s="1"/>
  <c r="AJ24" i="11"/>
  <c r="AO25" i="9"/>
  <c r="AP25" i="9" s="1"/>
  <c r="AJ25" i="9"/>
  <c r="AJ24" i="10"/>
  <c r="AO24" i="10"/>
  <c r="AP24" i="10" s="1"/>
  <c r="AL26" i="11"/>
  <c r="AM26" i="11" s="1"/>
  <c r="AG26" i="11"/>
  <c r="AC26" i="11"/>
  <c r="X27" i="11"/>
  <c r="O23" i="18" s="1"/>
  <c r="AL26" i="12"/>
  <c r="AA26" i="10"/>
  <c r="AI25" i="10"/>
  <c r="AD25" i="10"/>
  <c r="AC27" i="9"/>
  <c r="X28" i="9"/>
  <c r="M24" i="18" s="1"/>
  <c r="AO24" i="4"/>
  <c r="AP24" i="4" s="1"/>
  <c r="AJ24" i="4"/>
  <c r="AG26" i="9"/>
  <c r="AI26" i="9"/>
  <c r="W27" i="4"/>
  <c r="AB26" i="4"/>
  <c r="AH26" i="4" s="1"/>
  <c r="AD25" i="4"/>
  <c r="X27" i="4"/>
  <c r="L23" i="18" s="1"/>
  <c r="AC26" i="4"/>
  <c r="J27" i="4"/>
  <c r="V27" i="4" s="1"/>
  <c r="B23" i="18" s="1"/>
  <c r="I27" i="4"/>
  <c r="O57" i="12"/>
  <c r="K58" i="4"/>
  <c r="Z26" i="4"/>
  <c r="AA26" i="4" s="1"/>
  <c r="I27" i="11"/>
  <c r="U27" i="11" s="1"/>
  <c r="Y27" i="11" s="1"/>
  <c r="AE27" i="11" s="1"/>
  <c r="AK27" i="11" s="1"/>
  <c r="J28" i="9"/>
  <c r="V28" i="9" s="1"/>
  <c r="I28" i="9"/>
  <c r="U28" i="9" s="1"/>
  <c r="Y28" i="9" s="1"/>
  <c r="AE28" i="9" s="1"/>
  <c r="AK28" i="9" s="1"/>
  <c r="P28" i="4"/>
  <c r="M28" i="4"/>
  <c r="J28" i="11"/>
  <c r="V28" i="11" s="1"/>
  <c r="J28" i="10"/>
  <c r="V28" i="10" s="1"/>
  <c r="I27" i="10"/>
  <c r="U27" i="10" s="1"/>
  <c r="Y27" i="10" s="1"/>
  <c r="AE27" i="10" s="1"/>
  <c r="AK27" i="10" s="1"/>
  <c r="I29" i="12"/>
  <c r="J28" i="12"/>
  <c r="V28" i="12" s="1"/>
  <c r="AJ25" i="4" l="1"/>
  <c r="AP25" i="4"/>
  <c r="AB29" i="12"/>
  <c r="AH29" i="12" s="1"/>
  <c r="W30" i="12"/>
  <c r="AA27" i="10"/>
  <c r="AF25" i="4"/>
  <c r="AG25" i="4" s="1"/>
  <c r="Z28" i="9"/>
  <c r="C24" i="18"/>
  <c r="Z28" i="11"/>
  <c r="E24" i="18"/>
  <c r="AD26" i="12"/>
  <c r="AI26" i="12"/>
  <c r="P23" i="18"/>
  <c r="X28" i="12"/>
  <c r="AC27" i="12"/>
  <c r="AJ25" i="12"/>
  <c r="AO25" i="12"/>
  <c r="AP25" i="12" s="1"/>
  <c r="Z28" i="10"/>
  <c r="D24" i="18"/>
  <c r="Z28" i="12"/>
  <c r="AF28" i="12" s="1"/>
  <c r="F24" i="18"/>
  <c r="AD26" i="9"/>
  <c r="AA27" i="11"/>
  <c r="AB27" i="9"/>
  <c r="AH27" i="9" s="1"/>
  <c r="AN27" i="9" s="1"/>
  <c r="W28" i="9"/>
  <c r="AN26" i="4"/>
  <c r="AJ26" i="9"/>
  <c r="AO26" i="9"/>
  <c r="AP26" i="9" s="1"/>
  <c r="AL27" i="11"/>
  <c r="AM27" i="11" s="1"/>
  <c r="AG27" i="11"/>
  <c r="AG27" i="9"/>
  <c r="AL27" i="9"/>
  <c r="AM27" i="9" s="1"/>
  <c r="AJ25" i="11"/>
  <c r="AO25" i="11"/>
  <c r="AP25" i="11" s="1"/>
  <c r="AI27" i="9"/>
  <c r="AE26" i="12"/>
  <c r="AA26" i="12"/>
  <c r="AF28" i="11"/>
  <c r="M28" i="12"/>
  <c r="U27" i="12"/>
  <c r="Y27" i="12" s="1"/>
  <c r="X28" i="11"/>
  <c r="O24" i="18" s="1"/>
  <c r="AC27" i="11"/>
  <c r="AB27" i="11"/>
  <c r="AH27" i="11" s="1"/>
  <c r="AN27" i="11" s="1"/>
  <c r="W28" i="11"/>
  <c r="AI26" i="10"/>
  <c r="AD26" i="10"/>
  <c r="AD26" i="11"/>
  <c r="AI26" i="11"/>
  <c r="X29" i="9"/>
  <c r="AC28" i="9"/>
  <c r="AL27" i="12"/>
  <c r="AL25" i="10"/>
  <c r="AM25" i="10" s="1"/>
  <c r="AG25" i="10"/>
  <c r="AF26" i="10"/>
  <c r="AK25" i="12"/>
  <c r="AM25" i="12" s="1"/>
  <c r="AG25" i="12"/>
  <c r="AA28" i="9"/>
  <c r="AF28" i="9"/>
  <c r="AD26" i="4"/>
  <c r="AI26" i="4"/>
  <c r="AJ25" i="10"/>
  <c r="AO25" i="10"/>
  <c r="AP25" i="10" s="1"/>
  <c r="AC27" i="10"/>
  <c r="X28" i="10"/>
  <c r="N24" i="18" s="1"/>
  <c r="AB28" i="10"/>
  <c r="AH28" i="10" s="1"/>
  <c r="AN28" i="10" s="1"/>
  <c r="W29" i="10"/>
  <c r="X28" i="4"/>
  <c r="L24" i="18" s="1"/>
  <c r="AC27" i="4"/>
  <c r="W28" i="4"/>
  <c r="AB27" i="4"/>
  <c r="AH27" i="4" s="1"/>
  <c r="I28" i="4"/>
  <c r="U28" i="4" s="1"/>
  <c r="J28" i="4"/>
  <c r="U27" i="4"/>
  <c r="Y27" i="4" s="1"/>
  <c r="AE27" i="4" s="1"/>
  <c r="AK27" i="4" s="1"/>
  <c r="K59" i="4"/>
  <c r="O58" i="12"/>
  <c r="I30" i="12"/>
  <c r="Z27" i="4"/>
  <c r="I28" i="11"/>
  <c r="U28" i="11" s="1"/>
  <c r="Y28" i="11" s="1"/>
  <c r="AE28" i="11" s="1"/>
  <c r="AK28" i="11" s="1"/>
  <c r="I29" i="9"/>
  <c r="U29" i="9" s="1"/>
  <c r="Y29" i="9" s="1"/>
  <c r="AE29" i="9" s="1"/>
  <c r="P29" i="4"/>
  <c r="J29" i="10"/>
  <c r="V29" i="10" s="1"/>
  <c r="D25" i="18" s="1"/>
  <c r="J29" i="11"/>
  <c r="V29" i="11" s="1"/>
  <c r="E25" i="18" s="1"/>
  <c r="J29" i="12"/>
  <c r="V29" i="12" s="1"/>
  <c r="F25" i="18" s="1"/>
  <c r="M29" i="4"/>
  <c r="J29" i="9"/>
  <c r="V29" i="9" s="1"/>
  <c r="C25" i="18" s="1"/>
  <c r="I28" i="10"/>
  <c r="U28" i="10" s="1"/>
  <c r="Y28" i="10" s="1"/>
  <c r="AE28" i="10" s="1"/>
  <c r="AK28" i="10" s="1"/>
  <c r="AL25" i="4" l="1"/>
  <c r="AM25" i="4" s="1"/>
  <c r="AF26" i="4"/>
  <c r="AG26" i="4" s="1"/>
  <c r="M25" i="18"/>
  <c r="X30" i="9"/>
  <c r="AB30" i="12"/>
  <c r="AH30" i="12" s="1"/>
  <c r="AN30" i="12" s="1"/>
  <c r="W31" i="12"/>
  <c r="AB29" i="10"/>
  <c r="AH29" i="10" s="1"/>
  <c r="AN29" i="10" s="1"/>
  <c r="W30" i="10"/>
  <c r="AD27" i="9"/>
  <c r="P24" i="18"/>
  <c r="X29" i="12"/>
  <c r="AC28" i="12"/>
  <c r="AJ26" i="12"/>
  <c r="AO26" i="12"/>
  <c r="AP26" i="12" s="1"/>
  <c r="AI27" i="4"/>
  <c r="AO27" i="4" s="1"/>
  <c r="AD27" i="12"/>
  <c r="AI27" i="12"/>
  <c r="AA27" i="4"/>
  <c r="Y28" i="4"/>
  <c r="AE28" i="4" s="1"/>
  <c r="AK28" i="4" s="1"/>
  <c r="W29" i="9"/>
  <c r="AB28" i="9"/>
  <c r="AH28" i="9" s="1"/>
  <c r="AN28" i="9" s="1"/>
  <c r="AN27" i="4"/>
  <c r="AI28" i="9"/>
  <c r="AL28" i="12"/>
  <c r="X29" i="10"/>
  <c r="AC28" i="10"/>
  <c r="AL28" i="11"/>
  <c r="AM28" i="11" s="1"/>
  <c r="AG28" i="11"/>
  <c r="AJ27" i="9"/>
  <c r="AO27" i="9"/>
  <c r="AP27" i="9" s="1"/>
  <c r="AK26" i="12"/>
  <c r="AM26" i="12" s="1"/>
  <c r="AG26" i="12"/>
  <c r="AA28" i="10"/>
  <c r="AB28" i="11"/>
  <c r="AH28" i="11" s="1"/>
  <c r="AN28" i="11" s="1"/>
  <c r="W29" i="11"/>
  <c r="AO26" i="4"/>
  <c r="AP26" i="4" s="1"/>
  <c r="AJ26" i="4"/>
  <c r="AK29" i="9"/>
  <c r="AC29" i="9"/>
  <c r="AJ26" i="11"/>
  <c r="AO26" i="11"/>
  <c r="AP26" i="11" s="1"/>
  <c r="Z29" i="9"/>
  <c r="AL28" i="9"/>
  <c r="AM28" i="9" s="1"/>
  <c r="AG28" i="9"/>
  <c r="AD27" i="11"/>
  <c r="AI27" i="11"/>
  <c r="AI27" i="10"/>
  <c r="AD27" i="10"/>
  <c r="AL26" i="10"/>
  <c r="AM26" i="10" s="1"/>
  <c r="AG26" i="10"/>
  <c r="AF27" i="10"/>
  <c r="AN29" i="12"/>
  <c r="AA28" i="11"/>
  <c r="AO26" i="10"/>
  <c r="AP26" i="10" s="1"/>
  <c r="AJ26" i="10"/>
  <c r="X29" i="11"/>
  <c r="AC28" i="11"/>
  <c r="Z29" i="10"/>
  <c r="M29" i="12"/>
  <c r="U28" i="12"/>
  <c r="Y28" i="12" s="1"/>
  <c r="Z29" i="12"/>
  <c r="Z29" i="11"/>
  <c r="AE27" i="12"/>
  <c r="AA27" i="12"/>
  <c r="AD27" i="4"/>
  <c r="W29" i="4"/>
  <c r="AB28" i="4"/>
  <c r="AH28" i="4" s="1"/>
  <c r="X29" i="4"/>
  <c r="AC28" i="4"/>
  <c r="J29" i="4"/>
  <c r="V29" i="4" s="1"/>
  <c r="I29" i="4"/>
  <c r="U29" i="4" s="1"/>
  <c r="Y29" i="4" s="1"/>
  <c r="V28" i="4"/>
  <c r="B24" i="18" s="1"/>
  <c r="AL26" i="4"/>
  <c r="AM26" i="4" s="1"/>
  <c r="K60" i="4"/>
  <c r="O59" i="12"/>
  <c r="M30" i="4"/>
  <c r="P30" i="4"/>
  <c r="J30" i="11"/>
  <c r="V30" i="11" s="1"/>
  <c r="AF27" i="4"/>
  <c r="AG27" i="4" s="1"/>
  <c r="J30" i="12"/>
  <c r="V30" i="12" s="1"/>
  <c r="I31" i="12"/>
  <c r="J30" i="10"/>
  <c r="V30" i="10" s="1"/>
  <c r="I30" i="9"/>
  <c r="U30" i="9" s="1"/>
  <c r="Y30" i="9" s="1"/>
  <c r="AE30" i="9" s="1"/>
  <c r="AK30" i="9" s="1"/>
  <c r="J30" i="9"/>
  <c r="V30" i="9" s="1"/>
  <c r="I29" i="11"/>
  <c r="U29" i="11" s="1"/>
  <c r="Y29" i="11" s="1"/>
  <c r="AE29" i="11" s="1"/>
  <c r="I29" i="10"/>
  <c r="U29" i="10" s="1"/>
  <c r="Y29" i="10" s="1"/>
  <c r="AE29" i="10" s="1"/>
  <c r="Z28" i="4" l="1"/>
  <c r="AP27" i="4"/>
  <c r="X30" i="12"/>
  <c r="D26" i="18"/>
  <c r="Z30" i="10"/>
  <c r="F26" i="18"/>
  <c r="Z30" i="12"/>
  <c r="O25" i="18"/>
  <c r="X30" i="11"/>
  <c r="C26" i="18"/>
  <c r="Z30" i="9"/>
  <c r="E26" i="18"/>
  <c r="Z30" i="11"/>
  <c r="AB29" i="11"/>
  <c r="AH29" i="11" s="1"/>
  <c r="W30" i="11"/>
  <c r="AB30" i="10"/>
  <c r="AH30" i="10" s="1"/>
  <c r="AN30" i="10" s="1"/>
  <c r="W31" i="10"/>
  <c r="AB29" i="9"/>
  <c r="AD29" i="9" s="1"/>
  <c r="W30" i="9"/>
  <c r="AB29" i="4"/>
  <c r="AH29" i="4" s="1"/>
  <c r="W30" i="4"/>
  <c r="N25" i="18"/>
  <c r="X30" i="10"/>
  <c r="AB31" i="12"/>
  <c r="AH31" i="12" s="1"/>
  <c r="AN31" i="12" s="1"/>
  <c r="W32" i="12"/>
  <c r="L25" i="18"/>
  <c r="X30" i="4"/>
  <c r="AJ27" i="4"/>
  <c r="M26" i="18"/>
  <c r="X31" i="9"/>
  <c r="AC30" i="9"/>
  <c r="AE29" i="4"/>
  <c r="AK29" i="4" s="1"/>
  <c r="AI28" i="4"/>
  <c r="AO28" i="4" s="1"/>
  <c r="AJ27" i="12"/>
  <c r="AO27" i="12"/>
  <c r="AP27" i="12" s="1"/>
  <c r="B25" i="18"/>
  <c r="AD28" i="9"/>
  <c r="AI28" i="12"/>
  <c r="AD28" i="12"/>
  <c r="P25" i="18"/>
  <c r="AC29" i="12"/>
  <c r="AH29" i="9"/>
  <c r="AN28" i="4"/>
  <c r="AK29" i="11"/>
  <c r="AE28" i="12"/>
  <c r="AA28" i="12"/>
  <c r="M30" i="12"/>
  <c r="U29" i="12"/>
  <c r="Y29" i="12" s="1"/>
  <c r="AK27" i="12"/>
  <c r="AM27" i="12" s="1"/>
  <c r="AG27" i="12"/>
  <c r="AA29" i="11"/>
  <c r="AF29" i="11"/>
  <c r="AA29" i="9"/>
  <c r="AF29" i="9"/>
  <c r="AA29" i="10"/>
  <c r="AI28" i="11"/>
  <c r="AD28" i="11"/>
  <c r="AI29" i="9"/>
  <c r="AO27" i="10"/>
  <c r="AP27" i="10" s="1"/>
  <c r="AJ27" i="10"/>
  <c r="AD28" i="10"/>
  <c r="AI28" i="10"/>
  <c r="AK29" i="10"/>
  <c r="AC29" i="10"/>
  <c r="AD29" i="10" s="1"/>
  <c r="AO28" i="9"/>
  <c r="AP28" i="9" s="1"/>
  <c r="AJ28" i="9"/>
  <c r="AC29" i="11"/>
  <c r="AG27" i="10"/>
  <c r="AL27" i="10"/>
  <c r="AM27" i="10" s="1"/>
  <c r="AF28" i="10"/>
  <c r="AF29" i="10" s="1"/>
  <c r="AC29" i="4"/>
  <c r="AO27" i="11"/>
  <c r="AP27" i="11" s="1"/>
  <c r="AJ27" i="11"/>
  <c r="AF29" i="12"/>
  <c r="AD28" i="4"/>
  <c r="J30" i="4"/>
  <c r="J31" i="4" s="1"/>
  <c r="J32" i="4" s="1"/>
  <c r="J33" i="4" s="1"/>
  <c r="J34" i="4" s="1"/>
  <c r="J35" i="4" s="1"/>
  <c r="I30" i="4"/>
  <c r="I31" i="4" s="1"/>
  <c r="I32" i="4" s="1"/>
  <c r="I33" i="4" s="1"/>
  <c r="I34" i="4" s="1"/>
  <c r="I35" i="4" s="1"/>
  <c r="Z29" i="4"/>
  <c r="AA29" i="4" s="1"/>
  <c r="O60" i="12"/>
  <c r="K61" i="4"/>
  <c r="I30" i="11"/>
  <c r="U30" i="11" s="1"/>
  <c r="Y30" i="11" s="1"/>
  <c r="AE30" i="11" s="1"/>
  <c r="AK30" i="11" s="1"/>
  <c r="J31" i="9"/>
  <c r="V31" i="9" s="1"/>
  <c r="J31" i="10"/>
  <c r="V31" i="10" s="1"/>
  <c r="J31" i="12"/>
  <c r="V31" i="12" s="1"/>
  <c r="J31" i="11"/>
  <c r="V31" i="11" s="1"/>
  <c r="I31" i="9"/>
  <c r="U31" i="9" s="1"/>
  <c r="Y31" i="9" s="1"/>
  <c r="AE31" i="9" s="1"/>
  <c r="AK31" i="9" s="1"/>
  <c r="I32" i="12"/>
  <c r="AF28" i="4"/>
  <c r="AL28" i="4" s="1"/>
  <c r="AM28" i="4" s="1"/>
  <c r="AL27" i="4"/>
  <c r="AM27" i="4" s="1"/>
  <c r="P31" i="4"/>
  <c r="M31" i="4"/>
  <c r="I30" i="10"/>
  <c r="U30" i="10" s="1"/>
  <c r="Y30" i="10" s="1"/>
  <c r="AE30" i="10" s="1"/>
  <c r="AK30" i="10" s="1"/>
  <c r="AA28" i="4"/>
  <c r="AJ28" i="4" l="1"/>
  <c r="AE29" i="12"/>
  <c r="AK29" i="12" s="1"/>
  <c r="I36" i="4"/>
  <c r="J36" i="4"/>
  <c r="AA30" i="11"/>
  <c r="AF30" i="11"/>
  <c r="AI30" i="9"/>
  <c r="AF30" i="9"/>
  <c r="AA30" i="9"/>
  <c r="M27" i="18"/>
  <c r="X32" i="9"/>
  <c r="AC31" i="9"/>
  <c r="O26" i="18"/>
  <c r="X31" i="11"/>
  <c r="AC30" i="11"/>
  <c r="E27" i="18"/>
  <c r="Z31" i="11"/>
  <c r="D27" i="18"/>
  <c r="Z31" i="10"/>
  <c r="C27" i="18"/>
  <c r="Z31" i="9"/>
  <c r="W31" i="9"/>
  <c r="AB30" i="9"/>
  <c r="AH30" i="9" s="1"/>
  <c r="AN30" i="9" s="1"/>
  <c r="W31" i="11"/>
  <c r="AB30" i="11"/>
  <c r="AH30" i="11" s="1"/>
  <c r="AN30" i="11" s="1"/>
  <c r="AF30" i="12"/>
  <c r="W31" i="4"/>
  <c r="AB30" i="4"/>
  <c r="AH30" i="4" s="1"/>
  <c r="AN30" i="4" s="1"/>
  <c r="M31" i="12"/>
  <c r="U30" i="12"/>
  <c r="Y30" i="12" s="1"/>
  <c r="AE30" i="12" s="1"/>
  <c r="AK30" i="12" s="1"/>
  <c r="L26" i="18"/>
  <c r="AC30" i="4"/>
  <c r="X31" i="4"/>
  <c r="AB31" i="10"/>
  <c r="AH31" i="10" s="1"/>
  <c r="AN31" i="10" s="1"/>
  <c r="W32" i="10"/>
  <c r="U30" i="4"/>
  <c r="Y30" i="4" s="1"/>
  <c r="AE30" i="4" s="1"/>
  <c r="AK30" i="4" s="1"/>
  <c r="V30" i="4"/>
  <c r="B26" i="18" s="1"/>
  <c r="AF30" i="10"/>
  <c r="AA30" i="10"/>
  <c r="AB32" i="12"/>
  <c r="AH32" i="12" s="1"/>
  <c r="AN32" i="12" s="1"/>
  <c r="W33" i="12"/>
  <c r="P26" i="18"/>
  <c r="AC30" i="12"/>
  <c r="X31" i="12"/>
  <c r="F27" i="18"/>
  <c r="Z31" i="12"/>
  <c r="N26" i="18"/>
  <c r="X31" i="10"/>
  <c r="AC30" i="10"/>
  <c r="AI29" i="12"/>
  <c r="AD29" i="12"/>
  <c r="AA29" i="12"/>
  <c r="AO28" i="12"/>
  <c r="AP28" i="12" s="1"/>
  <c r="AJ28" i="12"/>
  <c r="AP28" i="4"/>
  <c r="AN29" i="9"/>
  <c r="AL29" i="10"/>
  <c r="AG29" i="10"/>
  <c r="AL29" i="9"/>
  <c r="AG29" i="9"/>
  <c r="AD29" i="11"/>
  <c r="AI29" i="11"/>
  <c r="AL29" i="11"/>
  <c r="AG29" i="11"/>
  <c r="AD29" i="4"/>
  <c r="AI29" i="4"/>
  <c r="AK28" i="12"/>
  <c r="AM28" i="12" s="1"/>
  <c r="AG28" i="12"/>
  <c r="AG28" i="10"/>
  <c r="AL28" i="10"/>
  <c r="AM28" i="10" s="1"/>
  <c r="AJ28" i="11"/>
  <c r="AO28" i="11"/>
  <c r="AP28" i="11" s="1"/>
  <c r="AI29" i="10"/>
  <c r="AO28" i="10"/>
  <c r="AP28" i="10" s="1"/>
  <c r="AJ28" i="10"/>
  <c r="AO29" i="9"/>
  <c r="AJ29" i="9"/>
  <c r="AN29" i="11"/>
  <c r="AG29" i="12"/>
  <c r="AL29" i="12"/>
  <c r="AN29" i="4"/>
  <c r="AF29" i="4"/>
  <c r="AL29" i="4" s="1"/>
  <c r="AG28" i="4"/>
  <c r="K62" i="4"/>
  <c r="O61" i="12"/>
  <c r="M32" i="4"/>
  <c r="U31" i="4"/>
  <c r="I32" i="9"/>
  <c r="U32" i="9" s="1"/>
  <c r="Y32" i="9" s="1"/>
  <c r="J32" i="11"/>
  <c r="V32" i="11" s="1"/>
  <c r="J32" i="12"/>
  <c r="V32" i="12" s="1"/>
  <c r="J32" i="10"/>
  <c r="V32" i="10" s="1"/>
  <c r="P32" i="4"/>
  <c r="V31" i="4"/>
  <c r="B27" i="18" s="1"/>
  <c r="I31" i="10"/>
  <c r="U31" i="10" s="1"/>
  <c r="Y31" i="10" s="1"/>
  <c r="AE31" i="10" s="1"/>
  <c r="AK31" i="10" s="1"/>
  <c r="J32" i="9"/>
  <c r="V32" i="9" s="1"/>
  <c r="I31" i="11"/>
  <c r="U31" i="11" s="1"/>
  <c r="Y31" i="11" s="1"/>
  <c r="AE31" i="11" s="1"/>
  <c r="AK31" i="11" s="1"/>
  <c r="I33" i="12"/>
  <c r="AD30" i="9" l="1"/>
  <c r="AB33" i="12"/>
  <c r="AH33" i="12" s="1"/>
  <c r="AN33" i="12" s="1"/>
  <c r="W34" i="12"/>
  <c r="AF31" i="11"/>
  <c r="AA31" i="11"/>
  <c r="AB32" i="10"/>
  <c r="AH32" i="10" s="1"/>
  <c r="AN32" i="10" s="1"/>
  <c r="W33" i="10"/>
  <c r="C28" i="18"/>
  <c r="Z32" i="9"/>
  <c r="L27" i="18"/>
  <c r="X32" i="4"/>
  <c r="AC31" i="4"/>
  <c r="AI31" i="9"/>
  <c r="AF31" i="9"/>
  <c r="AA31" i="9"/>
  <c r="AI30" i="4"/>
  <c r="AD30" i="4"/>
  <c r="AD30" i="10"/>
  <c r="AI30" i="10"/>
  <c r="AJ30" i="9"/>
  <c r="AO30" i="9"/>
  <c r="AP30" i="9" s="1"/>
  <c r="AA31" i="10"/>
  <c r="AF31" i="10"/>
  <c r="M28" i="18"/>
  <c r="AC32" i="9"/>
  <c r="X33" i="9"/>
  <c r="N27" i="18"/>
  <c r="X32" i="10"/>
  <c r="AC31" i="10"/>
  <c r="W32" i="4"/>
  <c r="AB31" i="4"/>
  <c r="AH31" i="4" s="1"/>
  <c r="AN31" i="4" s="1"/>
  <c r="AL30" i="10"/>
  <c r="AM30" i="10" s="1"/>
  <c r="AG30" i="10"/>
  <c r="D28" i="18"/>
  <c r="Z32" i="10"/>
  <c r="Z30" i="4"/>
  <c r="AA30" i="4" s="1"/>
  <c r="M32" i="12"/>
  <c r="U31" i="12"/>
  <c r="Y31" i="12" s="1"/>
  <c r="AE31" i="12" s="1"/>
  <c r="AK31" i="12" s="1"/>
  <c r="AA30" i="12"/>
  <c r="AG30" i="11"/>
  <c r="AL30" i="11"/>
  <c r="AM30" i="11" s="1"/>
  <c r="F28" i="18"/>
  <c r="Z32" i="12"/>
  <c r="AF31" i="12"/>
  <c r="AG30" i="12"/>
  <c r="AL30" i="12"/>
  <c r="AM30" i="12" s="1"/>
  <c r="AI30" i="11"/>
  <c r="AD30" i="11"/>
  <c r="J37" i="4"/>
  <c r="P27" i="18"/>
  <c r="X32" i="12"/>
  <c r="AC31" i="12"/>
  <c r="W32" i="11"/>
  <c r="AB31" i="11"/>
  <c r="AH31" i="11" s="1"/>
  <c r="AN31" i="11" s="1"/>
  <c r="O27" i="18"/>
  <c r="AC31" i="11"/>
  <c r="X32" i="11"/>
  <c r="AI30" i="12"/>
  <c r="AD30" i="12"/>
  <c r="I37" i="4"/>
  <c r="AG30" i="9"/>
  <c r="AL30" i="9"/>
  <c r="AM30" i="9" s="1"/>
  <c r="E28" i="18"/>
  <c r="Z32" i="11"/>
  <c r="AE32" i="9"/>
  <c r="AK32" i="9" s="1"/>
  <c r="Y31" i="4"/>
  <c r="AE31" i="4" s="1"/>
  <c r="AK31" i="4" s="1"/>
  <c r="W32" i="9"/>
  <c r="AB31" i="9"/>
  <c r="AH31" i="9" s="1"/>
  <c r="AN31" i="9" s="1"/>
  <c r="AJ29" i="12"/>
  <c r="AO29" i="12"/>
  <c r="AG29" i="4"/>
  <c r="AJ29" i="10"/>
  <c r="AO29" i="10"/>
  <c r="AM29" i="12"/>
  <c r="AO29" i="11"/>
  <c r="AJ29" i="11"/>
  <c r="AM29" i="11"/>
  <c r="AJ29" i="4"/>
  <c r="AO29" i="4"/>
  <c r="AM29" i="9"/>
  <c r="AM29" i="10"/>
  <c r="AP29" i="9"/>
  <c r="O62" i="12"/>
  <c r="K63" i="4"/>
  <c r="J33" i="10"/>
  <c r="V33" i="10" s="1"/>
  <c r="J33" i="12"/>
  <c r="V33" i="12" s="1"/>
  <c r="J33" i="11"/>
  <c r="V33" i="11" s="1"/>
  <c r="I34" i="12"/>
  <c r="I32" i="11"/>
  <c r="U32" i="11" s="1"/>
  <c r="Y32" i="11" s="1"/>
  <c r="AE32" i="11" s="1"/>
  <c r="AK32" i="11" s="1"/>
  <c r="I33" i="9"/>
  <c r="U33" i="9" s="1"/>
  <c r="Y33" i="9" s="1"/>
  <c r="P33" i="4"/>
  <c r="V32" i="4"/>
  <c r="B28" i="18" s="1"/>
  <c r="J33" i="9"/>
  <c r="V33" i="9" s="1"/>
  <c r="Z31" i="4"/>
  <c r="I32" i="10"/>
  <c r="U32" i="10" s="1"/>
  <c r="Y32" i="10" s="1"/>
  <c r="AE32" i="10" s="1"/>
  <c r="AK32" i="10" s="1"/>
  <c r="M33" i="4"/>
  <c r="U32" i="4"/>
  <c r="Y32" i="4" s="1"/>
  <c r="AM29" i="4"/>
  <c r="AE32" i="4" l="1"/>
  <c r="AK32" i="4" s="1"/>
  <c r="AE33" i="9"/>
  <c r="AK33" i="9" s="1"/>
  <c r="AD31" i="9"/>
  <c r="AB34" i="12"/>
  <c r="AH34" i="12" s="1"/>
  <c r="AN34" i="12" s="1"/>
  <c r="W35" i="12"/>
  <c r="AO30" i="4"/>
  <c r="AP30" i="4" s="1"/>
  <c r="AJ30" i="4"/>
  <c r="AF32" i="10"/>
  <c r="AA32" i="10"/>
  <c r="AG31" i="12"/>
  <c r="AL31" i="12"/>
  <c r="AM31" i="12" s="1"/>
  <c r="AD31" i="4"/>
  <c r="AI31" i="4"/>
  <c r="AF30" i="4"/>
  <c r="AF31" i="4" s="1"/>
  <c r="AI31" i="12"/>
  <c r="AD31" i="12"/>
  <c r="X33" i="4"/>
  <c r="L28" i="18"/>
  <c r="AC32" i="4"/>
  <c r="P28" i="18"/>
  <c r="X33" i="12"/>
  <c r="AC32" i="12"/>
  <c r="AF32" i="12"/>
  <c r="I38" i="4"/>
  <c r="AJ30" i="12"/>
  <c r="AO30" i="12"/>
  <c r="AP30" i="12" s="1"/>
  <c r="AI31" i="11"/>
  <c r="AD31" i="11"/>
  <c r="AB32" i="4"/>
  <c r="AH32" i="4" s="1"/>
  <c r="AN32" i="4" s="1"/>
  <c r="W33" i="4"/>
  <c r="AF32" i="9"/>
  <c r="J38" i="4"/>
  <c r="AI31" i="10"/>
  <c r="AD31" i="10"/>
  <c r="AJ30" i="10"/>
  <c r="AO30" i="10"/>
  <c r="AP30" i="10" s="1"/>
  <c r="O28" i="18"/>
  <c r="AC32" i="11"/>
  <c r="X33" i="11"/>
  <c r="M33" i="12"/>
  <c r="U32" i="12"/>
  <c r="Y32" i="12" s="1"/>
  <c r="AE32" i="12" s="1"/>
  <c r="AK32" i="12" s="1"/>
  <c r="AJ31" i="9"/>
  <c r="AO31" i="9"/>
  <c r="AP31" i="9" s="1"/>
  <c r="W33" i="9"/>
  <c r="AB32" i="9"/>
  <c r="AH32" i="9" s="1"/>
  <c r="AN32" i="9" s="1"/>
  <c r="N28" i="18"/>
  <c r="AC32" i="10"/>
  <c r="X33" i="10"/>
  <c r="AB33" i="10"/>
  <c r="AH33" i="10" s="1"/>
  <c r="AN33" i="10" s="1"/>
  <c r="W34" i="10"/>
  <c r="W33" i="11"/>
  <c r="AB32" i="11"/>
  <c r="AH32" i="11" s="1"/>
  <c r="AN32" i="11" s="1"/>
  <c r="C29" i="18"/>
  <c r="Z33" i="9"/>
  <c r="AJ30" i="11"/>
  <c r="AO30" i="11"/>
  <c r="AP30" i="11" s="1"/>
  <c r="M29" i="18"/>
  <c r="X34" i="9"/>
  <c r="X35" i="9" s="1"/>
  <c r="AC33" i="9"/>
  <c r="AG31" i="9"/>
  <c r="AL31" i="9"/>
  <c r="AM31" i="9" s="1"/>
  <c r="I35" i="12"/>
  <c r="AA32" i="9"/>
  <c r="AI32" i="9"/>
  <c r="AL31" i="11"/>
  <c r="AM31" i="11" s="1"/>
  <c r="AG31" i="11"/>
  <c r="D29" i="18"/>
  <c r="Z33" i="10"/>
  <c r="AA32" i="11"/>
  <c r="AF32" i="11"/>
  <c r="E29" i="18"/>
  <c r="Z33" i="11"/>
  <c r="F29" i="18"/>
  <c r="Z33" i="12"/>
  <c r="AA31" i="12"/>
  <c r="AL31" i="10"/>
  <c r="AM31" i="10" s="1"/>
  <c r="AG31" i="10"/>
  <c r="AP29" i="12"/>
  <c r="AP29" i="11"/>
  <c r="AP29" i="4"/>
  <c r="AP29" i="10"/>
  <c r="K64" i="4"/>
  <c r="O63" i="12"/>
  <c r="J34" i="11"/>
  <c r="M34" i="4"/>
  <c r="U33" i="4"/>
  <c r="Y33" i="4" s="1"/>
  <c r="J34" i="9"/>
  <c r="I33" i="10"/>
  <c r="U33" i="10" s="1"/>
  <c r="Y33" i="10" s="1"/>
  <c r="AE33" i="10" s="1"/>
  <c r="AK33" i="10" s="1"/>
  <c r="Z32" i="4"/>
  <c r="P34" i="4"/>
  <c r="V33" i="4"/>
  <c r="B29" i="18" s="1"/>
  <c r="I34" i="9"/>
  <c r="I33" i="11"/>
  <c r="U33" i="11" s="1"/>
  <c r="Y33" i="11" s="1"/>
  <c r="AE33" i="11" s="1"/>
  <c r="AK33" i="11" s="1"/>
  <c r="AA31" i="4"/>
  <c r="J34" i="12"/>
  <c r="J34" i="10"/>
  <c r="AE33" i="4" l="1"/>
  <c r="AK33" i="4" s="1"/>
  <c r="I36" i="12"/>
  <c r="M31" i="18"/>
  <c r="X36" i="9"/>
  <c r="AC35" i="9"/>
  <c r="AB34" i="10"/>
  <c r="AH34" i="10" s="1"/>
  <c r="AN34" i="10" s="1"/>
  <c r="W35" i="10"/>
  <c r="AG30" i="4"/>
  <c r="AL30" i="4"/>
  <c r="AM30" i="4" s="1"/>
  <c r="W36" i="12"/>
  <c r="AB35" i="12"/>
  <c r="AH35" i="12" s="1"/>
  <c r="AN35" i="12" s="1"/>
  <c r="AI33" i="9"/>
  <c r="I35" i="9"/>
  <c r="U34" i="9"/>
  <c r="Y34" i="9" s="1"/>
  <c r="AD32" i="9"/>
  <c r="AJ32" i="9"/>
  <c r="AO32" i="9"/>
  <c r="AP32" i="9" s="1"/>
  <c r="P29" i="18"/>
  <c r="X34" i="12"/>
  <c r="X35" i="12" s="1"/>
  <c r="AC33" i="12"/>
  <c r="AC34" i="9"/>
  <c r="M30" i="18"/>
  <c r="J39" i="4"/>
  <c r="AO31" i="4"/>
  <c r="AP31" i="4" s="1"/>
  <c r="AJ31" i="4"/>
  <c r="AD32" i="12"/>
  <c r="AI32" i="12"/>
  <c r="V34" i="9"/>
  <c r="J35" i="9"/>
  <c r="U34" i="4"/>
  <c r="Y34" i="4" s="1"/>
  <c r="AE34" i="4" s="1"/>
  <c r="AK34" i="4" s="1"/>
  <c r="M35" i="4"/>
  <c r="AG32" i="9"/>
  <c r="AL32" i="9"/>
  <c r="AM32" i="9" s="1"/>
  <c r="W34" i="11"/>
  <c r="AB33" i="11"/>
  <c r="AH33" i="11" s="1"/>
  <c r="AN33" i="11" s="1"/>
  <c r="AB33" i="4"/>
  <c r="AH33" i="4" s="1"/>
  <c r="AN33" i="4" s="1"/>
  <c r="W34" i="4"/>
  <c r="I39" i="4"/>
  <c r="AA32" i="12"/>
  <c r="AI32" i="11"/>
  <c r="AD32" i="11"/>
  <c r="V34" i="11"/>
  <c r="J35" i="11"/>
  <c r="L29" i="18"/>
  <c r="AC33" i="4"/>
  <c r="X34" i="4"/>
  <c r="X35" i="4" s="1"/>
  <c r="AJ31" i="10"/>
  <c r="AO31" i="10"/>
  <c r="AP31" i="10" s="1"/>
  <c r="AF33" i="11"/>
  <c r="AA33" i="11"/>
  <c r="AF33" i="12"/>
  <c r="AL32" i="12"/>
  <c r="AM32" i="12" s="1"/>
  <c r="AG32" i="12"/>
  <c r="V34" i="4"/>
  <c r="Z34" i="4" s="1"/>
  <c r="P35" i="4"/>
  <c r="V34" i="12"/>
  <c r="J35" i="12"/>
  <c r="AL32" i="10"/>
  <c r="AM32" i="10" s="1"/>
  <c r="AG32" i="10"/>
  <c r="AB33" i="9"/>
  <c r="AH33" i="9" s="1"/>
  <c r="AN33" i="9" s="1"/>
  <c r="W34" i="9"/>
  <c r="M34" i="12"/>
  <c r="U33" i="12"/>
  <c r="Y33" i="12" s="1"/>
  <c r="AE33" i="12" s="1"/>
  <c r="AK33" i="12" s="1"/>
  <c r="O29" i="18"/>
  <c r="X34" i="11"/>
  <c r="X35" i="11" s="1"/>
  <c r="AC33" i="11"/>
  <c r="AD32" i="4"/>
  <c r="AI32" i="4"/>
  <c r="AG32" i="11"/>
  <c r="AL32" i="11"/>
  <c r="AM32" i="11" s="1"/>
  <c r="AF33" i="10"/>
  <c r="AA33" i="10"/>
  <c r="N29" i="18"/>
  <c r="AC33" i="10"/>
  <c r="X34" i="10"/>
  <c r="X35" i="10" s="1"/>
  <c r="AJ31" i="11"/>
  <c r="AO31" i="11"/>
  <c r="AP31" i="11" s="1"/>
  <c r="AO31" i="12"/>
  <c r="AP31" i="12" s="1"/>
  <c r="AJ31" i="12"/>
  <c r="AA33" i="9"/>
  <c r="AF33" i="9"/>
  <c r="V34" i="10"/>
  <c r="J35" i="10"/>
  <c r="AD32" i="10"/>
  <c r="AI32" i="10"/>
  <c r="O64" i="12"/>
  <c r="K65" i="4"/>
  <c r="AA32" i="4"/>
  <c r="AF32" i="4"/>
  <c r="I34" i="11"/>
  <c r="Z33" i="4"/>
  <c r="AG31" i="4"/>
  <c r="AL31" i="4"/>
  <c r="AM31" i="4" s="1"/>
  <c r="I34" i="10"/>
  <c r="AB34" i="9" l="1"/>
  <c r="W35" i="9"/>
  <c r="AB34" i="4"/>
  <c r="AH34" i="4" s="1"/>
  <c r="AN34" i="4" s="1"/>
  <c r="W35" i="4"/>
  <c r="W37" i="12"/>
  <c r="AB36" i="12"/>
  <c r="AH36" i="12" s="1"/>
  <c r="AN36" i="12" s="1"/>
  <c r="N31" i="18"/>
  <c r="AC35" i="10"/>
  <c r="X36" i="10"/>
  <c r="AB35" i="10"/>
  <c r="AH35" i="10" s="1"/>
  <c r="AN35" i="10" s="1"/>
  <c r="W36" i="10"/>
  <c r="AI35" i="9"/>
  <c r="M32" i="18"/>
  <c r="AC36" i="9"/>
  <c r="X37" i="9"/>
  <c r="P31" i="18"/>
  <c r="X36" i="12"/>
  <c r="AC35" i="12"/>
  <c r="I36" i="9"/>
  <c r="U35" i="9"/>
  <c r="Y35" i="9" s="1"/>
  <c r="O31" i="18"/>
  <c r="AC35" i="11"/>
  <c r="X36" i="11"/>
  <c r="AB34" i="11"/>
  <c r="W35" i="11"/>
  <c r="L31" i="18"/>
  <c r="X36" i="4"/>
  <c r="AC35" i="4"/>
  <c r="I37" i="12"/>
  <c r="AC34" i="4"/>
  <c r="L30" i="18"/>
  <c r="O30" i="18"/>
  <c r="AC34" i="11"/>
  <c r="P30" i="18"/>
  <c r="AC34" i="12"/>
  <c r="AO32" i="4"/>
  <c r="AP32" i="4" s="1"/>
  <c r="AJ32" i="4"/>
  <c r="M36" i="4"/>
  <c r="U35" i="4"/>
  <c r="Y35" i="4" s="1"/>
  <c r="AE35" i="4" s="1"/>
  <c r="AK35" i="4" s="1"/>
  <c r="J36" i="9"/>
  <c r="V35" i="9"/>
  <c r="AG33" i="11"/>
  <c r="AL33" i="11"/>
  <c r="AM33" i="11" s="1"/>
  <c r="AD33" i="4"/>
  <c r="AI33" i="4"/>
  <c r="E30" i="18"/>
  <c r="Z34" i="11"/>
  <c r="AI34" i="9"/>
  <c r="AD34" i="9"/>
  <c r="J36" i="10"/>
  <c r="V35" i="10"/>
  <c r="D30" i="18"/>
  <c r="Z34" i="10"/>
  <c r="U34" i="10"/>
  <c r="Y34" i="10" s="1"/>
  <c r="AE34" i="10" s="1"/>
  <c r="AK34" i="10" s="1"/>
  <c r="I35" i="10"/>
  <c r="AJ32" i="11"/>
  <c r="AO32" i="11"/>
  <c r="AP32" i="11" s="1"/>
  <c r="AD33" i="12"/>
  <c r="AI33" i="12"/>
  <c r="F30" i="18"/>
  <c r="Z34" i="12"/>
  <c r="AG33" i="12"/>
  <c r="AL33" i="12"/>
  <c r="AM33" i="12" s="1"/>
  <c r="AD33" i="11"/>
  <c r="AI33" i="11"/>
  <c r="J40" i="4"/>
  <c r="J36" i="11"/>
  <c r="V35" i="11"/>
  <c r="AG33" i="9"/>
  <c r="AL33" i="9"/>
  <c r="AM33" i="9" s="1"/>
  <c r="I35" i="11"/>
  <c r="U34" i="11"/>
  <c r="Y34" i="11" s="1"/>
  <c r="AE34" i="11" s="1"/>
  <c r="AK34" i="11" s="1"/>
  <c r="AA33" i="12"/>
  <c r="AE34" i="9"/>
  <c r="AK34" i="9" s="1"/>
  <c r="C30" i="18"/>
  <c r="Z34" i="9"/>
  <c r="AF34" i="9" s="1"/>
  <c r="AO32" i="12"/>
  <c r="AP32" i="12" s="1"/>
  <c r="AJ32" i="12"/>
  <c r="M35" i="12"/>
  <c r="U34" i="12"/>
  <c r="Y34" i="12" s="1"/>
  <c r="AE34" i="12" s="1"/>
  <c r="AK34" i="12" s="1"/>
  <c r="AH34" i="9"/>
  <c r="AN34" i="9" s="1"/>
  <c r="J36" i="12"/>
  <c r="V35" i="12"/>
  <c r="P36" i="4"/>
  <c r="V35" i="4"/>
  <c r="N30" i="18"/>
  <c r="AC34" i="10"/>
  <c r="B30" i="18"/>
  <c r="AD33" i="9"/>
  <c r="AL33" i="10"/>
  <c r="AM33" i="10" s="1"/>
  <c r="AG33" i="10"/>
  <c r="AJ32" i="10"/>
  <c r="AO32" i="10"/>
  <c r="AP32" i="10" s="1"/>
  <c r="I40" i="4"/>
  <c r="AH34" i="11"/>
  <c r="AN34" i="11" s="1"/>
  <c r="AD33" i="10"/>
  <c r="AI33" i="10"/>
  <c r="AJ33" i="9"/>
  <c r="AO33" i="9"/>
  <c r="AP33" i="9" s="1"/>
  <c r="O65" i="12"/>
  <c r="K66" i="4"/>
  <c r="AL32" i="4"/>
  <c r="AM32" i="4" s="1"/>
  <c r="AG32" i="4"/>
  <c r="AA34" i="4"/>
  <c r="AA33" i="4"/>
  <c r="AF33" i="4"/>
  <c r="AF34" i="4" s="1"/>
  <c r="M36" i="12" l="1"/>
  <c r="U35" i="12"/>
  <c r="Y35" i="12" s="1"/>
  <c r="AE35" i="12" s="1"/>
  <c r="X37" i="12"/>
  <c r="AC36" i="12"/>
  <c r="P32" i="18"/>
  <c r="I36" i="10"/>
  <c r="U35" i="10"/>
  <c r="Y35" i="10" s="1"/>
  <c r="AE35" i="10" s="1"/>
  <c r="AK35" i="10" s="1"/>
  <c r="AE35" i="9"/>
  <c r="AK35" i="9" s="1"/>
  <c r="AD35" i="12"/>
  <c r="W37" i="10"/>
  <c r="AB36" i="10"/>
  <c r="AH36" i="10" s="1"/>
  <c r="AN36" i="10" s="1"/>
  <c r="N32" i="18"/>
  <c r="AC36" i="10"/>
  <c r="X37" i="10"/>
  <c r="I38" i="12"/>
  <c r="AD35" i="10"/>
  <c r="AI35" i="4"/>
  <c r="AD35" i="4"/>
  <c r="L32" i="18"/>
  <c r="X37" i="4"/>
  <c r="AC36" i="4"/>
  <c r="I37" i="9"/>
  <c r="U36" i="9"/>
  <c r="Y36" i="9" s="1"/>
  <c r="D31" i="18"/>
  <c r="Z35" i="10"/>
  <c r="I36" i="11"/>
  <c r="U35" i="11"/>
  <c r="Y35" i="11" s="1"/>
  <c r="AE35" i="11" s="1"/>
  <c r="AK35" i="11" s="1"/>
  <c r="AB37" i="12"/>
  <c r="AH37" i="12" s="1"/>
  <c r="AN37" i="12" s="1"/>
  <c r="W38" i="12"/>
  <c r="M33" i="18"/>
  <c r="AC37" i="9"/>
  <c r="X38" i="9"/>
  <c r="AI36" i="9"/>
  <c r="AB35" i="11"/>
  <c r="AH35" i="11" s="1"/>
  <c r="AN35" i="11" s="1"/>
  <c r="W36" i="11"/>
  <c r="AB35" i="4"/>
  <c r="AH35" i="4" s="1"/>
  <c r="AN35" i="4" s="1"/>
  <c r="W36" i="4"/>
  <c r="E31" i="18"/>
  <c r="Z35" i="11"/>
  <c r="C31" i="18"/>
  <c r="Z35" i="9"/>
  <c r="AF35" i="9" s="1"/>
  <c r="AO35" i="9"/>
  <c r="O32" i="18"/>
  <c r="AC36" i="11"/>
  <c r="X37" i="11"/>
  <c r="AB35" i="9"/>
  <c r="W36" i="9"/>
  <c r="Z35" i="4"/>
  <c r="AF35" i="4" s="1"/>
  <c r="B31" i="18"/>
  <c r="F31" i="18"/>
  <c r="Z35" i="12"/>
  <c r="P37" i="4"/>
  <c r="V36" i="4"/>
  <c r="AG34" i="9"/>
  <c r="AL34" i="9"/>
  <c r="AM34" i="9" s="1"/>
  <c r="M37" i="4"/>
  <c r="U36" i="4"/>
  <c r="Y36" i="4" s="1"/>
  <c r="AE36" i="4" s="1"/>
  <c r="AK36" i="4" s="1"/>
  <c r="AO34" i="9"/>
  <c r="AP34" i="9" s="1"/>
  <c r="AJ34" i="9"/>
  <c r="AO33" i="4"/>
  <c r="AP33" i="4" s="1"/>
  <c r="AJ33" i="4"/>
  <c r="J41" i="4"/>
  <c r="AJ33" i="11"/>
  <c r="AO33" i="11"/>
  <c r="AP33" i="11" s="1"/>
  <c r="AD34" i="12"/>
  <c r="AI34" i="12"/>
  <c r="AI35" i="12" s="1"/>
  <c r="J37" i="11"/>
  <c r="V36" i="11"/>
  <c r="I41" i="4"/>
  <c r="AI34" i="11"/>
  <c r="AI35" i="11" s="1"/>
  <c r="AD34" i="11"/>
  <c r="AF34" i="12"/>
  <c r="AA34" i="12"/>
  <c r="J37" i="9"/>
  <c r="V36" i="9"/>
  <c r="AA34" i="10"/>
  <c r="AF34" i="10"/>
  <c r="J37" i="10"/>
  <c r="V36" i="10"/>
  <c r="AD34" i="10"/>
  <c r="AI34" i="10"/>
  <c r="AI35" i="10" s="1"/>
  <c r="AF34" i="11"/>
  <c r="AA34" i="11"/>
  <c r="J37" i="12"/>
  <c r="V36" i="12"/>
  <c r="AJ33" i="12"/>
  <c r="AO33" i="12"/>
  <c r="AP33" i="12" s="1"/>
  <c r="AA34" i="9"/>
  <c r="AJ33" i="10"/>
  <c r="AO33" i="10"/>
  <c r="AP33" i="10" s="1"/>
  <c r="AD34" i="4"/>
  <c r="AI34" i="4"/>
  <c r="K67" i="4"/>
  <c r="O66" i="12"/>
  <c r="AG34" i="4"/>
  <c r="AL34" i="4"/>
  <c r="AM34" i="4" s="1"/>
  <c r="AL33" i="4"/>
  <c r="AM33" i="4" s="1"/>
  <c r="AG33" i="4"/>
  <c r="AD35" i="11" l="1"/>
  <c r="AA35" i="9"/>
  <c r="AO35" i="11"/>
  <c r="AP35" i="11" s="1"/>
  <c r="AJ35" i="11"/>
  <c r="AO35" i="12"/>
  <c r="AP35" i="12" s="1"/>
  <c r="AJ35" i="12"/>
  <c r="AB36" i="11"/>
  <c r="AH36" i="11" s="1"/>
  <c r="AN36" i="11" s="1"/>
  <c r="W37" i="11"/>
  <c r="I39" i="12"/>
  <c r="AO35" i="4"/>
  <c r="AP35" i="4" s="1"/>
  <c r="AJ35" i="4"/>
  <c r="AA35" i="12"/>
  <c r="AF35" i="12"/>
  <c r="AB36" i="9"/>
  <c r="W37" i="9"/>
  <c r="AH35" i="9"/>
  <c r="AD35" i="9"/>
  <c r="I37" i="11"/>
  <c r="U36" i="11"/>
  <c r="O33" i="18"/>
  <c r="AC37" i="11"/>
  <c r="X38" i="11"/>
  <c r="AF35" i="10"/>
  <c r="AA35" i="10"/>
  <c r="AI36" i="10"/>
  <c r="AD36" i="10"/>
  <c r="AA35" i="4"/>
  <c r="AD36" i="11"/>
  <c r="AI36" i="11"/>
  <c r="I37" i="10"/>
  <c r="U36" i="10"/>
  <c r="Y36" i="10" s="1"/>
  <c r="AE36" i="10" s="1"/>
  <c r="AK36" i="10" s="1"/>
  <c r="W37" i="4"/>
  <c r="AB36" i="4"/>
  <c r="AH36" i="4" s="1"/>
  <c r="AN36" i="4" s="1"/>
  <c r="F32" i="18"/>
  <c r="Z36" i="12"/>
  <c r="AE36" i="9"/>
  <c r="AK36" i="9" s="1"/>
  <c r="E32" i="18"/>
  <c r="Z36" i="11"/>
  <c r="N33" i="18"/>
  <c r="X38" i="10"/>
  <c r="AC37" i="10"/>
  <c r="AO36" i="9"/>
  <c r="M34" i="18"/>
  <c r="X39" i="9"/>
  <c r="AC38" i="9"/>
  <c r="AI37" i="9"/>
  <c r="AB37" i="10"/>
  <c r="AH37" i="10" s="1"/>
  <c r="AN37" i="10" s="1"/>
  <c r="W38" i="10"/>
  <c r="I38" i="9"/>
  <c r="U37" i="9"/>
  <c r="Y37" i="9" s="1"/>
  <c r="AD36" i="12"/>
  <c r="AI36" i="12"/>
  <c r="AJ35" i="10"/>
  <c r="AO35" i="10"/>
  <c r="AP35" i="10" s="1"/>
  <c r="D32" i="18"/>
  <c r="Z36" i="10"/>
  <c r="AI36" i="4"/>
  <c r="P33" i="18"/>
  <c r="AC37" i="12"/>
  <c r="X38" i="12"/>
  <c r="AL35" i="9"/>
  <c r="AM35" i="9" s="1"/>
  <c r="AG35" i="9"/>
  <c r="L33" i="18"/>
  <c r="X38" i="4"/>
  <c r="AC37" i="4"/>
  <c r="AK35" i="12"/>
  <c r="AF35" i="11"/>
  <c r="AA35" i="11"/>
  <c r="Z36" i="4"/>
  <c r="B32" i="18"/>
  <c r="AB38" i="12"/>
  <c r="AH38" i="12" s="1"/>
  <c r="AN38" i="12" s="1"/>
  <c r="W39" i="12"/>
  <c r="C32" i="18"/>
  <c r="Z36" i="9"/>
  <c r="M37" i="12"/>
  <c r="U36" i="12"/>
  <c r="Y36" i="12" s="1"/>
  <c r="AE36" i="12" s="1"/>
  <c r="AK36" i="12" s="1"/>
  <c r="AO34" i="10"/>
  <c r="AP34" i="10" s="1"/>
  <c r="AJ34" i="10"/>
  <c r="AL35" i="4"/>
  <c r="AM35" i="4" s="1"/>
  <c r="AG35" i="4"/>
  <c r="AO34" i="12"/>
  <c r="AP34" i="12" s="1"/>
  <c r="AJ34" i="12"/>
  <c r="J38" i="12"/>
  <c r="V37" i="12"/>
  <c r="J42" i="4"/>
  <c r="J38" i="11"/>
  <c r="V37" i="11"/>
  <c r="I42" i="4"/>
  <c r="J38" i="10"/>
  <c r="V37" i="10"/>
  <c r="AL34" i="12"/>
  <c r="AM34" i="12" s="1"/>
  <c r="AG34" i="12"/>
  <c r="AL34" i="11"/>
  <c r="AM34" i="11" s="1"/>
  <c r="AG34" i="11"/>
  <c r="M38" i="4"/>
  <c r="U37" i="4"/>
  <c r="Y37" i="4" s="1"/>
  <c r="AE37" i="4" s="1"/>
  <c r="AK37" i="4" s="1"/>
  <c r="AA36" i="4"/>
  <c r="AF36" i="4"/>
  <c r="AL34" i="10"/>
  <c r="AM34" i="10" s="1"/>
  <c r="AG34" i="10"/>
  <c r="J38" i="9"/>
  <c r="V37" i="9"/>
  <c r="AJ34" i="4"/>
  <c r="AO34" i="4"/>
  <c r="AP34" i="4" s="1"/>
  <c r="AJ34" i="11"/>
  <c r="AO34" i="11"/>
  <c r="AP34" i="11" s="1"/>
  <c r="P38" i="4"/>
  <c r="V37" i="4"/>
  <c r="K68" i="4"/>
  <c r="O67" i="12"/>
  <c r="N34" i="18" l="1"/>
  <c r="AC38" i="10"/>
  <c r="X39" i="10"/>
  <c r="I38" i="11"/>
  <c r="U37" i="11"/>
  <c r="Y37" i="11" s="1"/>
  <c r="AD36" i="4"/>
  <c r="AB37" i="4"/>
  <c r="AH37" i="4" s="1"/>
  <c r="AN37" i="4" s="1"/>
  <c r="W38" i="4"/>
  <c r="AI37" i="4"/>
  <c r="AO36" i="4"/>
  <c r="AP36" i="4" s="1"/>
  <c r="AJ36" i="4"/>
  <c r="AF36" i="11"/>
  <c r="AA36" i="11"/>
  <c r="W40" i="12"/>
  <c r="AB39" i="12"/>
  <c r="AH39" i="12" s="1"/>
  <c r="AN39" i="12" s="1"/>
  <c r="AE37" i="9"/>
  <c r="AK37" i="9" s="1"/>
  <c r="AD37" i="10"/>
  <c r="AI37" i="10"/>
  <c r="AA36" i="10"/>
  <c r="AF36" i="10"/>
  <c r="I38" i="10"/>
  <c r="U37" i="10"/>
  <c r="Y37" i="10" s="1"/>
  <c r="AE37" i="10" s="1"/>
  <c r="AK37" i="10" s="1"/>
  <c r="AN35" i="9"/>
  <c r="AP35" i="9" s="1"/>
  <c r="AJ35" i="9"/>
  <c r="D33" i="18"/>
  <c r="Z37" i="10"/>
  <c r="E33" i="18"/>
  <c r="Z37" i="11"/>
  <c r="AO36" i="11"/>
  <c r="AP36" i="11" s="1"/>
  <c r="AJ36" i="11"/>
  <c r="I40" i="12"/>
  <c r="AC38" i="12"/>
  <c r="P34" i="18"/>
  <c r="X39" i="12"/>
  <c r="AD37" i="12"/>
  <c r="AI37" i="12"/>
  <c r="AL35" i="12"/>
  <c r="AM35" i="12" s="1"/>
  <c r="AG35" i="12"/>
  <c r="I39" i="9"/>
  <c r="U38" i="9"/>
  <c r="AB38" i="10"/>
  <c r="AH38" i="10" s="1"/>
  <c r="AN38" i="10" s="1"/>
  <c r="W39" i="10"/>
  <c r="W38" i="11"/>
  <c r="AB37" i="11"/>
  <c r="AH37" i="11" s="1"/>
  <c r="AN37" i="11" s="1"/>
  <c r="Y36" i="11"/>
  <c r="AE36" i="11" s="1"/>
  <c r="O34" i="18"/>
  <c r="X39" i="11"/>
  <c r="AC38" i="11"/>
  <c r="AA36" i="9"/>
  <c r="AF36" i="9"/>
  <c r="Z37" i="4"/>
  <c r="AA37" i="4" s="1"/>
  <c r="B33" i="18"/>
  <c r="M38" i="12"/>
  <c r="U37" i="12"/>
  <c r="Y37" i="12" s="1"/>
  <c r="AE37" i="12" s="1"/>
  <c r="AK37" i="12" s="1"/>
  <c r="W38" i="9"/>
  <c r="AB37" i="9"/>
  <c r="AH36" i="9"/>
  <c r="AD36" i="9"/>
  <c r="AD37" i="4"/>
  <c r="AO37" i="9"/>
  <c r="AO36" i="10"/>
  <c r="AP36" i="10" s="1"/>
  <c r="AJ36" i="10"/>
  <c r="AI37" i="11"/>
  <c r="AO36" i="12"/>
  <c r="AP36" i="12" s="1"/>
  <c r="AJ36" i="12"/>
  <c r="AL35" i="11"/>
  <c r="AM35" i="11" s="1"/>
  <c r="AG35" i="11"/>
  <c r="L34" i="18"/>
  <c r="AC38" i="4"/>
  <c r="X39" i="4"/>
  <c r="AI38" i="9"/>
  <c r="AA36" i="12"/>
  <c r="AF36" i="12"/>
  <c r="F33" i="18"/>
  <c r="Z37" i="12"/>
  <c r="C33" i="18"/>
  <c r="Z37" i="9"/>
  <c r="AA37" i="9" s="1"/>
  <c r="M35" i="18"/>
  <c r="X40" i="9"/>
  <c r="AC39" i="9"/>
  <c r="AG35" i="10"/>
  <c r="AL35" i="10"/>
  <c r="AM35" i="10" s="1"/>
  <c r="I43" i="4"/>
  <c r="M39" i="4"/>
  <c r="U38" i="4"/>
  <c r="Y38" i="4" s="1"/>
  <c r="AE38" i="4" s="1"/>
  <c r="AK38" i="4" s="1"/>
  <c r="J39" i="11"/>
  <c r="V38" i="11"/>
  <c r="AF37" i="4"/>
  <c r="P39" i="4"/>
  <c r="V38" i="4"/>
  <c r="J43" i="4"/>
  <c r="J39" i="9"/>
  <c r="V38" i="9"/>
  <c r="AG36" i="4"/>
  <c r="AL36" i="4"/>
  <c r="AM36" i="4" s="1"/>
  <c r="J39" i="10"/>
  <c r="V38" i="10"/>
  <c r="J39" i="12"/>
  <c r="V38" i="12"/>
  <c r="K69" i="4"/>
  <c r="O68" i="12"/>
  <c r="AO37" i="10" l="1"/>
  <c r="AP37" i="10" s="1"/>
  <c r="AJ37" i="10"/>
  <c r="W39" i="9"/>
  <c r="AB38" i="9"/>
  <c r="Z38" i="4"/>
  <c r="AA38" i="4" s="1"/>
  <c r="B34" i="18"/>
  <c r="AG36" i="12"/>
  <c r="AL36" i="12"/>
  <c r="AM36" i="12" s="1"/>
  <c r="AO38" i="9"/>
  <c r="F34" i="18"/>
  <c r="Z38" i="12"/>
  <c r="AJ37" i="12"/>
  <c r="AO37" i="12"/>
  <c r="AP37" i="12" s="1"/>
  <c r="AB40" i="12"/>
  <c r="AH40" i="12" s="1"/>
  <c r="AN40" i="12" s="1"/>
  <c r="W41" i="12"/>
  <c r="L35" i="18"/>
  <c r="X40" i="4"/>
  <c r="AC39" i="4"/>
  <c r="AF37" i="9"/>
  <c r="AG36" i="9"/>
  <c r="AL36" i="9"/>
  <c r="AM36" i="9" s="1"/>
  <c r="I41" i="12"/>
  <c r="AJ37" i="4"/>
  <c r="AO37" i="4"/>
  <c r="AP37" i="4" s="1"/>
  <c r="Y38" i="9"/>
  <c r="AE38" i="9" s="1"/>
  <c r="AK38" i="9" s="1"/>
  <c r="AI38" i="12"/>
  <c r="AD38" i="12"/>
  <c r="E34" i="18"/>
  <c r="Z38" i="11"/>
  <c r="AI38" i="4"/>
  <c r="AB38" i="4"/>
  <c r="AH38" i="4" s="1"/>
  <c r="AN38" i="4" s="1"/>
  <c r="W39" i="4"/>
  <c r="I39" i="10"/>
  <c r="U38" i="10"/>
  <c r="Y38" i="10" s="1"/>
  <c r="AE38" i="10" s="1"/>
  <c r="AK38" i="10" s="1"/>
  <c r="I40" i="9"/>
  <c r="U39" i="9"/>
  <c r="Y39" i="9" s="1"/>
  <c r="AH37" i="9"/>
  <c r="AD37" i="9"/>
  <c r="AF37" i="11"/>
  <c r="AG36" i="11"/>
  <c r="AL36" i="11"/>
  <c r="AM36" i="11" s="1"/>
  <c r="AI38" i="11"/>
  <c r="AD38" i="11"/>
  <c r="AB39" i="10"/>
  <c r="AH39" i="10" s="1"/>
  <c r="AN39" i="10" s="1"/>
  <c r="W40" i="10"/>
  <c r="AI39" i="9"/>
  <c r="AN36" i="9"/>
  <c r="AP36" i="9" s="1"/>
  <c r="AJ36" i="9"/>
  <c r="AC39" i="11"/>
  <c r="X40" i="11"/>
  <c r="O35" i="18"/>
  <c r="AA37" i="11"/>
  <c r="AG36" i="10"/>
  <c r="AL36" i="10"/>
  <c r="AM36" i="10" s="1"/>
  <c r="D34" i="18"/>
  <c r="Z38" i="10"/>
  <c r="C34" i="18"/>
  <c r="Z38" i="9"/>
  <c r="AE37" i="11"/>
  <c r="AK37" i="11" s="1"/>
  <c r="AK36" i="11"/>
  <c r="AF37" i="10"/>
  <c r="AA37" i="10"/>
  <c r="I39" i="11"/>
  <c r="U38" i="11"/>
  <c r="Y38" i="11" s="1"/>
  <c r="N35" i="18"/>
  <c r="AC39" i="10"/>
  <c r="X40" i="10"/>
  <c r="M36" i="18"/>
  <c r="X41" i="9"/>
  <c r="AC40" i="9"/>
  <c r="AF37" i="12"/>
  <c r="AA37" i="12"/>
  <c r="AC39" i="12"/>
  <c r="X40" i="12"/>
  <c r="P35" i="18"/>
  <c r="AJ37" i="11"/>
  <c r="AO37" i="11"/>
  <c r="AP37" i="11" s="1"/>
  <c r="AI38" i="10"/>
  <c r="AD38" i="10"/>
  <c r="M39" i="12"/>
  <c r="U38" i="12"/>
  <c r="Y38" i="12" s="1"/>
  <c r="AE38" i="12" s="1"/>
  <c r="AK38" i="12" s="1"/>
  <c r="AD37" i="11"/>
  <c r="AB38" i="11"/>
  <c r="AH38" i="11" s="1"/>
  <c r="AN38" i="11" s="1"/>
  <c r="W39" i="11"/>
  <c r="J44" i="4"/>
  <c r="J40" i="12"/>
  <c r="V39" i="12"/>
  <c r="J40" i="9"/>
  <c r="V39" i="9"/>
  <c r="P40" i="4"/>
  <c r="V39" i="4"/>
  <c r="AG37" i="4"/>
  <c r="AL37" i="4"/>
  <c r="AM37" i="4" s="1"/>
  <c r="J40" i="11"/>
  <c r="V39" i="11"/>
  <c r="J40" i="10"/>
  <c r="V39" i="10"/>
  <c r="M40" i="4"/>
  <c r="U39" i="4"/>
  <c r="Y39" i="4" s="1"/>
  <c r="AE39" i="4" s="1"/>
  <c r="AK39" i="4" s="1"/>
  <c r="I44" i="4"/>
  <c r="O69" i="12"/>
  <c r="K70" i="4"/>
  <c r="AF38" i="4" l="1"/>
  <c r="AF38" i="11"/>
  <c r="AE39" i="9"/>
  <c r="AK39" i="9" s="1"/>
  <c r="AF38" i="9"/>
  <c r="AA38" i="9"/>
  <c r="AN37" i="9"/>
  <c r="AP37" i="9" s="1"/>
  <c r="AJ37" i="9"/>
  <c r="I40" i="10"/>
  <c r="U39" i="10"/>
  <c r="Y39" i="10" s="1"/>
  <c r="AE39" i="10" s="1"/>
  <c r="AK39" i="10" s="1"/>
  <c r="AB41" i="12"/>
  <c r="AH41" i="12" s="1"/>
  <c r="AN41" i="12" s="1"/>
  <c r="W42" i="12"/>
  <c r="M40" i="12"/>
  <c r="U39" i="12"/>
  <c r="Y39" i="12" s="1"/>
  <c r="AE39" i="12" s="1"/>
  <c r="AK39" i="12" s="1"/>
  <c r="E35" i="18"/>
  <c r="Z39" i="11"/>
  <c r="M37" i="18"/>
  <c r="AC41" i="9"/>
  <c r="X42" i="9"/>
  <c r="AL37" i="9"/>
  <c r="AM37" i="9" s="1"/>
  <c r="AG37" i="9"/>
  <c r="O36" i="18"/>
  <c r="X41" i="11"/>
  <c r="AC40" i="11"/>
  <c r="AJ38" i="12"/>
  <c r="AO38" i="12"/>
  <c r="AP38" i="12" s="1"/>
  <c r="AO38" i="10"/>
  <c r="AP38" i="10" s="1"/>
  <c r="AJ38" i="10"/>
  <c r="AL38" i="11"/>
  <c r="C35" i="18"/>
  <c r="Z39" i="9"/>
  <c r="AF39" i="9" s="1"/>
  <c r="F35" i="18"/>
  <c r="Z39" i="12"/>
  <c r="N36" i="18"/>
  <c r="X41" i="10"/>
  <c r="AC40" i="10"/>
  <c r="AO39" i="9"/>
  <c r="Z39" i="4"/>
  <c r="AA39" i="4" s="1"/>
  <c r="B35" i="18"/>
  <c r="AD39" i="10"/>
  <c r="AI39" i="10"/>
  <c r="W41" i="10"/>
  <c r="AB40" i="10"/>
  <c r="AH40" i="10" s="1"/>
  <c r="AN40" i="10" s="1"/>
  <c r="AF38" i="10"/>
  <c r="AA38" i="10"/>
  <c r="AB39" i="4"/>
  <c r="AH39" i="4" s="1"/>
  <c r="AN39" i="4" s="1"/>
  <c r="W40" i="4"/>
  <c r="X41" i="12"/>
  <c r="P36" i="18"/>
  <c r="AC40" i="12"/>
  <c r="D35" i="18"/>
  <c r="Z39" i="10"/>
  <c r="AI40" i="9"/>
  <c r="AA38" i="11"/>
  <c r="AE38" i="11"/>
  <c r="AK38" i="11" s="1"/>
  <c r="AH38" i="9"/>
  <c r="AD38" i="9"/>
  <c r="L36" i="18"/>
  <c r="AC40" i="4"/>
  <c r="X41" i="4"/>
  <c r="AD39" i="12"/>
  <c r="AI39" i="12"/>
  <c r="AG37" i="12"/>
  <c r="AL37" i="12"/>
  <c r="AM37" i="12" s="1"/>
  <c r="I40" i="11"/>
  <c r="U39" i="11"/>
  <c r="Y39" i="11" s="1"/>
  <c r="AO38" i="11"/>
  <c r="AP38" i="11" s="1"/>
  <c r="AJ38" i="11"/>
  <c r="W40" i="9"/>
  <c r="AB39" i="9"/>
  <c r="AI39" i="4"/>
  <c r="AO38" i="4"/>
  <c r="AP38" i="4" s="1"/>
  <c r="AJ38" i="4"/>
  <c r="AF38" i="12"/>
  <c r="AA38" i="12"/>
  <c r="W40" i="11"/>
  <c r="AB39" i="11"/>
  <c r="AH39" i="11" s="1"/>
  <c r="AN39" i="11" s="1"/>
  <c r="I41" i="9"/>
  <c r="U40" i="9"/>
  <c r="Y40" i="9" s="1"/>
  <c r="AE40" i="9" s="1"/>
  <c r="AK40" i="9" s="1"/>
  <c r="AD38" i="4"/>
  <c r="AI39" i="11"/>
  <c r="AD39" i="11"/>
  <c r="AG37" i="10"/>
  <c r="AL37" i="10"/>
  <c r="AM37" i="10" s="1"/>
  <c r="I42" i="12"/>
  <c r="AL37" i="11"/>
  <c r="AM37" i="11" s="1"/>
  <c r="AG37" i="11"/>
  <c r="M41" i="4"/>
  <c r="U40" i="4"/>
  <c r="Y40" i="4" s="1"/>
  <c r="AE40" i="4" s="1"/>
  <c r="AK40" i="4" s="1"/>
  <c r="P41" i="4"/>
  <c r="V40" i="4"/>
  <c r="J41" i="10"/>
  <c r="V40" i="10"/>
  <c r="AG38" i="4"/>
  <c r="AL38" i="4"/>
  <c r="AM38" i="4" s="1"/>
  <c r="J41" i="9"/>
  <c r="V40" i="9"/>
  <c r="J41" i="12"/>
  <c r="V40" i="12"/>
  <c r="J45" i="4"/>
  <c r="I45" i="4"/>
  <c r="J41" i="11"/>
  <c r="V40" i="11"/>
  <c r="K71" i="4"/>
  <c r="O70" i="12"/>
  <c r="AD39" i="4" l="1"/>
  <c r="AB41" i="10"/>
  <c r="AH41" i="10" s="1"/>
  <c r="AN41" i="10" s="1"/>
  <c r="W42" i="10"/>
  <c r="AO39" i="11"/>
  <c r="AP39" i="11" s="1"/>
  <c r="AJ39" i="11"/>
  <c r="E36" i="18"/>
  <c r="Z40" i="11"/>
  <c r="O37" i="18"/>
  <c r="AC41" i="11"/>
  <c r="X42" i="11"/>
  <c r="AI41" i="9"/>
  <c r="N37" i="18"/>
  <c r="AC41" i="10"/>
  <c r="X42" i="10"/>
  <c r="AI40" i="4"/>
  <c r="AA39" i="10"/>
  <c r="AF39" i="10"/>
  <c r="AB42" i="12"/>
  <c r="AH42" i="12" s="1"/>
  <c r="AN42" i="12" s="1"/>
  <c r="W43" i="12"/>
  <c r="AD40" i="10"/>
  <c r="AI40" i="10"/>
  <c r="AF39" i="11"/>
  <c r="AA39" i="11"/>
  <c r="M41" i="12"/>
  <c r="U40" i="12"/>
  <c r="Y40" i="12" s="1"/>
  <c r="AJ39" i="4"/>
  <c r="AO39" i="4"/>
  <c r="AP39" i="4" s="1"/>
  <c r="AL39" i="9"/>
  <c r="AM39" i="9" s="1"/>
  <c r="AG39" i="9"/>
  <c r="F36" i="18"/>
  <c r="Z40" i="12"/>
  <c r="AH39" i="9"/>
  <c r="AD39" i="9"/>
  <c r="AM38" i="11"/>
  <c r="I41" i="10"/>
  <c r="U40" i="10"/>
  <c r="Y40" i="10" s="1"/>
  <c r="AE40" i="10" s="1"/>
  <c r="AK40" i="10" s="1"/>
  <c r="AJ39" i="12"/>
  <c r="AO39" i="12"/>
  <c r="AP39" i="12" s="1"/>
  <c r="AG38" i="11"/>
  <c r="AB40" i="9"/>
  <c r="W41" i="9"/>
  <c r="AB40" i="4"/>
  <c r="AH40" i="4" s="1"/>
  <c r="AN40" i="4" s="1"/>
  <c r="W41" i="4"/>
  <c r="C36" i="18"/>
  <c r="Z40" i="9"/>
  <c r="I42" i="9"/>
  <c r="U41" i="9"/>
  <c r="Y41" i="9" s="1"/>
  <c r="AE41" i="9" s="1"/>
  <c r="AK41" i="9" s="1"/>
  <c r="AI40" i="12"/>
  <c r="AD40" i="12"/>
  <c r="AE39" i="11"/>
  <c r="AK39" i="11" s="1"/>
  <c r="AL38" i="9"/>
  <c r="AM38" i="9" s="1"/>
  <c r="AG38" i="9"/>
  <c r="AN38" i="9"/>
  <c r="AP38" i="9" s="1"/>
  <c r="AJ38" i="9"/>
  <c r="D36" i="18"/>
  <c r="Z40" i="10"/>
  <c r="AL38" i="12"/>
  <c r="AM38" i="12" s="1"/>
  <c r="AG38" i="12"/>
  <c r="AA39" i="12"/>
  <c r="AF39" i="12"/>
  <c r="I41" i="11"/>
  <c r="U40" i="11"/>
  <c r="Y40" i="11" s="1"/>
  <c r="AE40" i="11" s="1"/>
  <c r="AK40" i="11" s="1"/>
  <c r="AL38" i="10"/>
  <c r="AM38" i="10" s="1"/>
  <c r="AG38" i="10"/>
  <c r="AJ39" i="10"/>
  <c r="AO39" i="10"/>
  <c r="AP39" i="10" s="1"/>
  <c r="L37" i="18"/>
  <c r="X42" i="4"/>
  <c r="AC41" i="4"/>
  <c r="AC42" i="9"/>
  <c r="M38" i="18"/>
  <c r="X43" i="9"/>
  <c r="W41" i="11"/>
  <c r="AB40" i="11"/>
  <c r="AH40" i="11" s="1"/>
  <c r="AN40" i="11" s="1"/>
  <c r="AO40" i="9"/>
  <c r="Z40" i="4"/>
  <c r="AA40" i="4" s="1"/>
  <c r="B36" i="18"/>
  <c r="P37" i="18"/>
  <c r="AC41" i="12"/>
  <c r="X42" i="12"/>
  <c r="AF39" i="4"/>
  <c r="AL39" i="4" s="1"/>
  <c r="AM39" i="4" s="1"/>
  <c r="I43" i="12"/>
  <c r="AI40" i="11"/>
  <c r="AA39" i="9"/>
  <c r="I46" i="4"/>
  <c r="J46" i="4"/>
  <c r="J42" i="12"/>
  <c r="V41" i="12"/>
  <c r="J42" i="9"/>
  <c r="V41" i="9"/>
  <c r="J42" i="10"/>
  <c r="V41" i="10"/>
  <c r="P42" i="4"/>
  <c r="V41" i="4"/>
  <c r="J42" i="11"/>
  <c r="V41" i="11"/>
  <c r="M42" i="4"/>
  <c r="U41" i="4"/>
  <c r="Y41" i="4" s="1"/>
  <c r="AE41" i="4" s="1"/>
  <c r="AK41" i="4" s="1"/>
  <c r="O71" i="12"/>
  <c r="K72" i="4"/>
  <c r="AF40" i="4" l="1"/>
  <c r="I44" i="12"/>
  <c r="AC42" i="12"/>
  <c r="P38" i="18"/>
  <c r="X43" i="12"/>
  <c r="AL39" i="10"/>
  <c r="AM39" i="10" s="1"/>
  <c r="AG39" i="10"/>
  <c r="AD41" i="12"/>
  <c r="AI41" i="12"/>
  <c r="C37" i="18"/>
  <c r="Z41" i="9"/>
  <c r="AD40" i="4"/>
  <c r="AH40" i="9"/>
  <c r="AD40" i="9"/>
  <c r="F37" i="18"/>
  <c r="Z41" i="12"/>
  <c r="I42" i="10"/>
  <c r="U41" i="10"/>
  <c r="Y41" i="10" s="1"/>
  <c r="AE41" i="10" s="1"/>
  <c r="AK41" i="10" s="1"/>
  <c r="W42" i="11"/>
  <c r="AB41" i="11"/>
  <c r="AH41" i="11" s="1"/>
  <c r="AN41" i="11" s="1"/>
  <c r="AI42" i="9"/>
  <c r="AI41" i="11"/>
  <c r="AI41" i="4"/>
  <c r="N38" i="18"/>
  <c r="X43" i="10"/>
  <c r="AC42" i="10"/>
  <c r="AG39" i="4"/>
  <c r="X44" i="9"/>
  <c r="M39" i="18"/>
  <c r="AC43" i="9"/>
  <c r="AO40" i="12"/>
  <c r="AP40" i="12" s="1"/>
  <c r="AJ40" i="12"/>
  <c r="AA40" i="11"/>
  <c r="AF40" i="11"/>
  <c r="AD41" i="10"/>
  <c r="AI41" i="10"/>
  <c r="AA40" i="12"/>
  <c r="AE40" i="12"/>
  <c r="AK40" i="12" s="1"/>
  <c r="I43" i="9"/>
  <c r="U42" i="9"/>
  <c r="Y42" i="9" s="1"/>
  <c r="AE42" i="9" s="1"/>
  <c r="AK42" i="9" s="1"/>
  <c r="M42" i="12"/>
  <c r="U41" i="12"/>
  <c r="Y41" i="12" s="1"/>
  <c r="I42" i="11"/>
  <c r="U41" i="11"/>
  <c r="Y41" i="11" s="1"/>
  <c r="D37" i="18"/>
  <c r="Z41" i="10"/>
  <c r="AA40" i="10"/>
  <c r="AF40" i="10"/>
  <c r="AN39" i="9"/>
  <c r="AP39" i="9" s="1"/>
  <c r="AJ39" i="9"/>
  <c r="AO41" i="9"/>
  <c r="E37" i="18"/>
  <c r="Z41" i="11"/>
  <c r="AA40" i="9"/>
  <c r="AF40" i="9"/>
  <c r="Z41" i="4"/>
  <c r="AA41" i="4" s="1"/>
  <c r="B37" i="18"/>
  <c r="W44" i="12"/>
  <c r="AB43" i="12"/>
  <c r="AH43" i="12" s="1"/>
  <c r="AN43" i="12" s="1"/>
  <c r="AG39" i="12"/>
  <c r="AL39" i="12"/>
  <c r="AM39" i="12" s="1"/>
  <c r="X43" i="4"/>
  <c r="AC42" i="4"/>
  <c r="L38" i="18"/>
  <c r="AD40" i="11"/>
  <c r="AG39" i="11"/>
  <c r="AL39" i="11"/>
  <c r="AM39" i="11" s="1"/>
  <c r="AB42" i="10"/>
  <c r="AH42" i="10" s="1"/>
  <c r="AN42" i="10" s="1"/>
  <c r="W43" i="10"/>
  <c r="AB41" i="9"/>
  <c r="W42" i="9"/>
  <c r="AJ40" i="4"/>
  <c r="AO40" i="4"/>
  <c r="AP40" i="4" s="1"/>
  <c r="AF40" i="12"/>
  <c r="O38" i="18"/>
  <c r="X43" i="11"/>
  <c r="AC42" i="11"/>
  <c r="AJ40" i="11"/>
  <c r="AO40" i="11"/>
  <c r="AP40" i="11" s="1"/>
  <c r="AB41" i="4"/>
  <c r="AH41" i="4" s="1"/>
  <c r="AN41" i="4" s="1"/>
  <c r="W42" i="4"/>
  <c r="AJ40" i="10"/>
  <c r="AO40" i="10"/>
  <c r="AP40" i="10" s="1"/>
  <c r="J43" i="12"/>
  <c r="V42" i="12"/>
  <c r="M43" i="4"/>
  <c r="U42" i="4"/>
  <c r="Y42" i="4" s="1"/>
  <c r="AE42" i="4" s="1"/>
  <c r="AK42" i="4" s="1"/>
  <c r="J43" i="10"/>
  <c r="V42" i="10"/>
  <c r="J43" i="9"/>
  <c r="V42" i="9"/>
  <c r="J43" i="11"/>
  <c r="V42" i="11"/>
  <c r="P43" i="4"/>
  <c r="V42" i="4"/>
  <c r="AL40" i="4"/>
  <c r="AM40" i="4" s="1"/>
  <c r="AG40" i="4"/>
  <c r="J47" i="4"/>
  <c r="I47" i="4"/>
  <c r="O72" i="12"/>
  <c r="K73" i="4"/>
  <c r="AF41" i="11" l="1"/>
  <c r="AO42" i="9"/>
  <c r="Z42" i="4"/>
  <c r="B38" i="18"/>
  <c r="W43" i="11"/>
  <c r="AB42" i="11"/>
  <c r="AH42" i="11" s="1"/>
  <c r="AN42" i="11" s="1"/>
  <c r="AL40" i="9"/>
  <c r="AM40" i="9" s="1"/>
  <c r="AG40" i="9"/>
  <c r="AF41" i="4"/>
  <c r="AG41" i="4" s="1"/>
  <c r="AC43" i="11"/>
  <c r="X44" i="11"/>
  <c r="O39" i="18"/>
  <c r="AL40" i="11"/>
  <c r="AM40" i="11" s="1"/>
  <c r="AG40" i="11"/>
  <c r="I43" i="10"/>
  <c r="U42" i="10"/>
  <c r="Y42" i="10" s="1"/>
  <c r="AE42" i="10" s="1"/>
  <c r="AK42" i="10" s="1"/>
  <c r="E38" i="18"/>
  <c r="Z42" i="11"/>
  <c r="D38" i="18"/>
  <c r="Z42" i="10"/>
  <c r="AC44" i="9"/>
  <c r="X45" i="9"/>
  <c r="M40" i="18"/>
  <c r="AA41" i="9"/>
  <c r="AF41" i="9"/>
  <c r="W44" i="10"/>
  <c r="AB43" i="10"/>
  <c r="AH43" i="10" s="1"/>
  <c r="AN43" i="10" s="1"/>
  <c r="AG40" i="10"/>
  <c r="AL40" i="10"/>
  <c r="AM40" i="10" s="1"/>
  <c r="AB44" i="12"/>
  <c r="AH44" i="12" s="1"/>
  <c r="AN44" i="12" s="1"/>
  <c r="W45" i="12"/>
  <c r="AA41" i="10"/>
  <c r="AF41" i="10"/>
  <c r="X44" i="10"/>
  <c r="AC43" i="10"/>
  <c r="N39" i="18"/>
  <c r="AO41" i="10"/>
  <c r="AP41" i="10" s="1"/>
  <c r="AJ41" i="10"/>
  <c r="AD42" i="10"/>
  <c r="AI42" i="10"/>
  <c r="AA41" i="11"/>
  <c r="AE41" i="11"/>
  <c r="AK41" i="11" s="1"/>
  <c r="AM41" i="11" s="1"/>
  <c r="AD41" i="4"/>
  <c r="W43" i="4"/>
  <c r="AB42" i="4"/>
  <c r="AH42" i="4" s="1"/>
  <c r="AN42" i="4" s="1"/>
  <c r="AN40" i="9"/>
  <c r="AP40" i="9" s="1"/>
  <c r="AJ40" i="9"/>
  <c r="F38" i="18"/>
  <c r="Z42" i="12"/>
  <c r="I43" i="11"/>
  <c r="U42" i="11"/>
  <c r="Y42" i="11" s="1"/>
  <c r="AO41" i="4"/>
  <c r="AP41" i="4" s="1"/>
  <c r="AJ41" i="4"/>
  <c r="AC43" i="12"/>
  <c r="X44" i="12"/>
  <c r="P39" i="18"/>
  <c r="AI42" i="4"/>
  <c r="AE41" i="12"/>
  <c r="AK41" i="12" s="1"/>
  <c r="AD41" i="11"/>
  <c r="AI42" i="11"/>
  <c r="AD42" i="11"/>
  <c r="AH41" i="9"/>
  <c r="AD41" i="9"/>
  <c r="AC43" i="4"/>
  <c r="X44" i="4"/>
  <c r="L39" i="18"/>
  <c r="M43" i="12"/>
  <c r="U42" i="12"/>
  <c r="Y42" i="12" s="1"/>
  <c r="AO41" i="11"/>
  <c r="AP41" i="11" s="1"/>
  <c r="AJ41" i="11"/>
  <c r="AD42" i="12"/>
  <c r="AI42" i="12"/>
  <c r="AL41" i="11"/>
  <c r="C38" i="18"/>
  <c r="Z42" i="9"/>
  <c r="AI43" i="9"/>
  <c r="AA41" i="12"/>
  <c r="AF41" i="12"/>
  <c r="AL40" i="12"/>
  <c r="AM40" i="12" s="1"/>
  <c r="AG40" i="12"/>
  <c r="W43" i="9"/>
  <c r="AB42" i="9"/>
  <c r="AO41" i="12"/>
  <c r="AP41" i="12" s="1"/>
  <c r="AJ41" i="12"/>
  <c r="I44" i="9"/>
  <c r="U43" i="9"/>
  <c r="Y43" i="9" s="1"/>
  <c r="AE43" i="9" s="1"/>
  <c r="AK43" i="9" s="1"/>
  <c r="I45" i="12"/>
  <c r="AL41" i="4"/>
  <c r="AM41" i="4" s="1"/>
  <c r="I48" i="4"/>
  <c r="P44" i="4"/>
  <c r="V43" i="4"/>
  <c r="J44" i="11"/>
  <c r="V43" i="11"/>
  <c r="M44" i="4"/>
  <c r="U43" i="4"/>
  <c r="Y43" i="4" s="1"/>
  <c r="AE43" i="4" s="1"/>
  <c r="AK43" i="4" s="1"/>
  <c r="AA42" i="4"/>
  <c r="AF42" i="4"/>
  <c r="J44" i="10"/>
  <c r="V43" i="10"/>
  <c r="J48" i="4"/>
  <c r="J44" i="9"/>
  <c r="V43" i="9"/>
  <c r="J44" i="12"/>
  <c r="V43" i="12"/>
  <c r="K74" i="4"/>
  <c r="O73" i="12"/>
  <c r="AD42" i="4" l="1"/>
  <c r="AI44" i="9"/>
  <c r="AN41" i="9"/>
  <c r="AP41" i="9" s="1"/>
  <c r="AJ41" i="9"/>
  <c r="AJ42" i="11"/>
  <c r="AO42" i="11"/>
  <c r="AP42" i="11" s="1"/>
  <c r="AA42" i="11"/>
  <c r="AF42" i="11"/>
  <c r="AH42" i="9"/>
  <c r="AD42" i="9"/>
  <c r="AB43" i="9"/>
  <c r="W44" i="9"/>
  <c r="AA42" i="10"/>
  <c r="AF42" i="10"/>
  <c r="AO42" i="10"/>
  <c r="AP42" i="10" s="1"/>
  <c r="AJ42" i="10"/>
  <c r="AL41" i="12"/>
  <c r="AM41" i="12" s="1"/>
  <c r="AG41" i="12"/>
  <c r="Z43" i="4"/>
  <c r="AA43" i="4" s="1"/>
  <c r="B39" i="18"/>
  <c r="N40" i="18"/>
  <c r="X45" i="10"/>
  <c r="AC44" i="10"/>
  <c r="O40" i="18"/>
  <c r="AC44" i="11"/>
  <c r="X45" i="11"/>
  <c r="AI43" i="11"/>
  <c r="AA42" i="9"/>
  <c r="AF42" i="9"/>
  <c r="AG41" i="10"/>
  <c r="AL41" i="10"/>
  <c r="AM41" i="10" s="1"/>
  <c r="AA42" i="12"/>
  <c r="AF42" i="12"/>
  <c r="D39" i="18"/>
  <c r="Z43" i="10"/>
  <c r="AI43" i="10"/>
  <c r="AD43" i="10"/>
  <c r="F39" i="18"/>
  <c r="Z43" i="12"/>
  <c r="AB43" i="11"/>
  <c r="AH43" i="11" s="1"/>
  <c r="AN43" i="11" s="1"/>
  <c r="W44" i="11"/>
  <c r="AO42" i="12"/>
  <c r="AP42" i="12" s="1"/>
  <c r="AJ42" i="12"/>
  <c r="I46" i="12"/>
  <c r="AE42" i="12"/>
  <c r="AK42" i="12" s="1"/>
  <c r="W45" i="10"/>
  <c r="AB44" i="10"/>
  <c r="AH44" i="10" s="1"/>
  <c r="AN44" i="10" s="1"/>
  <c r="E39" i="18"/>
  <c r="Z43" i="11"/>
  <c r="I44" i="10"/>
  <c r="U43" i="10"/>
  <c r="Y43" i="10" s="1"/>
  <c r="AE43" i="10" s="1"/>
  <c r="AK43" i="10" s="1"/>
  <c r="AG41" i="11"/>
  <c r="AE42" i="11"/>
  <c r="AK42" i="11" s="1"/>
  <c r="C39" i="18"/>
  <c r="Z43" i="9"/>
  <c r="M44" i="12"/>
  <c r="U43" i="12"/>
  <c r="Y43" i="12" s="1"/>
  <c r="AE43" i="12" s="1"/>
  <c r="AK43" i="12" s="1"/>
  <c r="AL41" i="9"/>
  <c r="AM41" i="9" s="1"/>
  <c r="AG41" i="9"/>
  <c r="AI43" i="4"/>
  <c r="AO42" i="4"/>
  <c r="AP42" i="4" s="1"/>
  <c r="AJ42" i="4"/>
  <c r="AO43" i="9"/>
  <c r="P40" i="18"/>
  <c r="AC44" i="12"/>
  <c r="X45" i="12"/>
  <c r="AI43" i="12"/>
  <c r="AD43" i="12"/>
  <c r="AB45" i="12"/>
  <c r="AH45" i="12" s="1"/>
  <c r="AN45" i="12" s="1"/>
  <c r="W46" i="12"/>
  <c r="I44" i="11"/>
  <c r="U43" i="11"/>
  <c r="Y43" i="11" s="1"/>
  <c r="I45" i="9"/>
  <c r="U44" i="9"/>
  <c r="Y44" i="9" s="1"/>
  <c r="AE44" i="9" s="1"/>
  <c r="AK44" i="9" s="1"/>
  <c r="X46" i="9"/>
  <c r="M41" i="18"/>
  <c r="AC45" i="9"/>
  <c r="AC44" i="4"/>
  <c r="X45" i="4"/>
  <c r="L40" i="18"/>
  <c r="W44" i="4"/>
  <c r="AB43" i="4"/>
  <c r="AH43" i="4" s="1"/>
  <c r="AN43" i="4" s="1"/>
  <c r="M45" i="4"/>
  <c r="U44" i="4"/>
  <c r="Y44" i="4" s="1"/>
  <c r="AE44" i="4" s="1"/>
  <c r="AK44" i="4" s="1"/>
  <c r="I49" i="4"/>
  <c r="J45" i="9"/>
  <c r="V44" i="9"/>
  <c r="J45" i="10"/>
  <c r="V44" i="10"/>
  <c r="AG42" i="4"/>
  <c r="AL42" i="4"/>
  <c r="AM42" i="4" s="1"/>
  <c r="P45" i="4"/>
  <c r="V44" i="4"/>
  <c r="J45" i="12"/>
  <c r="V44" i="12"/>
  <c r="J49" i="4"/>
  <c r="J45" i="11"/>
  <c r="V44" i="11"/>
  <c r="K75" i="4"/>
  <c r="O74" i="12"/>
  <c r="AE43" i="11" l="1"/>
  <c r="AK43" i="11" s="1"/>
  <c r="Z44" i="4"/>
  <c r="B40" i="18"/>
  <c r="AO43" i="4"/>
  <c r="AP43" i="4" s="1"/>
  <c r="AJ43" i="4"/>
  <c r="AH43" i="9"/>
  <c r="AD43" i="9"/>
  <c r="AF43" i="4"/>
  <c r="I45" i="11"/>
  <c r="U44" i="11"/>
  <c r="Y44" i="11" s="1"/>
  <c r="I45" i="10"/>
  <c r="U44" i="10"/>
  <c r="Y44" i="10" s="1"/>
  <c r="AE44" i="10" s="1"/>
  <c r="AK44" i="10" s="1"/>
  <c r="AL42" i="9"/>
  <c r="AM42" i="9" s="1"/>
  <c r="AG42" i="9"/>
  <c r="AL42" i="11"/>
  <c r="AM42" i="11" s="1"/>
  <c r="AG42" i="11"/>
  <c r="D40" i="18"/>
  <c r="Z44" i="10"/>
  <c r="AA43" i="11"/>
  <c r="AF43" i="11"/>
  <c r="AA43" i="12"/>
  <c r="AF43" i="12"/>
  <c r="AI44" i="4"/>
  <c r="I46" i="9"/>
  <c r="U45" i="9"/>
  <c r="Y45" i="9" s="1"/>
  <c r="AE45" i="9" s="1"/>
  <c r="AK45" i="9" s="1"/>
  <c r="W47" i="12"/>
  <c r="AB46" i="12"/>
  <c r="AH46" i="12" s="1"/>
  <c r="AN46" i="12" s="1"/>
  <c r="AJ43" i="12"/>
  <c r="AO43" i="12"/>
  <c r="AP43" i="12" s="1"/>
  <c r="AJ43" i="11"/>
  <c r="AO43" i="11"/>
  <c r="AP43" i="11" s="1"/>
  <c r="AB44" i="11"/>
  <c r="AH44" i="11" s="1"/>
  <c r="AN44" i="11" s="1"/>
  <c r="W45" i="11"/>
  <c r="AD43" i="11"/>
  <c r="F40" i="18"/>
  <c r="Z44" i="12"/>
  <c r="AB44" i="4"/>
  <c r="AH44" i="4" s="1"/>
  <c r="AN44" i="4" s="1"/>
  <c r="W45" i="4"/>
  <c r="AC45" i="4"/>
  <c r="L41" i="18"/>
  <c r="X46" i="4"/>
  <c r="AD44" i="12"/>
  <c r="AI44" i="12"/>
  <c r="W46" i="10"/>
  <c r="AB45" i="10"/>
  <c r="AH45" i="10" s="1"/>
  <c r="AN45" i="10" s="1"/>
  <c r="O41" i="18"/>
  <c r="AC45" i="11"/>
  <c r="X46" i="11"/>
  <c r="AD43" i="4"/>
  <c r="C40" i="18"/>
  <c r="Z44" i="9"/>
  <c r="AG42" i="10"/>
  <c r="AL42" i="10"/>
  <c r="AM42" i="10" s="1"/>
  <c r="AA43" i="9"/>
  <c r="AF43" i="9"/>
  <c r="AI44" i="11"/>
  <c r="M45" i="12"/>
  <c r="U44" i="12"/>
  <c r="Y44" i="12" s="1"/>
  <c r="AE44" i="12" s="1"/>
  <c r="AK44" i="12" s="1"/>
  <c r="AA43" i="10"/>
  <c r="AF43" i="10"/>
  <c r="AG42" i="12"/>
  <c r="AL42" i="12"/>
  <c r="AM42" i="12" s="1"/>
  <c r="W45" i="9"/>
  <c r="AB44" i="9"/>
  <c r="P41" i="18"/>
  <c r="AC45" i="12"/>
  <c r="X46" i="12"/>
  <c r="E40" i="18"/>
  <c r="Z44" i="11"/>
  <c r="N41" i="18"/>
  <c r="AC45" i="10"/>
  <c r="X46" i="10"/>
  <c r="AI45" i="9"/>
  <c r="AO43" i="10"/>
  <c r="AP43" i="10" s="1"/>
  <c r="AJ43" i="10"/>
  <c r="M42" i="18"/>
  <c r="X47" i="9"/>
  <c r="AC46" i="9"/>
  <c r="AN42" i="9"/>
  <c r="AP42" i="9" s="1"/>
  <c r="AJ42" i="9"/>
  <c r="I47" i="12"/>
  <c r="AI44" i="10"/>
  <c r="AD44" i="10"/>
  <c r="AO44" i="9"/>
  <c r="J50" i="4"/>
  <c r="AA44" i="4"/>
  <c r="AF44" i="4"/>
  <c r="P46" i="4"/>
  <c r="V45" i="4"/>
  <c r="J46" i="10"/>
  <c r="V45" i="10"/>
  <c r="I50" i="4"/>
  <c r="AL43" i="4"/>
  <c r="AM43" i="4" s="1"/>
  <c r="AG43" i="4"/>
  <c r="J46" i="12"/>
  <c r="V45" i="12"/>
  <c r="J46" i="9"/>
  <c r="V45" i="9"/>
  <c r="J46" i="11"/>
  <c r="V45" i="11"/>
  <c r="M46" i="4"/>
  <c r="U45" i="4"/>
  <c r="Y45" i="4" s="1"/>
  <c r="AE45" i="4" s="1"/>
  <c r="AK45" i="4" s="1"/>
  <c r="K76" i="4"/>
  <c r="O75" i="12"/>
  <c r="AD44" i="11" l="1"/>
  <c r="AD44" i="4"/>
  <c r="AG43" i="10"/>
  <c r="AL43" i="10"/>
  <c r="AM43" i="10" s="1"/>
  <c r="AI45" i="4"/>
  <c r="AB45" i="4"/>
  <c r="AH45" i="4" s="1"/>
  <c r="AN45" i="4" s="1"/>
  <c r="W46" i="4"/>
  <c r="AA44" i="10"/>
  <c r="AF44" i="10"/>
  <c r="AI46" i="9"/>
  <c r="AL43" i="9"/>
  <c r="AM43" i="9" s="1"/>
  <c r="AG43" i="9"/>
  <c r="AO45" i="9"/>
  <c r="I46" i="10"/>
  <c r="U45" i="10"/>
  <c r="Y45" i="10" s="1"/>
  <c r="AE45" i="10" s="1"/>
  <c r="AK45" i="10" s="1"/>
  <c r="AH44" i="9"/>
  <c r="AD44" i="9"/>
  <c r="N42" i="18"/>
  <c r="AC46" i="10"/>
  <c r="X47" i="10"/>
  <c r="AA44" i="9"/>
  <c r="AF44" i="9"/>
  <c r="I46" i="11"/>
  <c r="U45" i="11"/>
  <c r="Y45" i="11" s="1"/>
  <c r="M46" i="12"/>
  <c r="U45" i="12"/>
  <c r="Y45" i="12" s="1"/>
  <c r="AE45" i="12" s="1"/>
  <c r="AK45" i="12" s="1"/>
  <c r="X48" i="9"/>
  <c r="AC47" i="9"/>
  <c r="M43" i="18"/>
  <c r="AB45" i="11"/>
  <c r="AH45" i="11" s="1"/>
  <c r="AN45" i="11" s="1"/>
  <c r="W46" i="11"/>
  <c r="AI45" i="10"/>
  <c r="AD45" i="10"/>
  <c r="AJ44" i="12"/>
  <c r="AO44" i="12"/>
  <c r="AP44" i="12" s="1"/>
  <c r="AJ44" i="10"/>
  <c r="AO44" i="10"/>
  <c r="AP44" i="10" s="1"/>
  <c r="L42" i="18"/>
  <c r="X47" i="4"/>
  <c r="AC46" i="4"/>
  <c r="AL43" i="11"/>
  <c r="AM43" i="11" s="1"/>
  <c r="AG43" i="11"/>
  <c r="F41" i="18"/>
  <c r="Z45" i="12"/>
  <c r="O42" i="18"/>
  <c r="AC46" i="11"/>
  <c r="X47" i="11"/>
  <c r="AN43" i="9"/>
  <c r="AP43" i="9" s="1"/>
  <c r="AJ43" i="9"/>
  <c r="W46" i="9"/>
  <c r="AB45" i="9"/>
  <c r="AL43" i="12"/>
  <c r="AM43" i="12" s="1"/>
  <c r="AG43" i="12"/>
  <c r="I48" i="12"/>
  <c r="AI45" i="11"/>
  <c r="AB47" i="12"/>
  <c r="AH47" i="12" s="1"/>
  <c r="AN47" i="12" s="1"/>
  <c r="W48" i="12"/>
  <c r="Z45" i="4"/>
  <c r="AF45" i="4" s="1"/>
  <c r="B41" i="18"/>
  <c r="P42" i="18"/>
  <c r="AC46" i="12"/>
  <c r="X47" i="12"/>
  <c r="E41" i="18"/>
  <c r="Z45" i="11"/>
  <c r="AA44" i="12"/>
  <c r="AF44" i="12"/>
  <c r="AJ44" i="11"/>
  <c r="AO44" i="11"/>
  <c r="AP44" i="11" s="1"/>
  <c r="AA44" i="11"/>
  <c r="AE44" i="11"/>
  <c r="AK44" i="11" s="1"/>
  <c r="AF44" i="11"/>
  <c r="AD45" i="12"/>
  <c r="AI45" i="12"/>
  <c r="I47" i="9"/>
  <c r="U46" i="9"/>
  <c r="Y46" i="9" s="1"/>
  <c r="AE46" i="9" s="1"/>
  <c r="AK46" i="9" s="1"/>
  <c r="C41" i="18"/>
  <c r="Z45" i="9"/>
  <c r="D41" i="18"/>
  <c r="Z45" i="10"/>
  <c r="W47" i="10"/>
  <c r="AB46" i="10"/>
  <c r="AH46" i="10" s="1"/>
  <c r="AN46" i="10" s="1"/>
  <c r="AJ44" i="4"/>
  <c r="AO44" i="4"/>
  <c r="AP44" i="4" s="1"/>
  <c r="I51" i="4"/>
  <c r="J47" i="9"/>
  <c r="V46" i="9"/>
  <c r="J47" i="10"/>
  <c r="V46" i="10"/>
  <c r="J47" i="11"/>
  <c r="V46" i="11"/>
  <c r="J51" i="4"/>
  <c r="M47" i="4"/>
  <c r="U46" i="4"/>
  <c r="Y46" i="4" s="1"/>
  <c r="AE46" i="4" s="1"/>
  <c r="AK46" i="4" s="1"/>
  <c r="J47" i="12"/>
  <c r="V46" i="12"/>
  <c r="P47" i="4"/>
  <c r="V46" i="4"/>
  <c r="AL44" i="4"/>
  <c r="AM44" i="4" s="1"/>
  <c r="AG44" i="4"/>
  <c r="O76" i="12"/>
  <c r="K77" i="4"/>
  <c r="AD45" i="11" l="1"/>
  <c r="AA45" i="4"/>
  <c r="N43" i="18"/>
  <c r="X48" i="10"/>
  <c r="AC47" i="10"/>
  <c r="AA45" i="10"/>
  <c r="AF45" i="10"/>
  <c r="AN44" i="9"/>
  <c r="AP44" i="9" s="1"/>
  <c r="AJ44" i="9"/>
  <c r="AD46" i="12"/>
  <c r="AI46" i="12"/>
  <c r="F42" i="18"/>
  <c r="Z46" i="12"/>
  <c r="AB46" i="11"/>
  <c r="AH46" i="11" s="1"/>
  <c r="AN46" i="11" s="1"/>
  <c r="W47" i="11"/>
  <c r="AO46" i="9"/>
  <c r="AH45" i="9"/>
  <c r="AD45" i="9"/>
  <c r="AG44" i="10"/>
  <c r="AL44" i="10"/>
  <c r="AM44" i="10" s="1"/>
  <c r="L43" i="18"/>
  <c r="AC47" i="4"/>
  <c r="X48" i="4"/>
  <c r="I49" i="12"/>
  <c r="D42" i="18"/>
  <c r="Z46" i="10"/>
  <c r="AI47" i="9"/>
  <c r="AG44" i="11"/>
  <c r="AL44" i="11"/>
  <c r="AM44" i="11" s="1"/>
  <c r="W47" i="9"/>
  <c r="AB46" i="9"/>
  <c r="M44" i="18"/>
  <c r="AC48" i="9"/>
  <c r="X49" i="9"/>
  <c r="W47" i="4"/>
  <c r="AB46" i="4"/>
  <c r="AH46" i="4" s="1"/>
  <c r="AN46" i="4" s="1"/>
  <c r="AI46" i="10"/>
  <c r="AD46" i="10"/>
  <c r="W49" i="12"/>
  <c r="AB48" i="12"/>
  <c r="AH48" i="12" s="1"/>
  <c r="AN48" i="12" s="1"/>
  <c r="AA45" i="9"/>
  <c r="AF45" i="9"/>
  <c r="AJ45" i="11"/>
  <c r="AO45" i="11"/>
  <c r="AP45" i="11" s="1"/>
  <c r="AG44" i="12"/>
  <c r="AL44" i="12"/>
  <c r="AM44" i="12" s="1"/>
  <c r="O43" i="18"/>
  <c r="AC47" i="11"/>
  <c r="X48" i="11"/>
  <c r="M47" i="12"/>
  <c r="U46" i="12"/>
  <c r="Y46" i="12" s="1"/>
  <c r="AE46" i="12" s="1"/>
  <c r="AK46" i="12" s="1"/>
  <c r="AJ45" i="4"/>
  <c r="AO45" i="4"/>
  <c r="AP45" i="4" s="1"/>
  <c r="P43" i="18"/>
  <c r="AC47" i="12"/>
  <c r="X48" i="12"/>
  <c r="W48" i="10"/>
  <c r="AB47" i="10"/>
  <c r="AH47" i="10" s="1"/>
  <c r="AN47" i="10" s="1"/>
  <c r="AI46" i="4"/>
  <c r="AD46" i="4"/>
  <c r="Z46" i="4"/>
  <c r="AF46" i="4" s="1"/>
  <c r="B42" i="18"/>
  <c r="AJ45" i="10"/>
  <c r="AO45" i="10"/>
  <c r="AP45" i="10" s="1"/>
  <c r="AI46" i="11"/>
  <c r="AE45" i="11"/>
  <c r="AK45" i="11" s="1"/>
  <c r="AD45" i="4"/>
  <c r="AA45" i="11"/>
  <c r="AF45" i="11"/>
  <c r="I47" i="11"/>
  <c r="U46" i="11"/>
  <c r="Y46" i="11" s="1"/>
  <c r="I47" i="10"/>
  <c r="U46" i="10"/>
  <c r="Y46" i="10" s="1"/>
  <c r="AE46" i="10" s="1"/>
  <c r="AK46" i="10" s="1"/>
  <c r="I48" i="9"/>
  <c r="U47" i="9"/>
  <c r="Y47" i="9" s="1"/>
  <c r="AE47" i="9" s="1"/>
  <c r="AK47" i="9" s="1"/>
  <c r="AO45" i="12"/>
  <c r="AP45" i="12" s="1"/>
  <c r="AJ45" i="12"/>
  <c r="E42" i="18"/>
  <c r="Z46" i="11"/>
  <c r="C42" i="18"/>
  <c r="Z46" i="9"/>
  <c r="AA45" i="12"/>
  <c r="AF45" i="12"/>
  <c r="AL44" i="9"/>
  <c r="AM44" i="9" s="1"/>
  <c r="AG44" i="9"/>
  <c r="M48" i="4"/>
  <c r="U47" i="4"/>
  <c r="Y47" i="4" s="1"/>
  <c r="AE47" i="4" s="1"/>
  <c r="AK47" i="4" s="1"/>
  <c r="AG45" i="4"/>
  <c r="AL45" i="4"/>
  <c r="AM45" i="4" s="1"/>
  <c r="J48" i="12"/>
  <c r="V47" i="12"/>
  <c r="P48" i="4"/>
  <c r="V47" i="4"/>
  <c r="J52" i="4"/>
  <c r="J48" i="11"/>
  <c r="V47" i="11"/>
  <c r="J48" i="10"/>
  <c r="V47" i="10"/>
  <c r="J48" i="9"/>
  <c r="V47" i="9"/>
  <c r="I52" i="4"/>
  <c r="K78" i="4"/>
  <c r="O77" i="12"/>
  <c r="AE46" i="11" l="1"/>
  <c r="AK46" i="11" s="1"/>
  <c r="AA46" i="11"/>
  <c r="AF46" i="11"/>
  <c r="AO46" i="4"/>
  <c r="AP46" i="4" s="1"/>
  <c r="AJ46" i="4"/>
  <c r="AO46" i="10"/>
  <c r="AP46" i="10" s="1"/>
  <c r="AJ46" i="10"/>
  <c r="AN45" i="9"/>
  <c r="AP45" i="9" s="1"/>
  <c r="AJ45" i="9"/>
  <c r="I48" i="10"/>
  <c r="U47" i="10"/>
  <c r="Y47" i="10" s="1"/>
  <c r="AE47" i="10" s="1"/>
  <c r="AK47" i="10" s="1"/>
  <c r="F43" i="18"/>
  <c r="Z47" i="12"/>
  <c r="W48" i="4"/>
  <c r="AB47" i="4"/>
  <c r="AH47" i="4" s="1"/>
  <c r="AN47" i="4" s="1"/>
  <c r="I48" i="11"/>
  <c r="U47" i="11"/>
  <c r="Y47" i="11" s="1"/>
  <c r="AE47" i="11" s="1"/>
  <c r="AK47" i="11" s="1"/>
  <c r="O44" i="18"/>
  <c r="AC48" i="11"/>
  <c r="X49" i="11"/>
  <c r="AL45" i="12"/>
  <c r="AM45" i="12" s="1"/>
  <c r="AG45" i="12"/>
  <c r="AA46" i="9"/>
  <c r="AF46" i="9"/>
  <c r="M48" i="12"/>
  <c r="U47" i="12"/>
  <c r="Y47" i="12" s="1"/>
  <c r="AE47" i="12" s="1"/>
  <c r="AK47" i="12" s="1"/>
  <c r="AL45" i="11"/>
  <c r="AM45" i="11" s="1"/>
  <c r="AG45" i="11"/>
  <c r="AI47" i="11"/>
  <c r="AO47" i="9"/>
  <c r="AB49" i="12"/>
  <c r="AH49" i="12" s="1"/>
  <c r="AN49" i="12" s="1"/>
  <c r="W50" i="12"/>
  <c r="Z47" i="4"/>
  <c r="AF47" i="4" s="1"/>
  <c r="B43" i="18"/>
  <c r="AA46" i="10"/>
  <c r="AF46" i="10"/>
  <c r="AI48" i="9"/>
  <c r="I49" i="9"/>
  <c r="U48" i="9"/>
  <c r="Y48" i="9" s="1"/>
  <c r="AE48" i="9" s="1"/>
  <c r="AK48" i="9" s="1"/>
  <c r="AH46" i="9"/>
  <c r="AD46" i="9"/>
  <c r="AO46" i="12"/>
  <c r="AP46" i="12" s="1"/>
  <c r="AJ46" i="12"/>
  <c r="AL45" i="10"/>
  <c r="AM45" i="10" s="1"/>
  <c r="AG45" i="10"/>
  <c r="AA46" i="4"/>
  <c r="AD47" i="12"/>
  <c r="AI47" i="12"/>
  <c r="AB47" i="9"/>
  <c r="W48" i="9"/>
  <c r="E43" i="18"/>
  <c r="Z47" i="11"/>
  <c r="AC48" i="12"/>
  <c r="X49" i="12"/>
  <c r="P44" i="18"/>
  <c r="C43" i="18"/>
  <c r="Z47" i="9"/>
  <c r="AO46" i="11"/>
  <c r="AP46" i="11" s="1"/>
  <c r="AJ46" i="11"/>
  <c r="I50" i="12"/>
  <c r="AD47" i="10"/>
  <c r="AI47" i="10"/>
  <c r="M45" i="18"/>
  <c r="AC49" i="9"/>
  <c r="X50" i="9"/>
  <c r="AA46" i="12"/>
  <c r="AF46" i="12"/>
  <c r="AD46" i="11"/>
  <c r="L44" i="18"/>
  <c r="AC48" i="4"/>
  <c r="X49" i="4"/>
  <c r="N44" i="18"/>
  <c r="X49" i="10"/>
  <c r="AC48" i="10"/>
  <c r="W49" i="10"/>
  <c r="AB48" i="10"/>
  <c r="AH48" i="10" s="1"/>
  <c r="AN48" i="10" s="1"/>
  <c r="W48" i="11"/>
  <c r="AB47" i="11"/>
  <c r="AH47" i="11" s="1"/>
  <c r="AN47" i="11" s="1"/>
  <c r="D43" i="18"/>
  <c r="Z47" i="10"/>
  <c r="AL45" i="9"/>
  <c r="AM45" i="9" s="1"/>
  <c r="AG45" i="9"/>
  <c r="AI47" i="4"/>
  <c r="J49" i="9"/>
  <c r="V48" i="9"/>
  <c r="J49" i="10"/>
  <c r="V48" i="10"/>
  <c r="J53" i="4"/>
  <c r="P49" i="4"/>
  <c r="V48" i="4"/>
  <c r="J49" i="12"/>
  <c r="V48" i="12"/>
  <c r="AL46" i="4"/>
  <c r="AM46" i="4" s="1"/>
  <c r="AG46" i="4"/>
  <c r="I53" i="4"/>
  <c r="J49" i="11"/>
  <c r="V48" i="11"/>
  <c r="M49" i="4"/>
  <c r="U48" i="4"/>
  <c r="Y48" i="4" s="1"/>
  <c r="AE48" i="4" s="1"/>
  <c r="AK48" i="4" s="1"/>
  <c r="O78" i="12"/>
  <c r="K79" i="4"/>
  <c r="AA47" i="10" l="1"/>
  <c r="AF47" i="10"/>
  <c r="AA47" i="9"/>
  <c r="AF47" i="9"/>
  <c r="AI48" i="11"/>
  <c r="AC49" i="11"/>
  <c r="O45" i="18"/>
  <c r="X50" i="11"/>
  <c r="AB48" i="11"/>
  <c r="AH48" i="11" s="1"/>
  <c r="AN48" i="11" s="1"/>
  <c r="W49" i="11"/>
  <c r="AO48" i="9"/>
  <c r="F44" i="18"/>
  <c r="Z48" i="12"/>
  <c r="AC49" i="10"/>
  <c r="N45" i="18"/>
  <c r="X50" i="10"/>
  <c r="W49" i="4"/>
  <c r="AB48" i="4"/>
  <c r="AH48" i="4" s="1"/>
  <c r="AN48" i="4" s="1"/>
  <c r="AA47" i="4"/>
  <c r="AI48" i="4"/>
  <c r="AH47" i="9"/>
  <c r="AD47" i="9"/>
  <c r="AB48" i="9"/>
  <c r="W49" i="9"/>
  <c r="AJ47" i="12"/>
  <c r="AO47" i="12"/>
  <c r="AP47" i="12" s="1"/>
  <c r="AD47" i="11"/>
  <c r="I51" i="12"/>
  <c r="X50" i="12"/>
  <c r="P45" i="18"/>
  <c r="AC49" i="12"/>
  <c r="I49" i="11"/>
  <c r="U48" i="11"/>
  <c r="Y48" i="11" s="1"/>
  <c r="AE48" i="11" s="1"/>
  <c r="AK48" i="11" s="1"/>
  <c r="I49" i="10"/>
  <c r="U48" i="10"/>
  <c r="Y48" i="10" s="1"/>
  <c r="AE48" i="10" s="1"/>
  <c r="AK48" i="10" s="1"/>
  <c r="C44" i="18"/>
  <c r="Z48" i="9"/>
  <c r="AG46" i="12"/>
  <c r="AL46" i="12"/>
  <c r="AM46" i="12" s="1"/>
  <c r="AO47" i="11"/>
  <c r="AP47" i="11" s="1"/>
  <c r="AJ47" i="11"/>
  <c r="I50" i="9"/>
  <c r="U49" i="9"/>
  <c r="Y49" i="9" s="1"/>
  <c r="AE49" i="9" s="1"/>
  <c r="AK49" i="9" s="1"/>
  <c r="AB50" i="12"/>
  <c r="AH50" i="12" s="1"/>
  <c r="AN50" i="12" s="1"/>
  <c r="W51" i="12"/>
  <c r="D44" i="18"/>
  <c r="Z48" i="10"/>
  <c r="M46" i="18"/>
  <c r="AC50" i="9"/>
  <c r="X51" i="9"/>
  <c r="AN46" i="9"/>
  <c r="AP46" i="9" s="1"/>
  <c r="AJ46" i="9"/>
  <c r="AG46" i="10"/>
  <c r="AL46" i="10"/>
  <c r="AM46" i="10" s="1"/>
  <c r="AB49" i="10"/>
  <c r="AH49" i="10" s="1"/>
  <c r="AN49" i="10" s="1"/>
  <c r="W50" i="10"/>
  <c r="Z48" i="4"/>
  <c r="AF48" i="4" s="1"/>
  <c r="B44" i="18"/>
  <c r="AD48" i="10"/>
  <c r="AI48" i="10"/>
  <c r="AI48" i="12"/>
  <c r="AD48" i="12"/>
  <c r="AC49" i="4"/>
  <c r="X50" i="4"/>
  <c r="L45" i="18"/>
  <c r="AI49" i="9"/>
  <c r="E44" i="18"/>
  <c r="Z48" i="11"/>
  <c r="AA47" i="12"/>
  <c r="AF47" i="12"/>
  <c r="M49" i="12"/>
  <c r="U48" i="12"/>
  <c r="Y48" i="12" s="1"/>
  <c r="AE48" i="12" s="1"/>
  <c r="AK48" i="12" s="1"/>
  <c r="AA47" i="11"/>
  <c r="AF47" i="11"/>
  <c r="AJ47" i="4"/>
  <c r="AO47" i="4"/>
  <c r="AP47" i="4" s="1"/>
  <c r="AO47" i="10"/>
  <c r="AP47" i="10" s="1"/>
  <c r="AJ47" i="10"/>
  <c r="AL46" i="11"/>
  <c r="AM46" i="11" s="1"/>
  <c r="AG46" i="11"/>
  <c r="AD47" i="4"/>
  <c r="AL46" i="9"/>
  <c r="AM46" i="9" s="1"/>
  <c r="AG46" i="9"/>
  <c r="I54" i="4"/>
  <c r="M50" i="4"/>
  <c r="U49" i="4"/>
  <c r="Y49" i="4" s="1"/>
  <c r="AE49" i="4" s="1"/>
  <c r="AK49" i="4" s="1"/>
  <c r="J50" i="12"/>
  <c r="V49" i="12"/>
  <c r="J50" i="11"/>
  <c r="V49" i="11"/>
  <c r="J50" i="10"/>
  <c r="V49" i="10"/>
  <c r="P50" i="4"/>
  <c r="V49" i="4"/>
  <c r="AG47" i="4"/>
  <c r="AL47" i="4"/>
  <c r="AM47" i="4" s="1"/>
  <c r="J54" i="4"/>
  <c r="J50" i="9"/>
  <c r="V49" i="9"/>
  <c r="O79" i="12"/>
  <c r="K80" i="4"/>
  <c r="AD48" i="11" l="1"/>
  <c r="AA48" i="4"/>
  <c r="D45" i="18"/>
  <c r="Z49" i="10"/>
  <c r="Z49" i="4"/>
  <c r="AA49" i="4" s="1"/>
  <c r="B45" i="18"/>
  <c r="AJ48" i="10"/>
  <c r="AO48" i="10"/>
  <c r="AP48" i="10" s="1"/>
  <c r="AB49" i="4"/>
  <c r="AH49" i="4" s="1"/>
  <c r="AN49" i="4" s="1"/>
  <c r="W50" i="4"/>
  <c r="AC50" i="10"/>
  <c r="X51" i="10"/>
  <c r="N46" i="18"/>
  <c r="I50" i="10"/>
  <c r="U49" i="10"/>
  <c r="Y49" i="10" s="1"/>
  <c r="AE49" i="10" s="1"/>
  <c r="AK49" i="10" s="1"/>
  <c r="AI49" i="10"/>
  <c r="AD49" i="10"/>
  <c r="AA48" i="9"/>
  <c r="AF48" i="9"/>
  <c r="W51" i="10"/>
  <c r="AB50" i="10"/>
  <c r="AH50" i="10" s="1"/>
  <c r="AN50" i="10" s="1"/>
  <c r="AA48" i="12"/>
  <c r="AF48" i="12"/>
  <c r="I50" i="11"/>
  <c r="U49" i="11"/>
  <c r="Y49" i="11" s="1"/>
  <c r="AE49" i="11" s="1"/>
  <c r="AK49" i="11" s="1"/>
  <c r="E45" i="18"/>
  <c r="Z49" i="11"/>
  <c r="AL47" i="12"/>
  <c r="AM47" i="12" s="1"/>
  <c r="AG47" i="12"/>
  <c r="W50" i="11"/>
  <c r="AB49" i="11"/>
  <c r="AH49" i="11" s="1"/>
  <c r="AN49" i="11" s="1"/>
  <c r="I52" i="12"/>
  <c r="X51" i="12"/>
  <c r="P46" i="18"/>
  <c r="AC50" i="12"/>
  <c r="AA48" i="11"/>
  <c r="AF48" i="11"/>
  <c r="AC50" i="11"/>
  <c r="O46" i="18"/>
  <c r="X51" i="11"/>
  <c r="M47" i="18"/>
  <c r="AC51" i="9"/>
  <c r="X52" i="9"/>
  <c r="AI50" i="9"/>
  <c r="AO49" i="9"/>
  <c r="AI49" i="11"/>
  <c r="W52" i="12"/>
  <c r="AB51" i="12"/>
  <c r="AH51" i="12" s="1"/>
  <c r="AN51" i="12" s="1"/>
  <c r="AH48" i="9"/>
  <c r="AD48" i="9"/>
  <c r="AO48" i="11"/>
  <c r="AP48" i="11" s="1"/>
  <c r="AJ48" i="11"/>
  <c r="AA48" i="10"/>
  <c r="AF48" i="10"/>
  <c r="AC50" i="4"/>
  <c r="X51" i="4"/>
  <c r="L46" i="18"/>
  <c r="AL47" i="9"/>
  <c r="AM47" i="9" s="1"/>
  <c r="AG47" i="9"/>
  <c r="M50" i="12"/>
  <c r="U49" i="12"/>
  <c r="Y49" i="12" s="1"/>
  <c r="AE49" i="12" s="1"/>
  <c r="AK49" i="12" s="1"/>
  <c r="C45" i="18"/>
  <c r="Z49" i="9"/>
  <c r="AI49" i="4"/>
  <c r="I51" i="9"/>
  <c r="U50" i="9"/>
  <c r="Y50" i="9" s="1"/>
  <c r="AE50" i="9" s="1"/>
  <c r="AK50" i="9" s="1"/>
  <c r="AN47" i="9"/>
  <c r="AP47" i="9" s="1"/>
  <c r="AJ47" i="9"/>
  <c r="F45" i="18"/>
  <c r="Z49" i="12"/>
  <c r="AI49" i="12"/>
  <c r="AD49" i="12"/>
  <c r="AO48" i="4"/>
  <c r="AP48" i="4" s="1"/>
  <c r="AJ48" i="4"/>
  <c r="AG47" i="10"/>
  <c r="AL47" i="10"/>
  <c r="AM47" i="10" s="1"/>
  <c r="AG47" i="11"/>
  <c r="AL47" i="11"/>
  <c r="AM47" i="11" s="1"/>
  <c r="AB49" i="9"/>
  <c r="W50" i="9"/>
  <c r="AO48" i="12"/>
  <c r="AP48" i="12" s="1"/>
  <c r="AJ48" i="12"/>
  <c r="AD48" i="4"/>
  <c r="J51" i="9"/>
  <c r="V50" i="9"/>
  <c r="J55" i="4"/>
  <c r="P51" i="4"/>
  <c r="V50" i="4"/>
  <c r="AG48" i="4"/>
  <c r="AL48" i="4"/>
  <c r="AM48" i="4" s="1"/>
  <c r="J51" i="10"/>
  <c r="V50" i="10"/>
  <c r="M51" i="4"/>
  <c r="U50" i="4"/>
  <c r="Y50" i="4" s="1"/>
  <c r="AE50" i="4" s="1"/>
  <c r="AK50" i="4" s="1"/>
  <c r="J51" i="11"/>
  <c r="V50" i="11"/>
  <c r="J51" i="12"/>
  <c r="V50" i="12"/>
  <c r="I55" i="4"/>
  <c r="O80" i="12"/>
  <c r="K81" i="4"/>
  <c r="AF49" i="4" l="1"/>
  <c r="L47" i="18"/>
  <c r="AC51" i="4"/>
  <c r="X52" i="4"/>
  <c r="D46" i="18"/>
  <c r="Z50" i="10"/>
  <c r="AA49" i="9"/>
  <c r="AF49" i="9"/>
  <c r="I51" i="11"/>
  <c r="U50" i="11"/>
  <c r="Y50" i="11" s="1"/>
  <c r="AE50" i="11" s="1"/>
  <c r="AK50" i="11" s="1"/>
  <c r="W52" i="10"/>
  <c r="AB51" i="10"/>
  <c r="AH51" i="10" s="1"/>
  <c r="AN51" i="10" s="1"/>
  <c r="O47" i="18"/>
  <c r="AC51" i="11"/>
  <c r="X52" i="11"/>
  <c r="AL48" i="9"/>
  <c r="AM48" i="9" s="1"/>
  <c r="AG48" i="9"/>
  <c r="AB50" i="9"/>
  <c r="W51" i="9"/>
  <c r="AL48" i="10"/>
  <c r="AM48" i="10" s="1"/>
  <c r="AG48" i="10"/>
  <c r="AI50" i="12"/>
  <c r="AD50" i="12"/>
  <c r="I51" i="10"/>
  <c r="U50" i="10"/>
  <c r="Y50" i="10" s="1"/>
  <c r="AE50" i="10" s="1"/>
  <c r="AK50" i="10" s="1"/>
  <c r="X52" i="12"/>
  <c r="P47" i="18"/>
  <c r="AC51" i="12"/>
  <c r="AC51" i="10"/>
  <c r="N47" i="18"/>
  <c r="X52" i="10"/>
  <c r="AH49" i="9"/>
  <c r="AD49" i="9"/>
  <c r="AD50" i="10"/>
  <c r="AI50" i="10"/>
  <c r="AI50" i="4"/>
  <c r="AO49" i="12"/>
  <c r="AP49" i="12" s="1"/>
  <c r="AJ49" i="12"/>
  <c r="I53" i="12"/>
  <c r="AB50" i="4"/>
  <c r="AH50" i="4" s="1"/>
  <c r="AN50" i="4" s="1"/>
  <c r="W51" i="4"/>
  <c r="AG48" i="12"/>
  <c r="AL48" i="12"/>
  <c r="AM48" i="12" s="1"/>
  <c r="AC52" i="9"/>
  <c r="X53" i="9"/>
  <c r="M48" i="18"/>
  <c r="M51" i="12"/>
  <c r="U50" i="12"/>
  <c r="Y50" i="12" s="1"/>
  <c r="AE50" i="12" s="1"/>
  <c r="AK50" i="12" s="1"/>
  <c r="E46" i="18"/>
  <c r="Z50" i="11"/>
  <c r="AN48" i="9"/>
  <c r="AP48" i="9" s="1"/>
  <c r="AJ48" i="9"/>
  <c r="AB50" i="11"/>
  <c r="AH50" i="11" s="1"/>
  <c r="AN50" i="11" s="1"/>
  <c r="W51" i="11"/>
  <c r="AB52" i="12"/>
  <c r="AH52" i="12" s="1"/>
  <c r="AN52" i="12" s="1"/>
  <c r="W53" i="12"/>
  <c r="AO50" i="9"/>
  <c r="F46" i="18"/>
  <c r="Z50" i="12"/>
  <c r="AL48" i="11"/>
  <c r="AM48" i="11" s="1"/>
  <c r="AG48" i="11"/>
  <c r="AD49" i="11"/>
  <c r="Z50" i="4"/>
  <c r="AA50" i="4" s="1"/>
  <c r="B46" i="18"/>
  <c r="C46" i="18"/>
  <c r="Z50" i="9"/>
  <c r="I52" i="9"/>
  <c r="U51" i="9"/>
  <c r="Y51" i="9" s="1"/>
  <c r="AE51" i="9" s="1"/>
  <c r="AK51" i="9" s="1"/>
  <c r="AO49" i="11"/>
  <c r="AP49" i="11" s="1"/>
  <c r="AJ49" i="11"/>
  <c r="AA49" i="11"/>
  <c r="AF49" i="11"/>
  <c r="AI51" i="9"/>
  <c r="AO49" i="4"/>
  <c r="AP49" i="4" s="1"/>
  <c r="AJ49" i="4"/>
  <c r="AA49" i="10"/>
  <c r="AF49" i="10"/>
  <c r="AI50" i="11"/>
  <c r="AJ49" i="10"/>
  <c r="AO49" i="10"/>
  <c r="AP49" i="10" s="1"/>
  <c r="AA49" i="12"/>
  <c r="AF49" i="12"/>
  <c r="AD49" i="4"/>
  <c r="J52" i="12"/>
  <c r="V51" i="12"/>
  <c r="I56" i="4"/>
  <c r="J52" i="10"/>
  <c r="V51" i="10"/>
  <c r="J52" i="11"/>
  <c r="V51" i="11"/>
  <c r="AL49" i="4"/>
  <c r="AM49" i="4" s="1"/>
  <c r="AG49" i="4"/>
  <c r="M52" i="4"/>
  <c r="U51" i="4"/>
  <c r="Y51" i="4" s="1"/>
  <c r="AE51" i="4" s="1"/>
  <c r="AK51" i="4" s="1"/>
  <c r="P52" i="4"/>
  <c r="V51" i="4"/>
  <c r="J56" i="4"/>
  <c r="J52" i="9"/>
  <c r="V51" i="9"/>
  <c r="K82" i="4"/>
  <c r="O81" i="12"/>
  <c r="AD50" i="11" l="1"/>
  <c r="AO50" i="11"/>
  <c r="AP50" i="11" s="1"/>
  <c r="AJ50" i="11"/>
  <c r="AA50" i="12"/>
  <c r="AF50" i="12"/>
  <c r="I54" i="12"/>
  <c r="AH50" i="9"/>
  <c r="AD50" i="9"/>
  <c r="W52" i="11"/>
  <c r="AB51" i="11"/>
  <c r="AH51" i="11" s="1"/>
  <c r="AN51" i="11" s="1"/>
  <c r="W54" i="12"/>
  <c r="AB53" i="12"/>
  <c r="AH53" i="12" s="1"/>
  <c r="AN53" i="12" s="1"/>
  <c r="D47" i="18"/>
  <c r="Z51" i="10"/>
  <c r="AO51" i="9"/>
  <c r="AB52" i="10"/>
  <c r="AH52" i="10" s="1"/>
  <c r="AN52" i="10" s="1"/>
  <c r="W53" i="10"/>
  <c r="AD50" i="4"/>
  <c r="AL49" i="11"/>
  <c r="AM49" i="11" s="1"/>
  <c r="AG49" i="11"/>
  <c r="AN49" i="9"/>
  <c r="AP49" i="9" s="1"/>
  <c r="AJ49" i="9"/>
  <c r="F47" i="18"/>
  <c r="Z51" i="12"/>
  <c r="N48" i="18"/>
  <c r="X53" i="10"/>
  <c r="AC52" i="10"/>
  <c r="I52" i="11"/>
  <c r="U51" i="11"/>
  <c r="Y51" i="11" s="1"/>
  <c r="AE51" i="11" s="1"/>
  <c r="AK51" i="11" s="1"/>
  <c r="Z51" i="4"/>
  <c r="AA51" i="4" s="1"/>
  <c r="B47" i="18"/>
  <c r="AA50" i="11"/>
  <c r="AF50" i="11"/>
  <c r="AL49" i="9"/>
  <c r="AM49" i="9" s="1"/>
  <c r="AG49" i="9"/>
  <c r="AO50" i="4"/>
  <c r="AP50" i="4" s="1"/>
  <c r="AJ50" i="4"/>
  <c r="AD51" i="10"/>
  <c r="AI51" i="10"/>
  <c r="AD51" i="12"/>
  <c r="AI51" i="12"/>
  <c r="AA50" i="10"/>
  <c r="AF50" i="10"/>
  <c r="AF50" i="4"/>
  <c r="AF51" i="4" s="1"/>
  <c r="AL49" i="10"/>
  <c r="AM49" i="10" s="1"/>
  <c r="AG49" i="10"/>
  <c r="AI51" i="11"/>
  <c r="I53" i="9"/>
  <c r="U52" i="9"/>
  <c r="Y52" i="9" s="1"/>
  <c r="AE52" i="9" s="1"/>
  <c r="AK52" i="9" s="1"/>
  <c r="M52" i="12"/>
  <c r="U51" i="12"/>
  <c r="Y51" i="12" s="1"/>
  <c r="AE51" i="12" s="1"/>
  <c r="AK51" i="12" s="1"/>
  <c r="AL49" i="12"/>
  <c r="AM49" i="12" s="1"/>
  <c r="AG49" i="12"/>
  <c r="AJ50" i="12"/>
  <c r="AO50" i="12"/>
  <c r="AP50" i="12" s="1"/>
  <c r="AB51" i="9"/>
  <c r="W52" i="9"/>
  <c r="AO50" i="10"/>
  <c r="AP50" i="10" s="1"/>
  <c r="AJ50" i="10"/>
  <c r="AA50" i="9"/>
  <c r="AF50" i="9"/>
  <c r="AC52" i="12"/>
  <c r="P48" i="18"/>
  <c r="X53" i="12"/>
  <c r="X53" i="4"/>
  <c r="L48" i="18"/>
  <c r="AC52" i="4"/>
  <c r="O48" i="18"/>
  <c r="AC52" i="11"/>
  <c r="X53" i="11"/>
  <c r="E47" i="18"/>
  <c r="Z51" i="11"/>
  <c r="C47" i="18"/>
  <c r="Z51" i="9"/>
  <c r="M49" i="18"/>
  <c r="AC53" i="9"/>
  <c r="X54" i="9"/>
  <c r="AI51" i="4"/>
  <c r="W52" i="4"/>
  <c r="AB51" i="4"/>
  <c r="AH51" i="4" s="1"/>
  <c r="AN51" i="4" s="1"/>
  <c r="AI52" i="9"/>
  <c r="I52" i="10"/>
  <c r="U51" i="10"/>
  <c r="Y51" i="10" s="1"/>
  <c r="AE51" i="10" s="1"/>
  <c r="AK51" i="10" s="1"/>
  <c r="J57" i="4"/>
  <c r="M53" i="4"/>
  <c r="U52" i="4"/>
  <c r="Y52" i="4" s="1"/>
  <c r="AE52" i="4" s="1"/>
  <c r="AK52" i="4" s="1"/>
  <c r="J53" i="11"/>
  <c r="V52" i="11"/>
  <c r="J53" i="10"/>
  <c r="V52" i="10"/>
  <c r="I57" i="4"/>
  <c r="J53" i="9"/>
  <c r="V52" i="9"/>
  <c r="P53" i="4"/>
  <c r="V52" i="4"/>
  <c r="J53" i="12"/>
  <c r="V52" i="12"/>
  <c r="O82" i="12"/>
  <c r="K83" i="4"/>
  <c r="AL50" i="4" l="1"/>
  <c r="AM50" i="4" s="1"/>
  <c r="AG50" i="4"/>
  <c r="AD51" i="11"/>
  <c r="AB52" i="4"/>
  <c r="AH52" i="4" s="1"/>
  <c r="AN52" i="4" s="1"/>
  <c r="W53" i="4"/>
  <c r="AD51" i="4"/>
  <c r="AB52" i="9"/>
  <c r="W53" i="9"/>
  <c r="AB53" i="10"/>
  <c r="AH53" i="10" s="1"/>
  <c r="AN53" i="10" s="1"/>
  <c r="W54" i="10"/>
  <c r="C48" i="18"/>
  <c r="Z52" i="9"/>
  <c r="AO51" i="4"/>
  <c r="AP51" i="4" s="1"/>
  <c r="AJ51" i="4"/>
  <c r="AH51" i="9"/>
  <c r="AD51" i="9"/>
  <c r="M50" i="18"/>
  <c r="X55" i="9"/>
  <c r="AC54" i="9"/>
  <c r="AB54" i="12"/>
  <c r="AH54" i="12" s="1"/>
  <c r="AN54" i="12" s="1"/>
  <c r="W55" i="12"/>
  <c r="AO52" i="9"/>
  <c r="AI53" i="9"/>
  <c r="AL50" i="11"/>
  <c r="AM50" i="11" s="1"/>
  <c r="AG50" i="11"/>
  <c r="X54" i="11"/>
  <c r="O49" i="18"/>
  <c r="AC53" i="11"/>
  <c r="I54" i="9"/>
  <c r="U53" i="9"/>
  <c r="Y53" i="9" s="1"/>
  <c r="AE53" i="9" s="1"/>
  <c r="AK53" i="9" s="1"/>
  <c r="AB52" i="11"/>
  <c r="AH52" i="11" s="1"/>
  <c r="AN52" i="11" s="1"/>
  <c r="W53" i="11"/>
  <c r="Z52" i="4"/>
  <c r="AF52" i="4" s="1"/>
  <c r="B48" i="18"/>
  <c r="AI52" i="11"/>
  <c r="AD52" i="11"/>
  <c r="I53" i="11"/>
  <c r="U52" i="11"/>
  <c r="Y52" i="11" s="1"/>
  <c r="AE52" i="11" s="1"/>
  <c r="AK52" i="11" s="1"/>
  <c r="D48" i="18"/>
  <c r="Z52" i="10"/>
  <c r="E48" i="18"/>
  <c r="Z52" i="11"/>
  <c r="AI52" i="10"/>
  <c r="AD52" i="10"/>
  <c r="AN50" i="9"/>
  <c r="AP50" i="9" s="1"/>
  <c r="AJ50" i="9"/>
  <c r="F48" i="18"/>
  <c r="Z52" i="12"/>
  <c r="AI52" i="4"/>
  <c r="AC53" i="10"/>
  <c r="X54" i="10"/>
  <c r="N49" i="18"/>
  <c r="AA51" i="10"/>
  <c r="AF51" i="10"/>
  <c r="M53" i="12"/>
  <c r="U52" i="12"/>
  <c r="Y52" i="12" s="1"/>
  <c r="AE52" i="12" s="1"/>
  <c r="AK52" i="12" s="1"/>
  <c r="I55" i="12"/>
  <c r="AA51" i="11"/>
  <c r="AF51" i="11"/>
  <c r="AO51" i="11"/>
  <c r="AP51" i="11" s="1"/>
  <c r="AJ51" i="11"/>
  <c r="L49" i="18"/>
  <c r="X54" i="4"/>
  <c r="AC53" i="4"/>
  <c r="AA51" i="12"/>
  <c r="AF51" i="12"/>
  <c r="AL50" i="12"/>
  <c r="AM50" i="12" s="1"/>
  <c r="AG50" i="12"/>
  <c r="AJ51" i="10"/>
  <c r="AO51" i="10"/>
  <c r="AP51" i="10" s="1"/>
  <c r="AA51" i="9"/>
  <c r="AF51" i="9"/>
  <c r="P49" i="18"/>
  <c r="AC53" i="12"/>
  <c r="X54" i="12"/>
  <c r="AL50" i="10"/>
  <c r="AM50" i="10" s="1"/>
  <c r="AG50" i="10"/>
  <c r="AL50" i="9"/>
  <c r="AM50" i="9" s="1"/>
  <c r="AG50" i="9"/>
  <c r="I53" i="10"/>
  <c r="U52" i="10"/>
  <c r="Y52" i="10" s="1"/>
  <c r="AI52" i="12"/>
  <c r="AD52" i="12"/>
  <c r="AO51" i="12"/>
  <c r="AP51" i="12" s="1"/>
  <c r="AJ51" i="12"/>
  <c r="J54" i="12"/>
  <c r="V53" i="12"/>
  <c r="AL51" i="4"/>
  <c r="AM51" i="4" s="1"/>
  <c r="AG51" i="4"/>
  <c r="P54" i="4"/>
  <c r="V53" i="4"/>
  <c r="J54" i="9"/>
  <c r="V53" i="9"/>
  <c r="I58" i="4"/>
  <c r="M54" i="4"/>
  <c r="U53" i="4"/>
  <c r="Y53" i="4" s="1"/>
  <c r="AE53" i="4" s="1"/>
  <c r="AK53" i="4" s="1"/>
  <c r="J58" i="4"/>
  <c r="J54" i="10"/>
  <c r="V53" i="10"/>
  <c r="J54" i="11"/>
  <c r="V53" i="11"/>
  <c r="O83" i="12"/>
  <c r="K84" i="4"/>
  <c r="AA52" i="4" l="1"/>
  <c r="AD52" i="4"/>
  <c r="AJ52" i="12"/>
  <c r="AO52" i="12"/>
  <c r="AP52" i="12" s="1"/>
  <c r="AF52" i="10"/>
  <c r="W56" i="12"/>
  <c r="AB55" i="12"/>
  <c r="AH55" i="12" s="1"/>
  <c r="AN55" i="12" s="1"/>
  <c r="AA52" i="10"/>
  <c r="AE52" i="10"/>
  <c r="AK52" i="10" s="1"/>
  <c r="AG51" i="11"/>
  <c r="AL51" i="11"/>
  <c r="AM51" i="11" s="1"/>
  <c r="P50" i="18"/>
  <c r="AC54" i="12"/>
  <c r="X55" i="12"/>
  <c r="AD53" i="12"/>
  <c r="AI53" i="12"/>
  <c r="W54" i="11"/>
  <c r="AB53" i="11"/>
  <c r="AH53" i="11" s="1"/>
  <c r="AN53" i="11" s="1"/>
  <c r="C49" i="18"/>
  <c r="Z53" i="9"/>
  <c r="Z53" i="4"/>
  <c r="AF53" i="4" s="1"/>
  <c r="B49" i="18"/>
  <c r="M54" i="12"/>
  <c r="U53" i="12"/>
  <c r="Y53" i="12" s="1"/>
  <c r="AE53" i="12" s="1"/>
  <c r="AK53" i="12" s="1"/>
  <c r="AL51" i="10"/>
  <c r="AM51" i="10" s="1"/>
  <c r="AG51" i="10"/>
  <c r="AL51" i="9"/>
  <c r="AM51" i="9" s="1"/>
  <c r="AG51" i="9"/>
  <c r="AC54" i="10"/>
  <c r="X55" i="10"/>
  <c r="N50" i="18"/>
  <c r="AA52" i="9"/>
  <c r="AF52" i="9"/>
  <c r="AI54" i="9"/>
  <c r="AC55" i="9"/>
  <c r="M51" i="18"/>
  <c r="X56" i="9"/>
  <c r="AJ52" i="4"/>
  <c r="AO52" i="4"/>
  <c r="AP52" i="4" s="1"/>
  <c r="AI53" i="11"/>
  <c r="AB54" i="10"/>
  <c r="AH54" i="10" s="1"/>
  <c r="AN54" i="10" s="1"/>
  <c r="W55" i="10"/>
  <c r="AC54" i="4"/>
  <c r="L50" i="18"/>
  <c r="X55" i="4"/>
  <c r="I54" i="11"/>
  <c r="U53" i="11"/>
  <c r="Y53" i="11" s="1"/>
  <c r="AE53" i="11" s="1"/>
  <c r="AK53" i="11" s="1"/>
  <c r="AO52" i="11"/>
  <c r="AP52" i="11" s="1"/>
  <c r="AJ52" i="11"/>
  <c r="AN51" i="9"/>
  <c r="AP51" i="9" s="1"/>
  <c r="AJ51" i="9"/>
  <c r="I55" i="9"/>
  <c r="U54" i="9"/>
  <c r="Y54" i="9" s="1"/>
  <c r="AE54" i="9" s="1"/>
  <c r="AK54" i="9" s="1"/>
  <c r="F49" i="18"/>
  <c r="Z53" i="12"/>
  <c r="AJ52" i="10"/>
  <c r="AO52" i="10"/>
  <c r="AP52" i="10" s="1"/>
  <c r="AA52" i="11"/>
  <c r="AF52" i="11"/>
  <c r="AA52" i="12"/>
  <c r="AF52" i="12"/>
  <c r="X55" i="11"/>
  <c r="AC54" i="11"/>
  <c r="O50" i="18"/>
  <c r="AB53" i="9"/>
  <c r="W54" i="9"/>
  <c r="D49" i="18"/>
  <c r="Z53" i="10"/>
  <c r="AH52" i="9"/>
  <c r="AD52" i="9"/>
  <c r="I56" i="12"/>
  <c r="AL51" i="12"/>
  <c r="AM51" i="12" s="1"/>
  <c r="AG51" i="12"/>
  <c r="I54" i="10"/>
  <c r="U53" i="10"/>
  <c r="Y53" i="10" s="1"/>
  <c r="AE53" i="10" s="1"/>
  <c r="AK53" i="10" s="1"/>
  <c r="AI53" i="10"/>
  <c r="AD53" i="10"/>
  <c r="W54" i="4"/>
  <c r="AB53" i="4"/>
  <c r="AH53" i="4" s="1"/>
  <c r="AN53" i="4" s="1"/>
  <c r="E49" i="18"/>
  <c r="Z53" i="11"/>
  <c r="AI53" i="4"/>
  <c r="AO53" i="9"/>
  <c r="I59" i="4"/>
  <c r="J55" i="11"/>
  <c r="V54" i="11"/>
  <c r="P55" i="4"/>
  <c r="V54" i="4"/>
  <c r="J55" i="10"/>
  <c r="V54" i="10"/>
  <c r="J59" i="4"/>
  <c r="J55" i="9"/>
  <c r="V54" i="9"/>
  <c r="AG52" i="4"/>
  <c r="AL52" i="4"/>
  <c r="AM52" i="4" s="1"/>
  <c r="M55" i="4"/>
  <c r="U54" i="4"/>
  <c r="Y54" i="4" s="1"/>
  <c r="AE54" i="4" s="1"/>
  <c r="AK54" i="4" s="1"/>
  <c r="J55" i="12"/>
  <c r="V54" i="12"/>
  <c r="K85" i="4"/>
  <c r="O84" i="12"/>
  <c r="AD53" i="11" l="1"/>
  <c r="AI54" i="11"/>
  <c r="AO53" i="4"/>
  <c r="AP53" i="4" s="1"/>
  <c r="AJ53" i="4"/>
  <c r="X56" i="11"/>
  <c r="O51" i="18"/>
  <c r="AC55" i="11"/>
  <c r="AJ53" i="11"/>
  <c r="AO53" i="11"/>
  <c r="AP53" i="11" s="1"/>
  <c r="AA53" i="9"/>
  <c r="AF53" i="9"/>
  <c r="AA53" i="4"/>
  <c r="AL52" i="11"/>
  <c r="AM52" i="11" s="1"/>
  <c r="AG52" i="11"/>
  <c r="AI55" i="9"/>
  <c r="P51" i="18"/>
  <c r="AC55" i="12"/>
  <c r="X56" i="12"/>
  <c r="I56" i="9"/>
  <c r="U55" i="9"/>
  <c r="Y55" i="9" s="1"/>
  <c r="AE55" i="9" s="1"/>
  <c r="AK55" i="9" s="1"/>
  <c r="F50" i="18"/>
  <c r="Z54" i="12"/>
  <c r="AB54" i="11"/>
  <c r="AH54" i="11" s="1"/>
  <c r="AN54" i="11" s="1"/>
  <c r="W55" i="11"/>
  <c r="AL52" i="9"/>
  <c r="AM52" i="9" s="1"/>
  <c r="AG52" i="9"/>
  <c r="I57" i="12"/>
  <c r="N51" i="18"/>
  <c r="AC55" i="10"/>
  <c r="X56" i="10"/>
  <c r="M55" i="12"/>
  <c r="U54" i="12"/>
  <c r="Y54" i="12" s="1"/>
  <c r="AE54" i="12" s="1"/>
  <c r="AK54" i="12" s="1"/>
  <c r="AD54" i="12"/>
  <c r="AI54" i="12"/>
  <c r="D50" i="18"/>
  <c r="Z54" i="10"/>
  <c r="AD54" i="10"/>
  <c r="AI54" i="10"/>
  <c r="AN52" i="9"/>
  <c r="AP52" i="9" s="1"/>
  <c r="AJ52" i="9"/>
  <c r="AA53" i="10"/>
  <c r="AF53" i="10"/>
  <c r="I55" i="11"/>
  <c r="U54" i="11"/>
  <c r="Y54" i="11" s="1"/>
  <c r="AE54" i="11" s="1"/>
  <c r="AK54" i="11" s="1"/>
  <c r="W57" i="12"/>
  <c r="AB56" i="12"/>
  <c r="AH56" i="12" s="1"/>
  <c r="AN56" i="12" s="1"/>
  <c r="AL52" i="12"/>
  <c r="AM52" i="12" s="1"/>
  <c r="AG52" i="12"/>
  <c r="AB54" i="4"/>
  <c r="AH54" i="4" s="1"/>
  <c r="AN54" i="4" s="1"/>
  <c r="W55" i="4"/>
  <c r="AC56" i="9"/>
  <c r="X57" i="9"/>
  <c r="M52" i="18"/>
  <c r="I55" i="10"/>
  <c r="U54" i="10"/>
  <c r="Y54" i="10" s="1"/>
  <c r="AE54" i="10" s="1"/>
  <c r="AK54" i="10" s="1"/>
  <c r="E50" i="18"/>
  <c r="Z54" i="11"/>
  <c r="L51" i="18"/>
  <c r="X56" i="4"/>
  <c r="AC55" i="4"/>
  <c r="AL52" i="10"/>
  <c r="AM52" i="10" s="1"/>
  <c r="AG52" i="10"/>
  <c r="AJ53" i="10"/>
  <c r="AO53" i="10"/>
  <c r="AP53" i="10" s="1"/>
  <c r="C50" i="18"/>
  <c r="Z54" i="9"/>
  <c r="AA53" i="12"/>
  <c r="AF53" i="12"/>
  <c r="W55" i="9"/>
  <c r="AB54" i="9"/>
  <c r="AB55" i="10"/>
  <c r="AH55" i="10" s="1"/>
  <c r="AN55" i="10" s="1"/>
  <c r="W56" i="10"/>
  <c r="AD53" i="4"/>
  <c r="AA53" i="11"/>
  <c r="AF53" i="11"/>
  <c r="AO53" i="12"/>
  <c r="AP53" i="12" s="1"/>
  <c r="AJ53" i="12"/>
  <c r="AO54" i="9"/>
  <c r="Z54" i="4"/>
  <c r="AA54" i="4" s="1"/>
  <c r="B50" i="18"/>
  <c r="AH53" i="9"/>
  <c r="AD53" i="9"/>
  <c r="AI54" i="4"/>
  <c r="J56" i="9"/>
  <c r="V55" i="9"/>
  <c r="M56" i="4"/>
  <c r="U55" i="4"/>
  <c r="Y55" i="4" s="1"/>
  <c r="AE55" i="4" s="1"/>
  <c r="AK55" i="4" s="1"/>
  <c r="AG53" i="4"/>
  <c r="AL53" i="4"/>
  <c r="AM53" i="4" s="1"/>
  <c r="J56" i="10"/>
  <c r="V55" i="10"/>
  <c r="P56" i="4"/>
  <c r="V55" i="4"/>
  <c r="J56" i="11"/>
  <c r="V55" i="11"/>
  <c r="J56" i="12"/>
  <c r="V55" i="12"/>
  <c r="J60" i="4"/>
  <c r="I60" i="4"/>
  <c r="O85" i="12"/>
  <c r="K86" i="4"/>
  <c r="AF54" i="4" l="1"/>
  <c r="AI55" i="4"/>
  <c r="P52" i="18"/>
  <c r="X57" i="12"/>
  <c r="AC56" i="12"/>
  <c r="X57" i="4"/>
  <c r="L52" i="18"/>
  <c r="AC56" i="4"/>
  <c r="AO54" i="10"/>
  <c r="AP54" i="10" s="1"/>
  <c r="AJ54" i="10"/>
  <c r="AI55" i="12"/>
  <c r="AD55" i="12"/>
  <c r="AN53" i="9"/>
  <c r="AP53" i="9" s="1"/>
  <c r="AJ53" i="9"/>
  <c r="I57" i="9"/>
  <c r="U56" i="9"/>
  <c r="Y56" i="9" s="1"/>
  <c r="AE56" i="9" s="1"/>
  <c r="AK56" i="9" s="1"/>
  <c r="F51" i="18"/>
  <c r="Z55" i="12"/>
  <c r="AL53" i="9"/>
  <c r="AM53" i="9" s="1"/>
  <c r="AG53" i="9"/>
  <c r="AA54" i="11"/>
  <c r="AF54" i="11"/>
  <c r="W57" i="10"/>
  <c r="AB56" i="10"/>
  <c r="AH56" i="10" s="1"/>
  <c r="AN56" i="10" s="1"/>
  <c r="AI56" i="9"/>
  <c r="AC56" i="10"/>
  <c r="N52" i="18"/>
  <c r="X57" i="10"/>
  <c r="Z55" i="4"/>
  <c r="AF55" i="4" s="1"/>
  <c r="B51" i="18"/>
  <c r="M53" i="18"/>
  <c r="X58" i="9"/>
  <c r="AC57" i="9"/>
  <c r="W56" i="4"/>
  <c r="AB55" i="4"/>
  <c r="AH55" i="4" s="1"/>
  <c r="AN55" i="4" s="1"/>
  <c r="AD55" i="10"/>
  <c r="AI55" i="10"/>
  <c r="AL53" i="11"/>
  <c r="AM53" i="11" s="1"/>
  <c r="AG53" i="11"/>
  <c r="AH54" i="9"/>
  <c r="AD54" i="9"/>
  <c r="AB55" i="9"/>
  <c r="W56" i="9"/>
  <c r="AI55" i="11"/>
  <c r="AO55" i="9"/>
  <c r="I56" i="10"/>
  <c r="U55" i="10"/>
  <c r="Y55" i="10" s="1"/>
  <c r="AE55" i="10" s="1"/>
  <c r="AK55" i="10" s="1"/>
  <c r="D51" i="18"/>
  <c r="Z55" i="10"/>
  <c r="I58" i="12"/>
  <c r="AO54" i="12"/>
  <c r="AP54" i="12" s="1"/>
  <c r="AJ54" i="12"/>
  <c r="AL53" i="12"/>
  <c r="AM53" i="12" s="1"/>
  <c r="AG53" i="12"/>
  <c r="X57" i="11"/>
  <c r="O52" i="18"/>
  <c r="AC56" i="11"/>
  <c r="M56" i="12"/>
  <c r="U55" i="12"/>
  <c r="Y55" i="12" s="1"/>
  <c r="AE55" i="12" s="1"/>
  <c r="AK55" i="12" s="1"/>
  <c r="W58" i="12"/>
  <c r="AB57" i="12"/>
  <c r="AH57" i="12" s="1"/>
  <c r="AN57" i="12" s="1"/>
  <c r="AA54" i="9"/>
  <c r="AF54" i="9"/>
  <c r="AB55" i="11"/>
  <c r="AH55" i="11" s="1"/>
  <c r="AN55" i="11" s="1"/>
  <c r="W56" i="11"/>
  <c r="AA54" i="10"/>
  <c r="AF54" i="10"/>
  <c r="E51" i="18"/>
  <c r="Z55" i="11"/>
  <c r="AD54" i="4"/>
  <c r="I56" i="11"/>
  <c r="U55" i="11"/>
  <c r="Y55" i="11" s="1"/>
  <c r="AE55" i="11" s="1"/>
  <c r="AK55" i="11" s="1"/>
  <c r="AD54" i="11"/>
  <c r="C51" i="18"/>
  <c r="Z55" i="9"/>
  <c r="AJ54" i="4"/>
  <c r="AO54" i="4"/>
  <c r="AP54" i="4" s="1"/>
  <c r="AL53" i="10"/>
  <c r="AM53" i="10" s="1"/>
  <c r="AG53" i="10"/>
  <c r="AA54" i="12"/>
  <c r="AF54" i="12"/>
  <c r="AJ54" i="11"/>
  <c r="AO54" i="11"/>
  <c r="AP54" i="11" s="1"/>
  <c r="I61" i="4"/>
  <c r="J57" i="11"/>
  <c r="V56" i="11"/>
  <c r="M57" i="4"/>
  <c r="U56" i="4"/>
  <c r="Y56" i="4" s="1"/>
  <c r="AE56" i="4" s="1"/>
  <c r="AK56" i="4" s="1"/>
  <c r="AG54" i="4"/>
  <c r="AL54" i="4"/>
  <c r="AM54" i="4" s="1"/>
  <c r="P57" i="4"/>
  <c r="V56" i="4"/>
  <c r="J61" i="4"/>
  <c r="J57" i="12"/>
  <c r="V56" i="12"/>
  <c r="AA55" i="4"/>
  <c r="J57" i="10"/>
  <c r="V56" i="10"/>
  <c r="J57" i="9"/>
  <c r="V56" i="9"/>
  <c r="K87" i="4"/>
  <c r="O86" i="12"/>
  <c r="AH55" i="9" l="1"/>
  <c r="AD55" i="9"/>
  <c r="AN54" i="9"/>
  <c r="AP54" i="9" s="1"/>
  <c r="AJ54" i="9"/>
  <c r="AA55" i="12"/>
  <c r="AF55" i="12"/>
  <c r="AI56" i="11"/>
  <c r="AI57" i="9"/>
  <c r="O53" i="18"/>
  <c r="X58" i="11"/>
  <c r="AC57" i="11"/>
  <c r="AA55" i="9"/>
  <c r="AF55" i="9"/>
  <c r="M54" i="18"/>
  <c r="AC58" i="9"/>
  <c r="X59" i="9"/>
  <c r="AJ55" i="12"/>
  <c r="AO55" i="12"/>
  <c r="AP55" i="12" s="1"/>
  <c r="AL54" i="12"/>
  <c r="AM54" i="12" s="1"/>
  <c r="AG54" i="12"/>
  <c r="I57" i="11"/>
  <c r="U56" i="11"/>
  <c r="Y56" i="11" s="1"/>
  <c r="M57" i="12"/>
  <c r="U56" i="12"/>
  <c r="Y56" i="12" s="1"/>
  <c r="AE56" i="12" s="1"/>
  <c r="AK56" i="12" s="1"/>
  <c r="I59" i="12"/>
  <c r="D52" i="18"/>
  <c r="Z56" i="10"/>
  <c r="AI56" i="4"/>
  <c r="C52" i="18"/>
  <c r="Z56" i="9"/>
  <c r="I58" i="9"/>
  <c r="U57" i="9"/>
  <c r="Y57" i="9" s="1"/>
  <c r="AE57" i="9" s="1"/>
  <c r="AK57" i="9" s="1"/>
  <c r="Z56" i="4"/>
  <c r="AF56" i="4" s="1"/>
  <c r="B52" i="18"/>
  <c r="AA55" i="10"/>
  <c r="AF55" i="10"/>
  <c r="X58" i="4"/>
  <c r="L53" i="18"/>
  <c r="AC57" i="4"/>
  <c r="AC57" i="10"/>
  <c r="X58" i="10"/>
  <c r="N53" i="18"/>
  <c r="I57" i="10"/>
  <c r="U56" i="10"/>
  <c r="AD56" i="10"/>
  <c r="AI56" i="10"/>
  <c r="AI56" i="12"/>
  <c r="AD56" i="12"/>
  <c r="W59" i="12"/>
  <c r="AB58" i="12"/>
  <c r="AH58" i="12" s="1"/>
  <c r="AN58" i="12" s="1"/>
  <c r="AO56" i="9"/>
  <c r="P53" i="18"/>
  <c r="X58" i="12"/>
  <c r="AC57" i="12"/>
  <c r="AO55" i="10"/>
  <c r="AP55" i="10" s="1"/>
  <c r="AJ55" i="10"/>
  <c r="F52" i="18"/>
  <c r="Z56" i="12"/>
  <c r="W57" i="4"/>
  <c r="AB56" i="4"/>
  <c r="AH56" i="4" s="1"/>
  <c r="AN56" i="4" s="1"/>
  <c r="W57" i="11"/>
  <c r="AB56" i="11"/>
  <c r="AH56" i="11" s="1"/>
  <c r="AN56" i="11" s="1"/>
  <c r="AA55" i="11"/>
  <c r="AF55" i="11"/>
  <c r="AG54" i="10"/>
  <c r="AL54" i="10"/>
  <c r="AM54" i="10" s="1"/>
  <c r="E52" i="18"/>
  <c r="Z56" i="11"/>
  <c r="AD55" i="11"/>
  <c r="AJ55" i="4"/>
  <c r="AO55" i="4"/>
  <c r="AP55" i="4" s="1"/>
  <c r="AL54" i="9"/>
  <c r="AM54" i="9" s="1"/>
  <c r="AG54" i="9"/>
  <c r="AO55" i="11"/>
  <c r="AP55" i="11" s="1"/>
  <c r="AJ55" i="11"/>
  <c r="AB57" i="10"/>
  <c r="AH57" i="10" s="1"/>
  <c r="AN57" i="10" s="1"/>
  <c r="W58" i="10"/>
  <c r="AD55" i="4"/>
  <c r="W57" i="9"/>
  <c r="AB56" i="9"/>
  <c r="AL54" i="11"/>
  <c r="AM54" i="11" s="1"/>
  <c r="AG54" i="11"/>
  <c r="J58" i="9"/>
  <c r="V57" i="9"/>
  <c r="P58" i="4"/>
  <c r="V57" i="4"/>
  <c r="J58" i="12"/>
  <c r="V57" i="12"/>
  <c r="J58" i="11"/>
  <c r="V57" i="11"/>
  <c r="J58" i="10"/>
  <c r="V57" i="10"/>
  <c r="AL55" i="4"/>
  <c r="AM55" i="4" s="1"/>
  <c r="AG55" i="4"/>
  <c r="J62" i="4"/>
  <c r="M58" i="4"/>
  <c r="U57" i="4"/>
  <c r="Y57" i="4" s="1"/>
  <c r="AE57" i="4" s="1"/>
  <c r="AK57" i="4" s="1"/>
  <c r="I62" i="4"/>
  <c r="O87" i="12"/>
  <c r="K88" i="4"/>
  <c r="AA56" i="4" l="1"/>
  <c r="AD56" i="4"/>
  <c r="AD56" i="11"/>
  <c r="AF56" i="11"/>
  <c r="AL56" i="11" s="1"/>
  <c r="AI57" i="4"/>
  <c r="AA56" i="12"/>
  <c r="AF56" i="12"/>
  <c r="AL55" i="10"/>
  <c r="AM55" i="10" s="1"/>
  <c r="AG55" i="10"/>
  <c r="M55" i="18"/>
  <c r="AC59" i="9"/>
  <c r="X60" i="9"/>
  <c r="W58" i="4"/>
  <c r="AB57" i="4"/>
  <c r="AH57" i="4" s="1"/>
  <c r="AN57" i="4" s="1"/>
  <c r="W59" i="10"/>
  <c r="AB58" i="10"/>
  <c r="AH58" i="10" s="1"/>
  <c r="AN58" i="10" s="1"/>
  <c r="AI58" i="9"/>
  <c r="AH56" i="9"/>
  <c r="AD56" i="9"/>
  <c r="W58" i="9"/>
  <c r="AB57" i="9"/>
  <c r="L54" i="18"/>
  <c r="AC58" i="4"/>
  <c r="X59" i="4"/>
  <c r="AD57" i="12"/>
  <c r="AI57" i="12"/>
  <c r="F53" i="18"/>
  <c r="Z57" i="12"/>
  <c r="AO57" i="9"/>
  <c r="W60" i="12"/>
  <c r="AB59" i="12"/>
  <c r="AH59" i="12" s="1"/>
  <c r="AN59" i="12" s="1"/>
  <c r="AO56" i="4"/>
  <c r="AP56" i="4" s="1"/>
  <c r="AJ56" i="4"/>
  <c r="AF56" i="10"/>
  <c r="O54" i="18"/>
  <c r="X59" i="11"/>
  <c r="AC58" i="11"/>
  <c r="Z57" i="4"/>
  <c r="AA57" i="4" s="1"/>
  <c r="B53" i="18"/>
  <c r="AJ56" i="12"/>
  <c r="AO56" i="12"/>
  <c r="AP56" i="12" s="1"/>
  <c r="AO56" i="10"/>
  <c r="AP56" i="10" s="1"/>
  <c r="AJ56" i="10"/>
  <c r="AJ56" i="11"/>
  <c r="AO56" i="11"/>
  <c r="AP56" i="11" s="1"/>
  <c r="I60" i="12"/>
  <c r="AG55" i="12"/>
  <c r="AL55" i="12"/>
  <c r="AM55" i="12" s="1"/>
  <c r="D53" i="18"/>
  <c r="Z57" i="10"/>
  <c r="AI57" i="11"/>
  <c r="Y56" i="10"/>
  <c r="AE56" i="10" s="1"/>
  <c r="AK56" i="10" s="1"/>
  <c r="P54" i="18"/>
  <c r="X59" i="12"/>
  <c r="AC58" i="12"/>
  <c r="AL55" i="9"/>
  <c r="AM55" i="9" s="1"/>
  <c r="AG55" i="9"/>
  <c r="I59" i="9"/>
  <c r="U58" i="9"/>
  <c r="Y58" i="9" s="1"/>
  <c r="AE58" i="9" s="1"/>
  <c r="AK58" i="9" s="1"/>
  <c r="AG55" i="11"/>
  <c r="AL55" i="11"/>
  <c r="AM55" i="11" s="1"/>
  <c r="I58" i="10"/>
  <c r="U57" i="10"/>
  <c r="Y57" i="10" s="1"/>
  <c r="M58" i="12"/>
  <c r="U57" i="12"/>
  <c r="Y57" i="12" s="1"/>
  <c r="AE57" i="12" s="1"/>
  <c r="AK57" i="12" s="1"/>
  <c r="E53" i="18"/>
  <c r="Z57" i="11"/>
  <c r="AA56" i="9"/>
  <c r="AF56" i="9"/>
  <c r="C53" i="18"/>
  <c r="Z57" i="9"/>
  <c r="AA56" i="11"/>
  <c r="AE56" i="11"/>
  <c r="W58" i="11"/>
  <c r="AB57" i="11"/>
  <c r="AH57" i="11" s="1"/>
  <c r="AN57" i="11" s="1"/>
  <c r="AC58" i="10"/>
  <c r="X59" i="10"/>
  <c r="N54" i="18"/>
  <c r="I58" i="11"/>
  <c r="U57" i="11"/>
  <c r="Y57" i="11" s="1"/>
  <c r="AE57" i="11" s="1"/>
  <c r="AK57" i="11" s="1"/>
  <c r="AD57" i="10"/>
  <c r="AI57" i="10"/>
  <c r="AN55" i="9"/>
  <c r="AP55" i="9" s="1"/>
  <c r="AJ55" i="9"/>
  <c r="M59" i="4"/>
  <c r="U58" i="4"/>
  <c r="Y58" i="4" s="1"/>
  <c r="AE58" i="4" s="1"/>
  <c r="AK58" i="4" s="1"/>
  <c r="J59" i="10"/>
  <c r="V58" i="10"/>
  <c r="P59" i="4"/>
  <c r="V58" i="4"/>
  <c r="AL56" i="4"/>
  <c r="AM56" i="4" s="1"/>
  <c r="AG56" i="4"/>
  <c r="J63" i="4"/>
  <c r="J59" i="12"/>
  <c r="V58" i="12"/>
  <c r="I63" i="4"/>
  <c r="J59" i="11"/>
  <c r="V58" i="11"/>
  <c r="J59" i="9"/>
  <c r="V58" i="9"/>
  <c r="K89" i="4"/>
  <c r="O88" i="12"/>
  <c r="AF57" i="4" l="1"/>
  <c r="AC59" i="4"/>
  <c r="L55" i="18"/>
  <c r="X60" i="4"/>
  <c r="AI58" i="4"/>
  <c r="E54" i="18"/>
  <c r="Z58" i="11"/>
  <c r="I59" i="11"/>
  <c r="U58" i="11"/>
  <c r="Y58" i="11" s="1"/>
  <c r="AE58" i="11" s="1"/>
  <c r="AK58" i="11" s="1"/>
  <c r="I60" i="9"/>
  <c r="U59" i="9"/>
  <c r="Y59" i="9" s="1"/>
  <c r="AE59" i="9" s="1"/>
  <c r="AK59" i="9" s="1"/>
  <c r="AH57" i="9"/>
  <c r="AD57" i="9"/>
  <c r="F54" i="18"/>
  <c r="Z58" i="12"/>
  <c r="AB58" i="9"/>
  <c r="W59" i="9"/>
  <c r="AJ57" i="10"/>
  <c r="AO57" i="10"/>
  <c r="AP57" i="10" s="1"/>
  <c r="N55" i="18"/>
  <c r="AC59" i="10"/>
  <c r="X60" i="10"/>
  <c r="AI58" i="11"/>
  <c r="X60" i="11"/>
  <c r="O55" i="18"/>
  <c r="AC59" i="11"/>
  <c r="AN56" i="9"/>
  <c r="AP56" i="9" s="1"/>
  <c r="AJ56" i="9"/>
  <c r="AO58" i="9"/>
  <c r="W60" i="10"/>
  <c r="AB59" i="10"/>
  <c r="AH59" i="10" s="1"/>
  <c r="AN59" i="10" s="1"/>
  <c r="AD58" i="12"/>
  <c r="AI58" i="12"/>
  <c r="AA56" i="10"/>
  <c r="AE57" i="10"/>
  <c r="AK57" i="10" s="1"/>
  <c r="D54" i="18"/>
  <c r="Z58" i="10"/>
  <c r="AA57" i="9"/>
  <c r="AF57" i="9"/>
  <c r="AD57" i="11"/>
  <c r="W59" i="11"/>
  <c r="AB58" i="11"/>
  <c r="AH58" i="11" s="1"/>
  <c r="AN58" i="11" s="1"/>
  <c r="AG56" i="10"/>
  <c r="AL56" i="10"/>
  <c r="AM56" i="10" s="1"/>
  <c r="Z58" i="4"/>
  <c r="B54" i="18"/>
  <c r="AG56" i="11"/>
  <c r="AK56" i="11"/>
  <c r="AM56" i="11" s="1"/>
  <c r="AO57" i="11"/>
  <c r="AP57" i="11" s="1"/>
  <c r="AJ57" i="11"/>
  <c r="W59" i="4"/>
  <c r="AB58" i="4"/>
  <c r="AH58" i="4" s="1"/>
  <c r="AN58" i="4" s="1"/>
  <c r="M56" i="18"/>
  <c r="X61" i="9"/>
  <c r="AC60" i="9"/>
  <c r="AD58" i="10"/>
  <c r="AI58" i="10"/>
  <c r="AA57" i="10"/>
  <c r="AF57" i="10"/>
  <c r="W61" i="12"/>
  <c r="AB60" i="12"/>
  <c r="AH60" i="12" s="1"/>
  <c r="AN60" i="12" s="1"/>
  <c r="AL56" i="9"/>
  <c r="AM56" i="9" s="1"/>
  <c r="AG56" i="9"/>
  <c r="AI59" i="9"/>
  <c r="P55" i="18"/>
  <c r="X60" i="12"/>
  <c r="AC59" i="12"/>
  <c r="AA57" i="11"/>
  <c r="AF57" i="11"/>
  <c r="AA57" i="12"/>
  <c r="AF57" i="12"/>
  <c r="I61" i="12"/>
  <c r="AG56" i="12"/>
  <c r="AL56" i="12"/>
  <c r="AM56" i="12" s="1"/>
  <c r="M59" i="12"/>
  <c r="U58" i="12"/>
  <c r="Y58" i="12" s="1"/>
  <c r="AE58" i="12" s="1"/>
  <c r="AK58" i="12" s="1"/>
  <c r="C54" i="18"/>
  <c r="Z58" i="9"/>
  <c r="AO57" i="12"/>
  <c r="AP57" i="12" s="1"/>
  <c r="AJ57" i="12"/>
  <c r="AO57" i="4"/>
  <c r="AP57" i="4" s="1"/>
  <c r="AJ57" i="4"/>
  <c r="I59" i="10"/>
  <c r="U58" i="10"/>
  <c r="Y58" i="10" s="1"/>
  <c r="AD57" i="4"/>
  <c r="J60" i="11"/>
  <c r="V59" i="11"/>
  <c r="AG57" i="4"/>
  <c r="AL57" i="4"/>
  <c r="AM57" i="4" s="1"/>
  <c r="J60" i="12"/>
  <c r="V59" i="12"/>
  <c r="J60" i="9"/>
  <c r="V59" i="9"/>
  <c r="P60" i="4"/>
  <c r="V59" i="4"/>
  <c r="J60" i="10"/>
  <c r="V59" i="10"/>
  <c r="I64" i="4"/>
  <c r="J64" i="4"/>
  <c r="AA58" i="4"/>
  <c r="AF58" i="4"/>
  <c r="M60" i="4"/>
  <c r="U59" i="4"/>
  <c r="Y59" i="4" s="1"/>
  <c r="AE59" i="4" s="1"/>
  <c r="AK59" i="4" s="1"/>
  <c r="O89" i="12"/>
  <c r="K90" i="4"/>
  <c r="AD58" i="11" l="1"/>
  <c r="AA58" i="12"/>
  <c r="AF58" i="12"/>
  <c r="W60" i="11"/>
  <c r="AB59" i="11"/>
  <c r="AH59" i="11" s="1"/>
  <c r="AN59" i="11" s="1"/>
  <c r="AI59" i="10"/>
  <c r="AD59" i="10"/>
  <c r="AL57" i="9"/>
  <c r="AM57" i="9" s="1"/>
  <c r="AG57" i="9"/>
  <c r="W62" i="12"/>
  <c r="AB61" i="12"/>
  <c r="AH61" i="12" s="1"/>
  <c r="AN61" i="12" s="1"/>
  <c r="AA58" i="9"/>
  <c r="AF58" i="9"/>
  <c r="AL57" i="10"/>
  <c r="AM57" i="10" s="1"/>
  <c r="AG57" i="10"/>
  <c r="AA58" i="10"/>
  <c r="AF58" i="10"/>
  <c r="W60" i="9"/>
  <c r="AB59" i="9"/>
  <c r="AH58" i="9"/>
  <c r="AD58" i="9"/>
  <c r="AO58" i="10"/>
  <c r="AP58" i="10" s="1"/>
  <c r="AJ58" i="10"/>
  <c r="Z59" i="4"/>
  <c r="B55" i="18"/>
  <c r="AJ58" i="12"/>
  <c r="AO58" i="12"/>
  <c r="AP58" i="12" s="1"/>
  <c r="F55" i="18"/>
  <c r="Z59" i="12"/>
  <c r="I62" i="12"/>
  <c r="AB60" i="10"/>
  <c r="AH60" i="10" s="1"/>
  <c r="AN60" i="10" s="1"/>
  <c r="W61" i="10"/>
  <c r="I61" i="9"/>
  <c r="U60" i="9"/>
  <c r="D55" i="18"/>
  <c r="Z59" i="10"/>
  <c r="I60" i="11"/>
  <c r="U59" i="11"/>
  <c r="Y59" i="11" s="1"/>
  <c r="AE59" i="11" s="1"/>
  <c r="M60" i="12"/>
  <c r="U59" i="12"/>
  <c r="Y59" i="12" s="1"/>
  <c r="AE59" i="12" s="1"/>
  <c r="AK59" i="12" s="1"/>
  <c r="AA58" i="11"/>
  <c r="AF58" i="11"/>
  <c r="AI60" i="9"/>
  <c r="AI59" i="12"/>
  <c r="AD59" i="12"/>
  <c r="AI59" i="11"/>
  <c r="P56" i="18"/>
  <c r="X61" i="12"/>
  <c r="AC60" i="12"/>
  <c r="AD58" i="4"/>
  <c r="AL57" i="11"/>
  <c r="AM57" i="11" s="1"/>
  <c r="AG57" i="11"/>
  <c r="X61" i="11"/>
  <c r="O56" i="18"/>
  <c r="AC60" i="11"/>
  <c r="AO58" i="4"/>
  <c r="AP58" i="4" s="1"/>
  <c r="AJ58" i="4"/>
  <c r="C55" i="18"/>
  <c r="Z59" i="9"/>
  <c r="AN57" i="9"/>
  <c r="AP57" i="9" s="1"/>
  <c r="AJ57" i="9"/>
  <c r="L56" i="18"/>
  <c r="AC60" i="4"/>
  <c r="X61" i="4"/>
  <c r="AG57" i="12"/>
  <c r="AL57" i="12"/>
  <c r="AM57" i="12" s="1"/>
  <c r="AB59" i="4"/>
  <c r="AH59" i="4" s="1"/>
  <c r="AN59" i="4" s="1"/>
  <c r="W60" i="4"/>
  <c r="E55" i="18"/>
  <c r="Z59" i="11"/>
  <c r="AE58" i="10"/>
  <c r="AK58" i="10" s="1"/>
  <c r="AO59" i="9"/>
  <c r="AJ58" i="11"/>
  <c r="AO58" i="11"/>
  <c r="AP58" i="11" s="1"/>
  <c r="M57" i="18"/>
  <c r="X62" i="9"/>
  <c r="AC61" i="9"/>
  <c r="I60" i="10"/>
  <c r="U59" i="10"/>
  <c r="Y59" i="10" s="1"/>
  <c r="AE59" i="10" s="1"/>
  <c r="AK59" i="10" s="1"/>
  <c r="N56" i="18"/>
  <c r="X61" i="10"/>
  <c r="AC60" i="10"/>
  <c r="AI59" i="4"/>
  <c r="J65" i="4"/>
  <c r="AF59" i="4"/>
  <c r="AA59" i="4"/>
  <c r="J61" i="10"/>
  <c r="V60" i="10"/>
  <c r="J61" i="9"/>
  <c r="V60" i="9"/>
  <c r="M61" i="4"/>
  <c r="U60" i="4"/>
  <c r="Y60" i="4" s="1"/>
  <c r="AE60" i="4" s="1"/>
  <c r="AK60" i="4" s="1"/>
  <c r="I65" i="4"/>
  <c r="P61" i="4"/>
  <c r="V60" i="4"/>
  <c r="J61" i="12"/>
  <c r="V60" i="12"/>
  <c r="AG58" i="4"/>
  <c r="AL58" i="4"/>
  <c r="AM58" i="4" s="1"/>
  <c r="J61" i="11"/>
  <c r="V60" i="11"/>
  <c r="O90" i="12"/>
  <c r="K91" i="4"/>
  <c r="AD59" i="11" l="1"/>
  <c r="AO59" i="4"/>
  <c r="AP59" i="4" s="1"/>
  <c r="AJ59" i="4"/>
  <c r="AD60" i="10"/>
  <c r="AI60" i="10"/>
  <c r="F56" i="18"/>
  <c r="Z60" i="12"/>
  <c r="I61" i="10"/>
  <c r="U60" i="10"/>
  <c r="Y60" i="10" s="1"/>
  <c r="AE60" i="10" s="1"/>
  <c r="AK60" i="10" s="1"/>
  <c r="AK59" i="11"/>
  <c r="W61" i="9"/>
  <c r="AB60" i="9"/>
  <c r="I62" i="9"/>
  <c r="U61" i="9"/>
  <c r="Y61" i="9" s="1"/>
  <c r="E56" i="18"/>
  <c r="Z60" i="11"/>
  <c r="AA59" i="9"/>
  <c r="AF59" i="9"/>
  <c r="AI61" i="9"/>
  <c r="W62" i="10"/>
  <c r="AB61" i="10"/>
  <c r="AH61" i="10" s="1"/>
  <c r="AN61" i="10" s="1"/>
  <c r="X62" i="10"/>
  <c r="N57" i="18"/>
  <c r="AC61" i="10"/>
  <c r="AH59" i="9"/>
  <c r="AD59" i="9"/>
  <c r="W63" i="12"/>
  <c r="AB62" i="12"/>
  <c r="AH62" i="12" s="1"/>
  <c r="AN62" i="12" s="1"/>
  <c r="AG58" i="11"/>
  <c r="AL58" i="11"/>
  <c r="AM58" i="11" s="1"/>
  <c r="AA59" i="11"/>
  <c r="AF59" i="11"/>
  <c r="AL59" i="11" s="1"/>
  <c r="AI60" i="12"/>
  <c r="AD60" i="12"/>
  <c r="M61" i="12"/>
  <c r="U60" i="12"/>
  <c r="Y60" i="12" s="1"/>
  <c r="AE60" i="12" s="1"/>
  <c r="AK60" i="12" s="1"/>
  <c r="I61" i="11"/>
  <c r="U60" i="11"/>
  <c r="AG58" i="10"/>
  <c r="AL58" i="10"/>
  <c r="AM58" i="10" s="1"/>
  <c r="AL58" i="9"/>
  <c r="AM58" i="9" s="1"/>
  <c r="AG58" i="9"/>
  <c r="P57" i="18"/>
  <c r="X62" i="12"/>
  <c r="AC61" i="12"/>
  <c r="I63" i="12"/>
  <c r="Z60" i="4"/>
  <c r="AA60" i="4" s="1"/>
  <c r="B56" i="18"/>
  <c r="M58" i="18"/>
  <c r="AC62" i="9"/>
  <c r="X63" i="9"/>
  <c r="X62" i="11"/>
  <c r="AC61" i="11"/>
  <c r="O57" i="18"/>
  <c r="W61" i="4"/>
  <c r="AB60" i="4"/>
  <c r="AH60" i="4" s="1"/>
  <c r="AN60" i="4" s="1"/>
  <c r="AA59" i="12"/>
  <c r="AF59" i="12"/>
  <c r="AN58" i="9"/>
  <c r="AP58" i="9" s="1"/>
  <c r="AJ58" i="9"/>
  <c r="AJ59" i="10"/>
  <c r="AO59" i="10"/>
  <c r="AP59" i="10" s="1"/>
  <c r="AI60" i="11"/>
  <c r="C56" i="18"/>
  <c r="Z60" i="9"/>
  <c r="D56" i="18"/>
  <c r="Z60" i="10"/>
  <c r="AJ59" i="11"/>
  <c r="AO59" i="11"/>
  <c r="AP59" i="11" s="1"/>
  <c r="AB60" i="11"/>
  <c r="AH60" i="11" s="1"/>
  <c r="AN60" i="11" s="1"/>
  <c r="W61" i="11"/>
  <c r="AI60" i="4"/>
  <c r="AJ59" i="12"/>
  <c r="AO59" i="12"/>
  <c r="AP59" i="12" s="1"/>
  <c r="AL58" i="12"/>
  <c r="AM58" i="12" s="1"/>
  <c r="AG58" i="12"/>
  <c r="AA59" i="10"/>
  <c r="AF59" i="10"/>
  <c r="Y60" i="9"/>
  <c r="AE60" i="9" s="1"/>
  <c r="AK60" i="9" s="1"/>
  <c r="AD59" i="4"/>
  <c r="L57" i="18"/>
  <c r="AC61" i="4"/>
  <c r="X62" i="4"/>
  <c r="AO60" i="9"/>
  <c r="J62" i="12"/>
  <c r="V61" i="12"/>
  <c r="I66" i="4"/>
  <c r="AL59" i="4"/>
  <c r="AM59" i="4" s="1"/>
  <c r="AG59" i="4"/>
  <c r="J62" i="11"/>
  <c r="V61" i="11"/>
  <c r="P62" i="4"/>
  <c r="V61" i="4"/>
  <c r="M62" i="4"/>
  <c r="U61" i="4"/>
  <c r="Y61" i="4" s="1"/>
  <c r="AE61" i="4" s="1"/>
  <c r="AK61" i="4" s="1"/>
  <c r="J66" i="4"/>
  <c r="J62" i="9"/>
  <c r="V61" i="9"/>
  <c r="J62" i="10"/>
  <c r="V61" i="10"/>
  <c r="K92" i="4"/>
  <c r="O91" i="12"/>
  <c r="AO60" i="4" l="1"/>
  <c r="AP60" i="4" s="1"/>
  <c r="AJ60" i="4"/>
  <c r="X63" i="11"/>
  <c r="O58" i="18"/>
  <c r="AC62" i="11"/>
  <c r="AB61" i="9"/>
  <c r="W62" i="9"/>
  <c r="AB61" i="11"/>
  <c r="AH61" i="11" s="1"/>
  <c r="AN61" i="11" s="1"/>
  <c r="W62" i="11"/>
  <c r="AI62" i="9"/>
  <c r="AG59" i="11"/>
  <c r="Y61" i="11"/>
  <c r="Y60" i="11"/>
  <c r="AE60" i="11" s="1"/>
  <c r="AK60" i="11" s="1"/>
  <c r="AM59" i="11"/>
  <c r="AL59" i="9"/>
  <c r="AM59" i="9" s="1"/>
  <c r="AG59" i="9"/>
  <c r="AL59" i="12"/>
  <c r="AM59" i="12" s="1"/>
  <c r="AG59" i="12"/>
  <c r="M62" i="12"/>
  <c r="U61" i="12"/>
  <c r="Y61" i="12" s="1"/>
  <c r="AE61" i="12" s="1"/>
  <c r="AK61" i="12" s="1"/>
  <c r="AF60" i="4"/>
  <c r="AB63" i="12"/>
  <c r="AH63" i="12" s="1"/>
  <c r="AN63" i="12" s="1"/>
  <c r="W64" i="12"/>
  <c r="I62" i="10"/>
  <c r="U61" i="10"/>
  <c r="Y61" i="10" s="1"/>
  <c r="AE61" i="10" s="1"/>
  <c r="AK61" i="10" s="1"/>
  <c r="AF60" i="11"/>
  <c r="AA60" i="12"/>
  <c r="AF60" i="12"/>
  <c r="AI61" i="4"/>
  <c r="AO61" i="9"/>
  <c r="I63" i="9"/>
  <c r="U62" i="9"/>
  <c r="Y62" i="9" s="1"/>
  <c r="AH60" i="9"/>
  <c r="AD60" i="9"/>
  <c r="AD60" i="4"/>
  <c r="AA60" i="10"/>
  <c r="AF60" i="10"/>
  <c r="AN59" i="9"/>
  <c r="AP59" i="9" s="1"/>
  <c r="AJ59" i="9"/>
  <c r="C57" i="18"/>
  <c r="Z61" i="9"/>
  <c r="AO60" i="11"/>
  <c r="AP60" i="11" s="1"/>
  <c r="AJ60" i="11"/>
  <c r="I62" i="11"/>
  <c r="U61" i="11"/>
  <c r="F57" i="18"/>
  <c r="Z61" i="12"/>
  <c r="AC63" i="9"/>
  <c r="M59" i="18"/>
  <c r="X64" i="9"/>
  <c r="I64" i="12"/>
  <c r="AI61" i="10"/>
  <c r="AD61" i="10"/>
  <c r="AJ60" i="10"/>
  <c r="AO60" i="10"/>
  <c r="AP60" i="10" s="1"/>
  <c r="AE61" i="9"/>
  <c r="AK61" i="9" s="1"/>
  <c r="AL59" i="10"/>
  <c r="AM59" i="10" s="1"/>
  <c r="AG59" i="10"/>
  <c r="E57" i="18"/>
  <c r="Z61" i="11"/>
  <c r="AA60" i="9"/>
  <c r="AF60" i="9"/>
  <c r="AI61" i="12"/>
  <c r="AD61" i="12"/>
  <c r="Z61" i="4"/>
  <c r="AA61" i="4" s="1"/>
  <c r="B57" i="18"/>
  <c r="AB61" i="4"/>
  <c r="AH61" i="4" s="1"/>
  <c r="AN61" i="4" s="1"/>
  <c r="W62" i="4"/>
  <c r="AI61" i="11"/>
  <c r="D57" i="18"/>
  <c r="Z61" i="10"/>
  <c r="P58" i="18"/>
  <c r="X63" i="12"/>
  <c r="AC62" i="12"/>
  <c r="N58" i="18"/>
  <c r="X63" i="10"/>
  <c r="AC62" i="10"/>
  <c r="AB62" i="10"/>
  <c r="AH62" i="10" s="1"/>
  <c r="AN62" i="10" s="1"/>
  <c r="W63" i="10"/>
  <c r="AO60" i="12"/>
  <c r="AP60" i="12" s="1"/>
  <c r="AJ60" i="12"/>
  <c r="AC62" i="4"/>
  <c r="L58" i="18"/>
  <c r="X63" i="4"/>
  <c r="AD60" i="11"/>
  <c r="J67" i="4"/>
  <c r="M63" i="4"/>
  <c r="U62" i="4"/>
  <c r="Y62" i="4" s="1"/>
  <c r="AE62" i="4" s="1"/>
  <c r="AK62" i="4" s="1"/>
  <c r="P63" i="4"/>
  <c r="V62" i="4"/>
  <c r="J63" i="12"/>
  <c r="V62" i="12"/>
  <c r="J63" i="10"/>
  <c r="V62" i="10"/>
  <c r="J63" i="11"/>
  <c r="V62" i="11"/>
  <c r="I67" i="4"/>
  <c r="J63" i="9"/>
  <c r="V62" i="9"/>
  <c r="K93" i="4"/>
  <c r="O92" i="12"/>
  <c r="AF61" i="4" l="1"/>
  <c r="C58" i="18"/>
  <c r="Z62" i="9"/>
  <c r="AB63" i="10"/>
  <c r="AH63" i="10" s="1"/>
  <c r="AN63" i="10" s="1"/>
  <c r="W64" i="10"/>
  <c r="AA61" i="11"/>
  <c r="AF61" i="11"/>
  <c r="E58" i="18"/>
  <c r="Z62" i="11"/>
  <c r="N59" i="18"/>
  <c r="AC63" i="10"/>
  <c r="X64" i="10"/>
  <c r="D58" i="18"/>
  <c r="Z62" i="10"/>
  <c r="AI62" i="12"/>
  <c r="AD62" i="12"/>
  <c r="P59" i="18"/>
  <c r="AC63" i="12"/>
  <c r="X64" i="12"/>
  <c r="AN60" i="9"/>
  <c r="AP60" i="9" s="1"/>
  <c r="AJ60" i="9"/>
  <c r="F58" i="18"/>
  <c r="Z62" i="12"/>
  <c r="AE62" i="9"/>
  <c r="AK62" i="9" s="1"/>
  <c r="AJ61" i="10"/>
  <c r="AO61" i="10"/>
  <c r="AP61" i="10" s="1"/>
  <c r="I64" i="9"/>
  <c r="U63" i="9"/>
  <c r="Y63" i="9" s="1"/>
  <c r="AE63" i="9" s="1"/>
  <c r="AK63" i="9" s="1"/>
  <c r="AE61" i="11"/>
  <c r="AK61" i="11" s="1"/>
  <c r="I65" i="12"/>
  <c r="AO62" i="9"/>
  <c r="Z62" i="4"/>
  <c r="AF62" i="4" s="1"/>
  <c r="B58" i="18"/>
  <c r="AO61" i="11"/>
  <c r="AP61" i="11" s="1"/>
  <c r="AJ61" i="11"/>
  <c r="AD61" i="4"/>
  <c r="W63" i="11"/>
  <c r="AB62" i="11"/>
  <c r="AH62" i="11" s="1"/>
  <c r="AN62" i="11" s="1"/>
  <c r="AA61" i="12"/>
  <c r="AF61" i="12"/>
  <c r="AB62" i="9"/>
  <c r="W63" i="9"/>
  <c r="AL60" i="10"/>
  <c r="AM60" i="10" s="1"/>
  <c r="AG60" i="10"/>
  <c r="AD61" i="11"/>
  <c r="AB62" i="4"/>
  <c r="AH62" i="4" s="1"/>
  <c r="AN62" i="4" s="1"/>
  <c r="W63" i="4"/>
  <c r="AL60" i="11"/>
  <c r="AM60" i="11" s="1"/>
  <c r="AG60" i="11"/>
  <c r="AH61" i="9"/>
  <c r="AD61" i="9"/>
  <c r="AI63" i="9"/>
  <c r="AA60" i="11"/>
  <c r="AI62" i="11"/>
  <c r="M63" i="12"/>
  <c r="U62" i="12"/>
  <c r="Y62" i="12" s="1"/>
  <c r="AI62" i="10"/>
  <c r="AD62" i="10"/>
  <c r="AA61" i="10"/>
  <c r="AF61" i="10"/>
  <c r="M60" i="18"/>
  <c r="X65" i="9"/>
  <c r="AC64" i="9"/>
  <c r="AG60" i="12"/>
  <c r="AL60" i="12"/>
  <c r="AM60" i="12" s="1"/>
  <c r="L59" i="18"/>
  <c r="X64" i="4"/>
  <c r="AC63" i="4"/>
  <c r="I63" i="11"/>
  <c r="U62" i="11"/>
  <c r="Y62" i="11" s="1"/>
  <c r="I63" i="10"/>
  <c r="U62" i="10"/>
  <c r="Y62" i="10" s="1"/>
  <c r="AE62" i="10" s="1"/>
  <c r="AK62" i="10" s="1"/>
  <c r="X64" i="11"/>
  <c r="AC63" i="11"/>
  <c r="O59" i="18"/>
  <c r="AL60" i="4"/>
  <c r="AM60" i="4" s="1"/>
  <c r="AG60" i="4"/>
  <c r="AD62" i="4"/>
  <c r="AI62" i="4"/>
  <c r="AO61" i="12"/>
  <c r="AP61" i="12" s="1"/>
  <c r="AJ61" i="12"/>
  <c r="AB64" i="12"/>
  <c r="AH64" i="12" s="1"/>
  <c r="AN64" i="12" s="1"/>
  <c r="W65" i="12"/>
  <c r="AJ61" i="4"/>
  <c r="AO61" i="4"/>
  <c r="AP61" i="4" s="1"/>
  <c r="AL60" i="9"/>
  <c r="AM60" i="9" s="1"/>
  <c r="AG60" i="9"/>
  <c r="AA61" i="9"/>
  <c r="AF61" i="9"/>
  <c r="AL61" i="4"/>
  <c r="AM61" i="4" s="1"/>
  <c r="AG61" i="4"/>
  <c r="P64" i="4"/>
  <c r="V63" i="4"/>
  <c r="M64" i="4"/>
  <c r="U63" i="4"/>
  <c r="Y63" i="4" s="1"/>
  <c r="AE63" i="4" s="1"/>
  <c r="AK63" i="4" s="1"/>
  <c r="J64" i="9"/>
  <c r="V63" i="9"/>
  <c r="J64" i="11"/>
  <c r="V63" i="11"/>
  <c r="J68" i="4"/>
  <c r="I68" i="4"/>
  <c r="J64" i="10"/>
  <c r="V63" i="10"/>
  <c r="J64" i="12"/>
  <c r="V63" i="12"/>
  <c r="O93" i="12"/>
  <c r="K94" i="4"/>
  <c r="AA62" i="4" l="1"/>
  <c r="AE62" i="11"/>
  <c r="AK62" i="11" s="1"/>
  <c r="AG61" i="10"/>
  <c r="AL61" i="10"/>
  <c r="AM61" i="10" s="1"/>
  <c r="P60" i="18"/>
  <c r="X65" i="12"/>
  <c r="AC64" i="12"/>
  <c r="AA62" i="10"/>
  <c r="AF62" i="10"/>
  <c r="AO63" i="9"/>
  <c r="I64" i="10"/>
  <c r="U63" i="10"/>
  <c r="Y63" i="10" s="1"/>
  <c r="AE63" i="10" s="1"/>
  <c r="AK63" i="10" s="1"/>
  <c r="AC64" i="10"/>
  <c r="N60" i="18"/>
  <c r="X65" i="10"/>
  <c r="I64" i="11"/>
  <c r="U63" i="11"/>
  <c r="Y63" i="11" s="1"/>
  <c r="AE63" i="11" s="1"/>
  <c r="AK63" i="11" s="1"/>
  <c r="I66" i="12"/>
  <c r="AI63" i="12"/>
  <c r="AD63" i="12"/>
  <c r="AI63" i="11"/>
  <c r="F59" i="18"/>
  <c r="Z63" i="12"/>
  <c r="AI63" i="4"/>
  <c r="AA62" i="11"/>
  <c r="AF62" i="11"/>
  <c r="AL61" i="9"/>
  <c r="AM61" i="9" s="1"/>
  <c r="AG61" i="9"/>
  <c r="L60" i="18"/>
  <c r="X65" i="4"/>
  <c r="AC64" i="4"/>
  <c r="AB63" i="4"/>
  <c r="AH63" i="4" s="1"/>
  <c r="AN63" i="4" s="1"/>
  <c r="W64" i="4"/>
  <c r="U64" i="9"/>
  <c r="Y64" i="9" s="1"/>
  <c r="AE64" i="9" s="1"/>
  <c r="AK64" i="9" s="1"/>
  <c r="I65" i="9"/>
  <c r="AG61" i="11"/>
  <c r="AL61" i="11"/>
  <c r="AM61" i="11" s="1"/>
  <c r="W64" i="11"/>
  <c r="AB63" i="11"/>
  <c r="AH63" i="11" s="1"/>
  <c r="AN63" i="11" s="1"/>
  <c r="M64" i="12"/>
  <c r="U63" i="12"/>
  <c r="Y63" i="12" s="1"/>
  <c r="AD62" i="11"/>
  <c r="AI63" i="10"/>
  <c r="AD63" i="10"/>
  <c r="D59" i="18"/>
  <c r="Z63" i="10"/>
  <c r="AO62" i="12"/>
  <c r="AP62" i="12" s="1"/>
  <c r="AJ62" i="12"/>
  <c r="O60" i="18"/>
  <c r="X65" i="11"/>
  <c r="AC64" i="11"/>
  <c r="AN61" i="9"/>
  <c r="AP61" i="9" s="1"/>
  <c r="AJ61" i="9"/>
  <c r="AB64" i="10"/>
  <c r="AH64" i="10" s="1"/>
  <c r="AN64" i="10" s="1"/>
  <c r="W65" i="10"/>
  <c r="C59" i="18"/>
  <c r="Z63" i="9"/>
  <c r="AA62" i="12"/>
  <c r="AE62" i="12"/>
  <c r="AK62" i="12" s="1"/>
  <c r="AJ62" i="11"/>
  <c r="AO62" i="11"/>
  <c r="AP62" i="11" s="1"/>
  <c r="AI64" i="9"/>
  <c r="AO62" i="4"/>
  <c r="AP62" i="4" s="1"/>
  <c r="AJ62" i="4"/>
  <c r="Z63" i="4"/>
  <c r="AA63" i="4" s="1"/>
  <c r="B59" i="18"/>
  <c r="E59" i="18"/>
  <c r="Z63" i="11"/>
  <c r="AC65" i="9"/>
  <c r="X66" i="9"/>
  <c r="M61" i="18"/>
  <c r="W64" i="9"/>
  <c r="AB63" i="9"/>
  <c r="AA62" i="9"/>
  <c r="AF62" i="9"/>
  <c r="AL61" i="12"/>
  <c r="AM61" i="12" s="1"/>
  <c r="AG61" i="12"/>
  <c r="AO62" i="10"/>
  <c r="AP62" i="10" s="1"/>
  <c r="AJ62" i="10"/>
  <c r="AB65" i="12"/>
  <c r="AH65" i="12" s="1"/>
  <c r="AN65" i="12" s="1"/>
  <c r="W66" i="12"/>
  <c r="AH62" i="9"/>
  <c r="AD62" i="9"/>
  <c r="AF62" i="12"/>
  <c r="J69" i="4"/>
  <c r="J65" i="10"/>
  <c r="V64" i="10"/>
  <c r="J65" i="12"/>
  <c r="V64" i="12"/>
  <c r="J65" i="9"/>
  <c r="V64" i="9"/>
  <c r="AL62" i="4"/>
  <c r="AM62" i="4" s="1"/>
  <c r="AG62" i="4"/>
  <c r="M65" i="4"/>
  <c r="U64" i="4"/>
  <c r="Y64" i="4" s="1"/>
  <c r="AE64" i="4" s="1"/>
  <c r="AK64" i="4" s="1"/>
  <c r="I69" i="4"/>
  <c r="J65" i="11"/>
  <c r="V64" i="11"/>
  <c r="P65" i="4"/>
  <c r="V64" i="4"/>
  <c r="K95" i="4"/>
  <c r="O94" i="12"/>
  <c r="AD63" i="11" l="1"/>
  <c r="AF63" i="4"/>
  <c r="AO63" i="11"/>
  <c r="AP63" i="11" s="1"/>
  <c r="AJ63" i="11"/>
  <c r="W66" i="10"/>
  <c r="AB65" i="10"/>
  <c r="AH65" i="10" s="1"/>
  <c r="AN65" i="10" s="1"/>
  <c r="AH63" i="9"/>
  <c r="AD63" i="9"/>
  <c r="M62" i="18"/>
  <c r="X67" i="9"/>
  <c r="AC66" i="9"/>
  <c r="I65" i="10"/>
  <c r="U64" i="10"/>
  <c r="Y64" i="10" s="1"/>
  <c r="AE64" i="10" s="1"/>
  <c r="AK64" i="10" s="1"/>
  <c r="Z64" i="4"/>
  <c r="AF64" i="4" s="1"/>
  <c r="B60" i="18"/>
  <c r="AB64" i="11"/>
  <c r="AH64" i="11" s="1"/>
  <c r="AN64" i="11" s="1"/>
  <c r="W65" i="11"/>
  <c r="E60" i="18"/>
  <c r="Z64" i="11"/>
  <c r="AO63" i="12"/>
  <c r="AP63" i="12" s="1"/>
  <c r="AJ63" i="12"/>
  <c r="U65" i="9"/>
  <c r="Y65" i="9" s="1"/>
  <c r="AE65" i="9" s="1"/>
  <c r="AK65" i="9" s="1"/>
  <c r="I66" i="9"/>
  <c r="AI65" i="9"/>
  <c r="AA63" i="9"/>
  <c r="AF63" i="9"/>
  <c r="AA63" i="11"/>
  <c r="AF63" i="11"/>
  <c r="AL62" i="11"/>
  <c r="AM62" i="11" s="1"/>
  <c r="AG62" i="11"/>
  <c r="AI64" i="10"/>
  <c r="AD64" i="10"/>
  <c r="O61" i="18"/>
  <c r="X66" i="11"/>
  <c r="AC65" i="11"/>
  <c r="AA63" i="10"/>
  <c r="AF63" i="10"/>
  <c r="AL62" i="10"/>
  <c r="AM62" i="10" s="1"/>
  <c r="AG62" i="10"/>
  <c r="W65" i="9"/>
  <c r="AB64" i="9"/>
  <c r="F60" i="18"/>
  <c r="Z64" i="12"/>
  <c r="D60" i="18"/>
  <c r="Z64" i="10"/>
  <c r="AJ63" i="4"/>
  <c r="AO63" i="4"/>
  <c r="AP63" i="4" s="1"/>
  <c r="AD64" i="12"/>
  <c r="AI64" i="12"/>
  <c r="I65" i="11"/>
  <c r="U64" i="11"/>
  <c r="Y64" i="11" s="1"/>
  <c r="AE64" i="11" s="1"/>
  <c r="AK64" i="11" s="1"/>
  <c r="AJ63" i="10"/>
  <c r="AO63" i="10"/>
  <c r="AP63" i="10" s="1"/>
  <c r="AD63" i="4"/>
  <c r="P61" i="18"/>
  <c r="AC65" i="12"/>
  <c r="X66" i="12"/>
  <c r="AB66" i="12"/>
  <c r="AH66" i="12" s="1"/>
  <c r="AN66" i="12" s="1"/>
  <c r="W67" i="12"/>
  <c r="X66" i="10"/>
  <c r="N61" i="18"/>
  <c r="AC65" i="10"/>
  <c r="AG62" i="12"/>
  <c r="AL62" i="12"/>
  <c r="AM62" i="12" s="1"/>
  <c r="AA63" i="12"/>
  <c r="AF63" i="12"/>
  <c r="I67" i="12"/>
  <c r="AL62" i="9"/>
  <c r="AM62" i="9" s="1"/>
  <c r="AG62" i="9"/>
  <c r="AI64" i="11"/>
  <c r="L61" i="18"/>
  <c r="AC65" i="4"/>
  <c r="X66" i="4"/>
  <c r="AE63" i="12"/>
  <c r="AK63" i="12" s="1"/>
  <c r="W65" i="4"/>
  <c r="AB64" i="4"/>
  <c r="AH64" i="4" s="1"/>
  <c r="AN64" i="4" s="1"/>
  <c r="AI64" i="4"/>
  <c r="AD64" i="4"/>
  <c r="C60" i="18"/>
  <c r="Z64" i="9"/>
  <c r="AN62" i="9"/>
  <c r="AP62" i="9" s="1"/>
  <c r="AJ62" i="9"/>
  <c r="AO64" i="9"/>
  <c r="M65" i="12"/>
  <c r="U64" i="12"/>
  <c r="Y64" i="12" s="1"/>
  <c r="I70" i="4"/>
  <c r="J66" i="11"/>
  <c r="V65" i="11"/>
  <c r="M66" i="4"/>
  <c r="U65" i="4"/>
  <c r="Y65" i="4" s="1"/>
  <c r="AE65" i="4" s="1"/>
  <c r="AK65" i="4" s="1"/>
  <c r="J66" i="9"/>
  <c r="V65" i="9"/>
  <c r="J66" i="10"/>
  <c r="V65" i="10"/>
  <c r="P66" i="4"/>
  <c r="V65" i="4"/>
  <c r="AL63" i="4"/>
  <c r="AM63" i="4" s="1"/>
  <c r="AG63" i="4"/>
  <c r="J70" i="4"/>
  <c r="J66" i="12"/>
  <c r="V65" i="12"/>
  <c r="O95" i="12"/>
  <c r="K96" i="4"/>
  <c r="AA64" i="4" l="1"/>
  <c r="P62" i="18"/>
  <c r="AC66" i="12"/>
  <c r="X67" i="12"/>
  <c r="U65" i="10"/>
  <c r="Y65" i="10" s="1"/>
  <c r="AE65" i="10" s="1"/>
  <c r="AK65" i="10" s="1"/>
  <c r="I66" i="10"/>
  <c r="AO64" i="4"/>
  <c r="AP64" i="4" s="1"/>
  <c r="AJ64" i="4"/>
  <c r="AI65" i="11"/>
  <c r="O62" i="18"/>
  <c r="X67" i="11"/>
  <c r="AC66" i="11"/>
  <c r="X67" i="4"/>
  <c r="AC66" i="4"/>
  <c r="L62" i="18"/>
  <c r="AO64" i="10"/>
  <c r="AP64" i="10" s="1"/>
  <c r="AJ64" i="10"/>
  <c r="AI66" i="9"/>
  <c r="AA64" i="11"/>
  <c r="AF64" i="11"/>
  <c r="W68" i="12"/>
  <c r="AB67" i="12"/>
  <c r="AH67" i="12" s="1"/>
  <c r="AN67" i="12" s="1"/>
  <c r="X68" i="9"/>
  <c r="M63" i="18"/>
  <c r="AC67" i="9"/>
  <c r="AH64" i="9"/>
  <c r="AD64" i="9"/>
  <c r="Z65" i="4"/>
  <c r="B61" i="18"/>
  <c r="AI65" i="4"/>
  <c r="AA64" i="12"/>
  <c r="AF64" i="12"/>
  <c r="AI65" i="10"/>
  <c r="AD65" i="10"/>
  <c r="AA64" i="9"/>
  <c r="AF64" i="9"/>
  <c r="AI65" i="12"/>
  <c r="AD65" i="12"/>
  <c r="AB65" i="4"/>
  <c r="AH65" i="4" s="1"/>
  <c r="AN65" i="4" s="1"/>
  <c r="W66" i="4"/>
  <c r="C61" i="18"/>
  <c r="Z65" i="9"/>
  <c r="AD64" i="11"/>
  <c r="I66" i="11"/>
  <c r="U65" i="11"/>
  <c r="Y65" i="11" s="1"/>
  <c r="AE65" i="11" s="1"/>
  <c r="AK65" i="11" s="1"/>
  <c r="AG63" i="11"/>
  <c r="AL63" i="11"/>
  <c r="AM63" i="11" s="1"/>
  <c r="F61" i="18"/>
  <c r="Z65" i="12"/>
  <c r="U66" i="9"/>
  <c r="Y66" i="9" s="1"/>
  <c r="AE66" i="9" s="1"/>
  <c r="AK66" i="9" s="1"/>
  <c r="I67" i="9"/>
  <c r="AL63" i="10"/>
  <c r="AM63" i="10" s="1"/>
  <c r="AG63" i="10"/>
  <c r="AO64" i="11"/>
  <c r="AP64" i="11" s="1"/>
  <c r="AJ64" i="11"/>
  <c r="AO64" i="12"/>
  <c r="AP64" i="12" s="1"/>
  <c r="AJ64" i="12"/>
  <c r="AN63" i="9"/>
  <c r="AP63" i="9" s="1"/>
  <c r="AJ63" i="9"/>
  <c r="AB65" i="11"/>
  <c r="AH65" i="11" s="1"/>
  <c r="AN65" i="11" s="1"/>
  <c r="W66" i="11"/>
  <c r="AL63" i="9"/>
  <c r="AM63" i="9" s="1"/>
  <c r="AG63" i="9"/>
  <c r="M66" i="12"/>
  <c r="U65" i="12"/>
  <c r="Y65" i="12" s="1"/>
  <c r="AB66" i="10"/>
  <c r="AH66" i="10" s="1"/>
  <c r="AN66" i="10" s="1"/>
  <c r="W67" i="10"/>
  <c r="W66" i="9"/>
  <c r="AB65" i="9"/>
  <c r="N62" i="18"/>
  <c r="X67" i="10"/>
  <c r="AC66" i="10"/>
  <c r="D61" i="18"/>
  <c r="Z65" i="10"/>
  <c r="I68" i="12"/>
  <c r="AA64" i="10"/>
  <c r="AF64" i="10"/>
  <c r="E61" i="18"/>
  <c r="Z65" i="11"/>
  <c r="AE64" i="12"/>
  <c r="AK64" i="12" s="1"/>
  <c r="AG63" i="12"/>
  <c r="AL63" i="12"/>
  <c r="AM63" i="12" s="1"/>
  <c r="AO65" i="9"/>
  <c r="J71" i="4"/>
  <c r="AF65" i="4"/>
  <c r="AA65" i="4"/>
  <c r="P67" i="4"/>
  <c r="V66" i="4"/>
  <c r="J67" i="11"/>
  <c r="V66" i="11"/>
  <c r="J67" i="12"/>
  <c r="V66" i="12"/>
  <c r="J67" i="9"/>
  <c r="V66" i="9"/>
  <c r="M67" i="4"/>
  <c r="U66" i="4"/>
  <c r="Y66" i="4" s="1"/>
  <c r="AE66" i="4" s="1"/>
  <c r="AK66" i="4" s="1"/>
  <c r="AG64" i="4"/>
  <c r="AL64" i="4"/>
  <c r="AM64" i="4" s="1"/>
  <c r="J67" i="10"/>
  <c r="V66" i="10"/>
  <c r="I71" i="4"/>
  <c r="K97" i="4"/>
  <c r="O96" i="12"/>
  <c r="AI66" i="4" l="1"/>
  <c r="AL64" i="12"/>
  <c r="AM64" i="12" s="1"/>
  <c r="AG64" i="12"/>
  <c r="O63" i="18"/>
  <c r="AC67" i="11"/>
  <c r="X68" i="11"/>
  <c r="AB66" i="4"/>
  <c r="AH66" i="4" s="1"/>
  <c r="AN66" i="4" s="1"/>
  <c r="W67" i="4"/>
  <c r="F62" i="18"/>
  <c r="Z66" i="12"/>
  <c r="Z66" i="4"/>
  <c r="AF66" i="4" s="1"/>
  <c r="B62" i="18"/>
  <c r="AD66" i="10"/>
  <c r="AI66" i="10"/>
  <c r="AD65" i="4"/>
  <c r="AA65" i="10"/>
  <c r="AF65" i="10"/>
  <c r="AI66" i="11"/>
  <c r="AD66" i="11"/>
  <c r="AC67" i="10"/>
  <c r="N63" i="18"/>
  <c r="X68" i="10"/>
  <c r="U67" i="9"/>
  <c r="Y67" i="9" s="1"/>
  <c r="AE67" i="9" s="1"/>
  <c r="AK67" i="9" s="1"/>
  <c r="I68" i="9"/>
  <c r="AO65" i="4"/>
  <c r="AP65" i="4" s="1"/>
  <c r="AJ65" i="4"/>
  <c r="AO65" i="11"/>
  <c r="AP65" i="11" s="1"/>
  <c r="AJ65" i="11"/>
  <c r="AA65" i="11"/>
  <c r="AF65" i="11"/>
  <c r="AL64" i="10"/>
  <c r="AM64" i="10" s="1"/>
  <c r="AG64" i="10"/>
  <c r="AD65" i="11"/>
  <c r="AO66" i="9"/>
  <c r="AO65" i="12"/>
  <c r="AP65" i="12" s="1"/>
  <c r="AJ65" i="12"/>
  <c r="AH65" i="9"/>
  <c r="AD65" i="9"/>
  <c r="AA65" i="12"/>
  <c r="AF65" i="12"/>
  <c r="W67" i="9"/>
  <c r="AB66" i="9"/>
  <c r="AN64" i="9"/>
  <c r="AP64" i="9" s="1"/>
  <c r="AJ64" i="9"/>
  <c r="U66" i="10"/>
  <c r="Y66" i="10" s="1"/>
  <c r="AE66" i="10" s="1"/>
  <c r="AK66" i="10" s="1"/>
  <c r="I67" i="10"/>
  <c r="AB66" i="11"/>
  <c r="AH66" i="11" s="1"/>
  <c r="AN66" i="11" s="1"/>
  <c r="W67" i="11"/>
  <c r="C62" i="18"/>
  <c r="Z66" i="9"/>
  <c r="W68" i="10"/>
  <c r="AB67" i="10"/>
  <c r="AH67" i="10" s="1"/>
  <c r="AN67" i="10" s="1"/>
  <c r="AI67" i="9"/>
  <c r="AA65" i="9"/>
  <c r="AF65" i="9"/>
  <c r="AL64" i="9"/>
  <c r="AM64" i="9" s="1"/>
  <c r="AG64" i="9"/>
  <c r="P63" i="18"/>
  <c r="AC67" i="12"/>
  <c r="X68" i="12"/>
  <c r="AL64" i="11"/>
  <c r="AM64" i="11" s="1"/>
  <c r="AG64" i="11"/>
  <c r="E62" i="18"/>
  <c r="Z66" i="11"/>
  <c r="L63" i="18"/>
  <c r="X68" i="4"/>
  <c r="AC67" i="4"/>
  <c r="AE65" i="12"/>
  <c r="AK65" i="12" s="1"/>
  <c r="U66" i="11"/>
  <c r="Y66" i="11" s="1"/>
  <c r="AE66" i="11" s="1"/>
  <c r="AK66" i="11" s="1"/>
  <c r="I67" i="11"/>
  <c r="M64" i="18"/>
  <c r="X69" i="9"/>
  <c r="AC68" i="9"/>
  <c r="AD66" i="12"/>
  <c r="AI66" i="12"/>
  <c r="W69" i="12"/>
  <c r="AB68" i="12"/>
  <c r="AH68" i="12" s="1"/>
  <c r="AN68" i="12" s="1"/>
  <c r="I69" i="12"/>
  <c r="AJ65" i="10"/>
  <c r="AO65" i="10"/>
  <c r="AP65" i="10" s="1"/>
  <c r="D62" i="18"/>
  <c r="Z66" i="10"/>
  <c r="M67" i="12"/>
  <c r="U66" i="12"/>
  <c r="Y66" i="12" s="1"/>
  <c r="J68" i="10"/>
  <c r="V67" i="10"/>
  <c r="I72" i="4"/>
  <c r="J68" i="9"/>
  <c r="V67" i="9"/>
  <c r="AL65" i="4"/>
  <c r="AM65" i="4" s="1"/>
  <c r="AG65" i="4"/>
  <c r="M68" i="4"/>
  <c r="U67" i="4"/>
  <c r="Y67" i="4" s="1"/>
  <c r="AE67" i="4" s="1"/>
  <c r="AK67" i="4" s="1"/>
  <c r="P68" i="4"/>
  <c r="V67" i="4"/>
  <c r="J72" i="4"/>
  <c r="J68" i="12"/>
  <c r="V67" i="12"/>
  <c r="J68" i="11"/>
  <c r="V67" i="11"/>
  <c r="K98" i="4"/>
  <c r="O97" i="12"/>
  <c r="AA66" i="4" l="1"/>
  <c r="AL65" i="9"/>
  <c r="AM65" i="9" s="1"/>
  <c r="AG65" i="9"/>
  <c r="W69" i="10"/>
  <c r="AB68" i="10"/>
  <c r="AH68" i="10" s="1"/>
  <c r="AN68" i="10" s="1"/>
  <c r="AA66" i="12"/>
  <c r="AF66" i="12"/>
  <c r="U67" i="11"/>
  <c r="Y67" i="11" s="1"/>
  <c r="AE67" i="11" s="1"/>
  <c r="AK67" i="11" s="1"/>
  <c r="I68" i="11"/>
  <c r="AA66" i="9"/>
  <c r="AF66" i="9"/>
  <c r="AJ66" i="11"/>
  <c r="AO66" i="11"/>
  <c r="AP66" i="11" s="1"/>
  <c r="AB67" i="4"/>
  <c r="AH67" i="4" s="1"/>
  <c r="AN67" i="4" s="1"/>
  <c r="W68" i="4"/>
  <c r="AL65" i="12"/>
  <c r="AM65" i="12" s="1"/>
  <c r="AG65" i="12"/>
  <c r="AI67" i="10"/>
  <c r="AD67" i="10"/>
  <c r="AI68" i="9"/>
  <c r="P64" i="18"/>
  <c r="AC68" i="12"/>
  <c r="X69" i="12"/>
  <c r="AI67" i="4"/>
  <c r="X69" i="11"/>
  <c r="O64" i="18"/>
  <c r="AC68" i="11"/>
  <c r="U67" i="10"/>
  <c r="I68" i="10"/>
  <c r="AI67" i="11"/>
  <c r="AJ66" i="12"/>
  <c r="AO66" i="12"/>
  <c r="AP66" i="12" s="1"/>
  <c r="AO66" i="10"/>
  <c r="AP66" i="10" s="1"/>
  <c r="AJ66" i="10"/>
  <c r="AO67" i="9"/>
  <c r="L64" i="18"/>
  <c r="AC68" i="4"/>
  <c r="X69" i="4"/>
  <c r="I70" i="12"/>
  <c r="AA66" i="11"/>
  <c r="AF66" i="11"/>
  <c r="F63" i="18"/>
  <c r="Z67" i="12"/>
  <c r="AL65" i="10"/>
  <c r="AM65" i="10" s="1"/>
  <c r="AG65" i="10"/>
  <c r="D63" i="18"/>
  <c r="Z67" i="10"/>
  <c r="AE66" i="12"/>
  <c r="AK66" i="12" s="1"/>
  <c r="U68" i="9"/>
  <c r="Y68" i="9" s="1"/>
  <c r="AE68" i="9" s="1"/>
  <c r="AK68" i="9" s="1"/>
  <c r="I69" i="9"/>
  <c r="AD67" i="12"/>
  <c r="AI67" i="12"/>
  <c r="AN65" i="9"/>
  <c r="AP65" i="9" s="1"/>
  <c r="AJ65" i="9"/>
  <c r="W70" i="12"/>
  <c r="AB69" i="12"/>
  <c r="AH69" i="12" s="1"/>
  <c r="AN69" i="12" s="1"/>
  <c r="M65" i="18"/>
  <c r="X70" i="9"/>
  <c r="AC69" i="9"/>
  <c r="AG65" i="11"/>
  <c r="AL65" i="11"/>
  <c r="AM65" i="11" s="1"/>
  <c r="AB67" i="11"/>
  <c r="AH67" i="11" s="1"/>
  <c r="AN67" i="11" s="1"/>
  <c r="W68" i="11"/>
  <c r="E63" i="18"/>
  <c r="Z67" i="11"/>
  <c r="M68" i="12"/>
  <c r="U67" i="12"/>
  <c r="Y67" i="12" s="1"/>
  <c r="AH66" i="9"/>
  <c r="AD66" i="9"/>
  <c r="AD66" i="4"/>
  <c r="Z67" i="4"/>
  <c r="B63" i="18"/>
  <c r="C63" i="18"/>
  <c r="Z67" i="9"/>
  <c r="AA66" i="10"/>
  <c r="AF66" i="10"/>
  <c r="W68" i="9"/>
  <c r="AB67" i="9"/>
  <c r="X69" i="10"/>
  <c r="N64" i="18"/>
  <c r="AC68" i="10"/>
  <c r="AJ66" i="4"/>
  <c r="AO66" i="4"/>
  <c r="AP66" i="4" s="1"/>
  <c r="J69" i="11"/>
  <c r="V68" i="11"/>
  <c r="AA67" i="4"/>
  <c r="AF67" i="4"/>
  <c r="I73" i="4"/>
  <c r="J73" i="4"/>
  <c r="J69" i="9"/>
  <c r="V68" i="9"/>
  <c r="J69" i="12"/>
  <c r="V68" i="12"/>
  <c r="P69" i="4"/>
  <c r="V68" i="4"/>
  <c r="AG66" i="4"/>
  <c r="AL66" i="4"/>
  <c r="AM66" i="4" s="1"/>
  <c r="M69" i="4"/>
  <c r="U68" i="4"/>
  <c r="Y68" i="4" s="1"/>
  <c r="AE68" i="4" s="1"/>
  <c r="AK68" i="4" s="1"/>
  <c r="J69" i="10"/>
  <c r="V68" i="10"/>
  <c r="O98" i="12"/>
  <c r="K99" i="4"/>
  <c r="AD67" i="11" l="1"/>
  <c r="AE67" i="12"/>
  <c r="AK67" i="12" s="1"/>
  <c r="AO68" i="9"/>
  <c r="N65" i="18"/>
  <c r="AC69" i="10"/>
  <c r="X70" i="10"/>
  <c r="W69" i="9"/>
  <c r="AB68" i="9"/>
  <c r="U69" i="9"/>
  <c r="Y69" i="9" s="1"/>
  <c r="I70" i="9"/>
  <c r="AO67" i="11"/>
  <c r="AP67" i="11" s="1"/>
  <c r="AJ67" i="11"/>
  <c r="W69" i="4"/>
  <c r="AB68" i="4"/>
  <c r="AH68" i="4" s="1"/>
  <c r="AN68" i="4" s="1"/>
  <c r="E64" i="18"/>
  <c r="Z68" i="11"/>
  <c r="AL66" i="9"/>
  <c r="AM66" i="9" s="1"/>
  <c r="AG66" i="9"/>
  <c r="I71" i="12"/>
  <c r="Z68" i="4"/>
  <c r="AA68" i="4" s="1"/>
  <c r="B64" i="18"/>
  <c r="F64" i="18"/>
  <c r="Z68" i="12"/>
  <c r="U68" i="10"/>
  <c r="I69" i="10"/>
  <c r="AC70" i="9"/>
  <c r="M66" i="18"/>
  <c r="X71" i="9"/>
  <c r="AH67" i="9"/>
  <c r="AD67" i="9"/>
  <c r="AG66" i="10"/>
  <c r="AL66" i="10"/>
  <c r="AM66" i="10" s="1"/>
  <c r="AF67" i="10"/>
  <c r="Y68" i="10"/>
  <c r="Y67" i="10"/>
  <c r="U68" i="11"/>
  <c r="Y68" i="11" s="1"/>
  <c r="AE68" i="11" s="1"/>
  <c r="AK68" i="11" s="1"/>
  <c r="I69" i="11"/>
  <c r="AB70" i="12"/>
  <c r="AH70" i="12" s="1"/>
  <c r="AN70" i="12" s="1"/>
  <c r="W71" i="12"/>
  <c r="AN66" i="9"/>
  <c r="AP66" i="9" s="1"/>
  <c r="AJ66" i="9"/>
  <c r="AI68" i="11"/>
  <c r="AL66" i="12"/>
  <c r="AM66" i="12" s="1"/>
  <c r="AG66" i="12"/>
  <c r="AI68" i="10"/>
  <c r="AD68" i="10"/>
  <c r="AO67" i="10"/>
  <c r="AP67" i="10" s="1"/>
  <c r="AJ67" i="10"/>
  <c r="AA67" i="9"/>
  <c r="AF67" i="9"/>
  <c r="AO67" i="12"/>
  <c r="AP67" i="12" s="1"/>
  <c r="AJ67" i="12"/>
  <c r="M69" i="12"/>
  <c r="U68" i="12"/>
  <c r="Y68" i="12" s="1"/>
  <c r="AE68" i="12" s="1"/>
  <c r="AK68" i="12" s="1"/>
  <c r="X70" i="11"/>
  <c r="AC69" i="11"/>
  <c r="O65" i="18"/>
  <c r="AI68" i="4"/>
  <c r="AA67" i="11"/>
  <c r="AF67" i="11"/>
  <c r="AA67" i="12"/>
  <c r="AF67" i="12"/>
  <c r="AD67" i="4"/>
  <c r="AO67" i="4"/>
  <c r="AP67" i="4" s="1"/>
  <c r="AJ67" i="4"/>
  <c r="W70" i="10"/>
  <c r="AB69" i="10"/>
  <c r="AH69" i="10" s="1"/>
  <c r="AN69" i="10" s="1"/>
  <c r="AI69" i="9"/>
  <c r="L65" i="18"/>
  <c r="AC69" i="4"/>
  <c r="X70" i="4"/>
  <c r="C64" i="18"/>
  <c r="Z68" i="9"/>
  <c r="AB68" i="11"/>
  <c r="AH68" i="11" s="1"/>
  <c r="AN68" i="11" s="1"/>
  <c r="W69" i="11"/>
  <c r="AL66" i="11"/>
  <c r="AM66" i="11" s="1"/>
  <c r="AG66" i="11"/>
  <c r="X70" i="12"/>
  <c r="AC69" i="12"/>
  <c r="P65" i="18"/>
  <c r="D64" i="18"/>
  <c r="Z68" i="10"/>
  <c r="AD68" i="12"/>
  <c r="AI68" i="12"/>
  <c r="M70" i="4"/>
  <c r="U69" i="4"/>
  <c r="Y69" i="4" s="1"/>
  <c r="AE69" i="4" s="1"/>
  <c r="AK69" i="4" s="1"/>
  <c r="P70" i="4"/>
  <c r="V69" i="4"/>
  <c r="I74" i="4"/>
  <c r="J70" i="10"/>
  <c r="V69" i="10"/>
  <c r="J70" i="12"/>
  <c r="V69" i="12"/>
  <c r="J70" i="9"/>
  <c r="V69" i="9"/>
  <c r="J74" i="4"/>
  <c r="AL67" i="4"/>
  <c r="AM67" i="4" s="1"/>
  <c r="AG67" i="4"/>
  <c r="J70" i="11"/>
  <c r="V69" i="11"/>
  <c r="K100" i="4"/>
  <c r="O99" i="12"/>
  <c r="AD68" i="4" l="1"/>
  <c r="AA68" i="10"/>
  <c r="AF68" i="10"/>
  <c r="AL67" i="11"/>
  <c r="AM67" i="11" s="1"/>
  <c r="AG67" i="11"/>
  <c r="I72" i="12"/>
  <c r="AD69" i="12"/>
  <c r="AI69" i="12"/>
  <c r="AL67" i="10"/>
  <c r="AD69" i="4"/>
  <c r="AI69" i="4"/>
  <c r="AL67" i="9"/>
  <c r="AM67" i="9" s="1"/>
  <c r="AG67" i="9"/>
  <c r="E65" i="18"/>
  <c r="Z69" i="11"/>
  <c r="AI69" i="11"/>
  <c r="O66" i="18"/>
  <c r="AC70" i="11"/>
  <c r="X71" i="11"/>
  <c r="M70" i="12"/>
  <c r="U69" i="12"/>
  <c r="Y69" i="12" s="1"/>
  <c r="AE69" i="12" s="1"/>
  <c r="AK69" i="12" s="1"/>
  <c r="AF68" i="4"/>
  <c r="AL68" i="4" s="1"/>
  <c r="AM68" i="4" s="1"/>
  <c r="AN67" i="9"/>
  <c r="AP67" i="9" s="1"/>
  <c r="AJ67" i="9"/>
  <c r="U70" i="9"/>
  <c r="Y70" i="9" s="1"/>
  <c r="I71" i="9"/>
  <c r="M67" i="18"/>
  <c r="AC71" i="9"/>
  <c r="X72" i="9"/>
  <c r="AE69" i="9"/>
  <c r="AK69" i="9" s="1"/>
  <c r="AO68" i="11"/>
  <c r="AP68" i="11" s="1"/>
  <c r="AJ68" i="11"/>
  <c r="AA67" i="10"/>
  <c r="AE67" i="10"/>
  <c r="AK67" i="10" s="1"/>
  <c r="AO69" i="9"/>
  <c r="AH68" i="9"/>
  <c r="AD68" i="9"/>
  <c r="D65" i="18"/>
  <c r="Z69" i="10"/>
  <c r="AI70" i="9"/>
  <c r="W70" i="9"/>
  <c r="AB69" i="9"/>
  <c r="W70" i="4"/>
  <c r="AB69" i="4"/>
  <c r="AH69" i="4" s="1"/>
  <c r="AN69" i="4" s="1"/>
  <c r="W71" i="10"/>
  <c r="AB70" i="10"/>
  <c r="AH70" i="10" s="1"/>
  <c r="AN70" i="10" s="1"/>
  <c r="AO68" i="10"/>
  <c r="AP68" i="10" s="1"/>
  <c r="AJ68" i="10"/>
  <c r="U69" i="10"/>
  <c r="Y69" i="10" s="1"/>
  <c r="I70" i="10"/>
  <c r="AC70" i="10"/>
  <c r="X71" i="10"/>
  <c r="N66" i="18"/>
  <c r="W70" i="11"/>
  <c r="AB69" i="11"/>
  <c r="AH69" i="11" s="1"/>
  <c r="AN69" i="11" s="1"/>
  <c r="AC70" i="4"/>
  <c r="X71" i="4"/>
  <c r="L66" i="18"/>
  <c r="AI69" i="10"/>
  <c r="AD69" i="10"/>
  <c r="C65" i="18"/>
  <c r="Z69" i="9"/>
  <c r="AA69" i="9" s="1"/>
  <c r="F65" i="18"/>
  <c r="Z69" i="12"/>
  <c r="AA68" i="9"/>
  <c r="AF68" i="9"/>
  <c r="AJ68" i="4"/>
  <c r="AO68" i="4"/>
  <c r="AP68" i="4" s="1"/>
  <c r="AA68" i="11"/>
  <c r="AF68" i="11"/>
  <c r="AO68" i="12"/>
  <c r="AP68" i="12" s="1"/>
  <c r="AJ68" i="12"/>
  <c r="AA68" i="12"/>
  <c r="AF68" i="12"/>
  <c r="W72" i="12"/>
  <c r="AB71" i="12"/>
  <c r="AH71" i="12" s="1"/>
  <c r="AN71" i="12" s="1"/>
  <c r="AC70" i="12"/>
  <c r="X71" i="12"/>
  <c r="P66" i="18"/>
  <c r="U69" i="11"/>
  <c r="Y69" i="11" s="1"/>
  <c r="AE69" i="11" s="1"/>
  <c r="AK69" i="11" s="1"/>
  <c r="I70" i="11"/>
  <c r="AE68" i="10"/>
  <c r="AK68" i="10" s="1"/>
  <c r="Z69" i="4"/>
  <c r="B65" i="18"/>
  <c r="AL67" i="12"/>
  <c r="AM67" i="12" s="1"/>
  <c r="AG67" i="12"/>
  <c r="AD68" i="11"/>
  <c r="J71" i="9"/>
  <c r="V70" i="9"/>
  <c r="J75" i="4"/>
  <c r="J71" i="12"/>
  <c r="V70" i="12"/>
  <c r="J71" i="11"/>
  <c r="V70" i="11"/>
  <c r="P71" i="4"/>
  <c r="V70" i="4"/>
  <c r="J71" i="10"/>
  <c r="V70" i="10"/>
  <c r="I75" i="4"/>
  <c r="M71" i="4"/>
  <c r="U70" i="4"/>
  <c r="Y70" i="4" s="1"/>
  <c r="AE70" i="4" s="1"/>
  <c r="AK70" i="4" s="1"/>
  <c r="K101" i="4"/>
  <c r="O100" i="12"/>
  <c r="AF69" i="4" l="1"/>
  <c r="AG68" i="4"/>
  <c r="AG67" i="10"/>
  <c r="AA69" i="4"/>
  <c r="M71" i="12"/>
  <c r="U70" i="12"/>
  <c r="Y70" i="12" s="1"/>
  <c r="AE70" i="12" s="1"/>
  <c r="AK70" i="12" s="1"/>
  <c r="X72" i="11"/>
  <c r="O67" i="18"/>
  <c r="AC71" i="11"/>
  <c r="AC71" i="12"/>
  <c r="X72" i="12"/>
  <c r="P67" i="18"/>
  <c r="L67" i="18"/>
  <c r="AC71" i="4"/>
  <c r="X72" i="4"/>
  <c r="AN68" i="9"/>
  <c r="AP68" i="9" s="1"/>
  <c r="AJ68" i="9"/>
  <c r="AD69" i="11"/>
  <c r="AI70" i="12"/>
  <c r="AD70" i="12"/>
  <c r="AI70" i="4"/>
  <c r="AJ69" i="11"/>
  <c r="AO69" i="11"/>
  <c r="AP69" i="11" s="1"/>
  <c r="F66" i="18"/>
  <c r="Z70" i="12"/>
  <c r="AL68" i="12"/>
  <c r="AM68" i="12" s="1"/>
  <c r="AG68" i="12"/>
  <c r="AC71" i="10"/>
  <c r="N67" i="18"/>
  <c r="X72" i="10"/>
  <c r="U70" i="10"/>
  <c r="Y70" i="10" s="1"/>
  <c r="I71" i="10"/>
  <c r="AE69" i="10"/>
  <c r="AK69" i="10" s="1"/>
  <c r="M68" i="18"/>
  <c r="AC72" i="9"/>
  <c r="X73" i="9"/>
  <c r="AM67" i="10"/>
  <c r="AI71" i="9"/>
  <c r="AO69" i="12"/>
  <c r="AP69" i="12" s="1"/>
  <c r="AJ69" i="12"/>
  <c r="U70" i="11"/>
  <c r="Y70" i="11" s="1"/>
  <c r="AE70" i="11" s="1"/>
  <c r="AK70" i="11" s="1"/>
  <c r="I71" i="11"/>
  <c r="AO69" i="10"/>
  <c r="AP69" i="10" s="1"/>
  <c r="AJ69" i="10"/>
  <c r="AA69" i="11"/>
  <c r="AF69" i="11"/>
  <c r="AI70" i="10"/>
  <c r="AD70" i="10"/>
  <c r="AO70" i="9"/>
  <c r="E66" i="18"/>
  <c r="Z70" i="11"/>
  <c r="W72" i="10"/>
  <c r="AB71" i="10"/>
  <c r="AH71" i="10" s="1"/>
  <c r="AN71" i="10" s="1"/>
  <c r="U71" i="9"/>
  <c r="Y71" i="9" s="1"/>
  <c r="I72" i="9"/>
  <c r="I73" i="12"/>
  <c r="AA69" i="10"/>
  <c r="AF69" i="10"/>
  <c r="AI70" i="11"/>
  <c r="AD70" i="11"/>
  <c r="AL68" i="11"/>
  <c r="AM68" i="11" s="1"/>
  <c r="AG68" i="11"/>
  <c r="AL68" i="9"/>
  <c r="AM68" i="9" s="1"/>
  <c r="AG68" i="9"/>
  <c r="AE70" i="9"/>
  <c r="AK70" i="9" s="1"/>
  <c r="AB70" i="4"/>
  <c r="AH70" i="4" s="1"/>
  <c r="AN70" i="4" s="1"/>
  <c r="W71" i="4"/>
  <c r="Z70" i="4"/>
  <c r="B66" i="18"/>
  <c r="W71" i="11"/>
  <c r="AB70" i="11"/>
  <c r="AH70" i="11" s="1"/>
  <c r="AN70" i="11" s="1"/>
  <c r="C66" i="18"/>
  <c r="Z70" i="9"/>
  <c r="D66" i="18"/>
  <c r="Z70" i="10"/>
  <c r="AA69" i="12"/>
  <c r="AF69" i="12"/>
  <c r="AH69" i="9"/>
  <c r="AD69" i="9"/>
  <c r="AO69" i="4"/>
  <c r="AP69" i="4" s="1"/>
  <c r="AJ69" i="4"/>
  <c r="W71" i="9"/>
  <c r="AB70" i="9"/>
  <c r="AL68" i="10"/>
  <c r="AM68" i="10" s="1"/>
  <c r="AG68" i="10"/>
  <c r="AB72" i="12"/>
  <c r="AH72" i="12" s="1"/>
  <c r="AN72" i="12" s="1"/>
  <c r="W73" i="12"/>
  <c r="AF69" i="9"/>
  <c r="I76" i="4"/>
  <c r="M72" i="4"/>
  <c r="U71" i="4"/>
  <c r="Y71" i="4" s="1"/>
  <c r="AE71" i="4" s="1"/>
  <c r="AK71" i="4" s="1"/>
  <c r="AF70" i="4"/>
  <c r="AA70" i="4"/>
  <c r="P72" i="4"/>
  <c r="V71" i="4"/>
  <c r="J72" i="11"/>
  <c r="V71" i="11"/>
  <c r="J72" i="10"/>
  <c r="V71" i="10"/>
  <c r="AG69" i="4"/>
  <c r="AL69" i="4"/>
  <c r="AM69" i="4" s="1"/>
  <c r="J72" i="12"/>
  <c r="V71" i="12"/>
  <c r="J76" i="4"/>
  <c r="J72" i="9"/>
  <c r="V71" i="9"/>
  <c r="O101" i="12"/>
  <c r="K102" i="4"/>
  <c r="AD70" i="4" l="1"/>
  <c r="E67" i="18"/>
  <c r="Z71" i="11"/>
  <c r="AA70" i="10"/>
  <c r="AF70" i="10"/>
  <c r="U72" i="9"/>
  <c r="Y72" i="9" s="1"/>
  <c r="I73" i="9"/>
  <c r="AI72" i="9"/>
  <c r="L68" i="18"/>
  <c r="X73" i="4"/>
  <c r="AC72" i="4"/>
  <c r="AI71" i="4"/>
  <c r="AO70" i="11"/>
  <c r="AP70" i="11" s="1"/>
  <c r="AJ70" i="11"/>
  <c r="AJ70" i="12"/>
  <c r="AO70" i="12"/>
  <c r="AP70" i="12" s="1"/>
  <c r="W73" i="10"/>
  <c r="AB72" i="10"/>
  <c r="AH72" i="10" s="1"/>
  <c r="AN72" i="10" s="1"/>
  <c r="AC73" i="9"/>
  <c r="M69" i="18"/>
  <c r="X74" i="9"/>
  <c r="AA70" i="11"/>
  <c r="AF70" i="11"/>
  <c r="U71" i="10"/>
  <c r="Y71" i="10" s="1"/>
  <c r="I72" i="10"/>
  <c r="P68" i="18"/>
  <c r="X73" i="12"/>
  <c r="AC72" i="12"/>
  <c r="AG69" i="12"/>
  <c r="AL69" i="12"/>
  <c r="AM69" i="12" s="1"/>
  <c r="W72" i="11"/>
  <c r="AB71" i="11"/>
  <c r="AH71" i="11" s="1"/>
  <c r="AN71" i="11" s="1"/>
  <c r="AE70" i="10"/>
  <c r="AK70" i="10" s="1"/>
  <c r="AD71" i="12"/>
  <c r="AI71" i="12"/>
  <c r="C67" i="18"/>
  <c r="Z71" i="9"/>
  <c r="AF71" i="9" s="1"/>
  <c r="AB71" i="9"/>
  <c r="W72" i="9"/>
  <c r="AC72" i="10"/>
  <c r="N68" i="18"/>
  <c r="X73" i="10"/>
  <c r="AI71" i="11"/>
  <c r="AJ70" i="4"/>
  <c r="AO70" i="4"/>
  <c r="AP70" i="4" s="1"/>
  <c r="Z71" i="4"/>
  <c r="B67" i="18"/>
  <c r="AA70" i="9"/>
  <c r="AF70" i="9"/>
  <c r="U71" i="11"/>
  <c r="Y71" i="11" s="1"/>
  <c r="AE71" i="11" s="1"/>
  <c r="AK71" i="11" s="1"/>
  <c r="I72" i="11"/>
  <c r="F67" i="18"/>
  <c r="Z71" i="12"/>
  <c r="AG69" i="10"/>
  <c r="AL69" i="10"/>
  <c r="AM69" i="10" s="1"/>
  <c r="AO71" i="9"/>
  <c r="AN69" i="9"/>
  <c r="AP69" i="9" s="1"/>
  <c r="AJ69" i="9"/>
  <c r="AE71" i="9"/>
  <c r="AK71" i="9" s="1"/>
  <c r="AD71" i="10"/>
  <c r="AI71" i="10"/>
  <c r="O68" i="18"/>
  <c r="X73" i="11"/>
  <c r="AC72" i="11"/>
  <c r="AH70" i="9"/>
  <c r="AD70" i="9"/>
  <c r="D67" i="18"/>
  <c r="Z71" i="10"/>
  <c r="AL69" i="9"/>
  <c r="AM69" i="9" s="1"/>
  <c r="AG69" i="9"/>
  <c r="W72" i="4"/>
  <c r="AB71" i="4"/>
  <c r="AH71" i="4" s="1"/>
  <c r="AN71" i="4" s="1"/>
  <c r="AO70" i="10"/>
  <c r="AP70" i="10" s="1"/>
  <c r="AJ70" i="10"/>
  <c r="AA70" i="12"/>
  <c r="AF70" i="12"/>
  <c r="I74" i="12"/>
  <c r="AB73" i="12"/>
  <c r="AH73" i="12" s="1"/>
  <c r="AN73" i="12" s="1"/>
  <c r="W74" i="12"/>
  <c r="AL69" i="11"/>
  <c r="AM69" i="11" s="1"/>
  <c r="AG69" i="11"/>
  <c r="M72" i="12"/>
  <c r="U71" i="12"/>
  <c r="Y71" i="12" s="1"/>
  <c r="AE71" i="12" s="1"/>
  <c r="AK71" i="12" s="1"/>
  <c r="J77" i="4"/>
  <c r="J73" i="12"/>
  <c r="V72" i="12"/>
  <c r="J73" i="10"/>
  <c r="V72" i="10"/>
  <c r="J73" i="11"/>
  <c r="V72" i="11"/>
  <c r="AL70" i="4"/>
  <c r="AM70" i="4" s="1"/>
  <c r="AG70" i="4"/>
  <c r="M73" i="4"/>
  <c r="U72" i="4"/>
  <c r="Y72" i="4" s="1"/>
  <c r="AE72" i="4" s="1"/>
  <c r="AK72" i="4" s="1"/>
  <c r="J73" i="9"/>
  <c r="V72" i="9"/>
  <c r="AF71" i="4"/>
  <c r="AA71" i="4"/>
  <c r="P73" i="4"/>
  <c r="V72" i="4"/>
  <c r="I77" i="4"/>
  <c r="O102" i="12"/>
  <c r="K103" i="4"/>
  <c r="AA71" i="9" l="1"/>
  <c r="AC73" i="10"/>
  <c r="N69" i="18"/>
  <c r="X74" i="10"/>
  <c r="I75" i="12"/>
  <c r="AB72" i="9"/>
  <c r="W73" i="9"/>
  <c r="D68" i="18"/>
  <c r="Z72" i="10"/>
  <c r="AI72" i="4"/>
  <c r="U72" i="11"/>
  <c r="Y72" i="11" s="1"/>
  <c r="AE72" i="11" s="1"/>
  <c r="AK72" i="11" s="1"/>
  <c r="I73" i="11"/>
  <c r="W73" i="11"/>
  <c r="AB72" i="11"/>
  <c r="AH72" i="11" s="1"/>
  <c r="AN72" i="11" s="1"/>
  <c r="X74" i="4"/>
  <c r="L69" i="18"/>
  <c r="AC73" i="4"/>
  <c r="AO71" i="11"/>
  <c r="AP71" i="11" s="1"/>
  <c r="AJ71" i="11"/>
  <c r="AI73" i="9"/>
  <c r="W74" i="10"/>
  <c r="AB73" i="10"/>
  <c r="AH73" i="10" s="1"/>
  <c r="AN73" i="10" s="1"/>
  <c r="AJ71" i="12"/>
  <c r="AO71" i="12"/>
  <c r="AP71" i="12" s="1"/>
  <c r="AA71" i="10"/>
  <c r="AF71" i="10"/>
  <c r="AH71" i="9"/>
  <c r="AD71" i="9"/>
  <c r="AO71" i="10"/>
  <c r="AP71" i="10" s="1"/>
  <c r="AJ71" i="10"/>
  <c r="AG70" i="12"/>
  <c r="AL70" i="12"/>
  <c r="AM70" i="12" s="1"/>
  <c r="E68" i="18"/>
  <c r="Z72" i="11"/>
  <c r="AO71" i="4"/>
  <c r="AP71" i="4" s="1"/>
  <c r="AJ71" i="4"/>
  <c r="AL70" i="9"/>
  <c r="AM70" i="9" s="1"/>
  <c r="AG70" i="9"/>
  <c r="AD72" i="12"/>
  <c r="AI72" i="12"/>
  <c r="AO72" i="9"/>
  <c r="AB74" i="12"/>
  <c r="AH74" i="12" s="1"/>
  <c r="AN74" i="12" s="1"/>
  <c r="W75" i="12"/>
  <c r="W73" i="4"/>
  <c r="AB72" i="4"/>
  <c r="AH72" i="4" s="1"/>
  <c r="AN72" i="4" s="1"/>
  <c r="F68" i="18"/>
  <c r="Z72" i="12"/>
  <c r="P69" i="18"/>
  <c r="X74" i="12"/>
  <c r="AC73" i="12"/>
  <c r="U73" i="9"/>
  <c r="I74" i="9"/>
  <c r="AC74" i="9"/>
  <c r="X75" i="9"/>
  <c r="M70" i="18"/>
  <c r="C68" i="18"/>
  <c r="Z72" i="9"/>
  <c r="AD72" i="10"/>
  <c r="AI72" i="10"/>
  <c r="AN70" i="9"/>
  <c r="AP70" i="9" s="1"/>
  <c r="AJ70" i="9"/>
  <c r="AE72" i="9"/>
  <c r="AK72" i="9" s="1"/>
  <c r="AL71" i="9"/>
  <c r="AM71" i="9" s="1"/>
  <c r="AG71" i="9"/>
  <c r="U72" i="10"/>
  <c r="Y72" i="10" s="1"/>
  <c r="I73" i="10"/>
  <c r="AG70" i="10"/>
  <c r="AL70" i="10"/>
  <c r="AM70" i="10" s="1"/>
  <c r="AA71" i="12"/>
  <c r="AF71" i="12"/>
  <c r="AI72" i="11"/>
  <c r="AE71" i="10"/>
  <c r="AK71" i="10" s="1"/>
  <c r="M73" i="12"/>
  <c r="U72" i="12"/>
  <c r="Y72" i="12" s="1"/>
  <c r="AE72" i="12" s="1"/>
  <c r="AK72" i="12" s="1"/>
  <c r="O69" i="18"/>
  <c r="X74" i="11"/>
  <c r="AC73" i="11"/>
  <c r="AL70" i="11"/>
  <c r="AM70" i="11" s="1"/>
  <c r="AG70" i="11"/>
  <c r="AA71" i="11"/>
  <c r="AF71" i="11"/>
  <c r="AD71" i="4"/>
  <c r="Z72" i="4"/>
  <c r="AF72" i="4" s="1"/>
  <c r="B68" i="18"/>
  <c r="AD71" i="11"/>
  <c r="I78" i="4"/>
  <c r="P74" i="4"/>
  <c r="V73" i="4"/>
  <c r="J74" i="9"/>
  <c r="V73" i="9"/>
  <c r="M74" i="4"/>
  <c r="U73" i="4"/>
  <c r="Y73" i="4" s="1"/>
  <c r="AE73" i="4" s="1"/>
  <c r="AK73" i="4" s="1"/>
  <c r="J74" i="12"/>
  <c r="V73" i="12"/>
  <c r="AG71" i="4"/>
  <c r="AL71" i="4"/>
  <c r="AM71" i="4" s="1"/>
  <c r="J74" i="10"/>
  <c r="V73" i="10"/>
  <c r="J78" i="4"/>
  <c r="J74" i="11"/>
  <c r="V73" i="11"/>
  <c r="K104" i="4"/>
  <c r="O103" i="12"/>
  <c r="AA72" i="4" l="1"/>
  <c r="M74" i="12"/>
  <c r="U73" i="12"/>
  <c r="Y73" i="12" s="1"/>
  <c r="U74" i="9"/>
  <c r="I75" i="9"/>
  <c r="U73" i="11"/>
  <c r="Y73" i="11" s="1"/>
  <c r="AE73" i="11" s="1"/>
  <c r="AK73" i="11" s="1"/>
  <c r="I74" i="11"/>
  <c r="C69" i="18"/>
  <c r="Z73" i="9"/>
  <c r="AD72" i="11"/>
  <c r="AI73" i="12"/>
  <c r="AD73" i="12"/>
  <c r="AO72" i="4"/>
  <c r="AP72" i="4" s="1"/>
  <c r="AJ72" i="4"/>
  <c r="F69" i="18"/>
  <c r="Z73" i="12"/>
  <c r="AF73" i="12" s="1"/>
  <c r="AI74" i="9"/>
  <c r="AO72" i="11"/>
  <c r="AP72" i="11" s="1"/>
  <c r="AJ72" i="11"/>
  <c r="P70" i="18"/>
  <c r="AC74" i="12"/>
  <c r="X75" i="12"/>
  <c r="AD72" i="4"/>
  <c r="AB73" i="11"/>
  <c r="AH73" i="11" s="1"/>
  <c r="AN73" i="11" s="1"/>
  <c r="W74" i="11"/>
  <c r="AG71" i="12"/>
  <c r="AL71" i="12"/>
  <c r="AM71" i="12" s="1"/>
  <c r="AA72" i="10"/>
  <c r="AF72" i="10"/>
  <c r="D69" i="18"/>
  <c r="Z73" i="10"/>
  <c r="AA72" i="12"/>
  <c r="AF72" i="12"/>
  <c r="AN71" i="9"/>
  <c r="AP71" i="9" s="1"/>
  <c r="AJ71" i="9"/>
  <c r="AD73" i="4"/>
  <c r="AI73" i="4"/>
  <c r="L70" i="18"/>
  <c r="AC74" i="4"/>
  <c r="X75" i="4"/>
  <c r="AL71" i="10"/>
  <c r="AM71" i="10" s="1"/>
  <c r="AG71" i="10"/>
  <c r="W74" i="9"/>
  <c r="AB73" i="9"/>
  <c r="AA72" i="11"/>
  <c r="AF72" i="11"/>
  <c r="X76" i="9"/>
  <c r="M71" i="18"/>
  <c r="AC75" i="9"/>
  <c r="AH72" i="9"/>
  <c r="AD72" i="9"/>
  <c r="U73" i="10"/>
  <c r="Y73" i="10" s="1"/>
  <c r="I74" i="10"/>
  <c r="W74" i="4"/>
  <c r="AB73" i="4"/>
  <c r="AH73" i="4" s="1"/>
  <c r="AN73" i="4" s="1"/>
  <c r="I76" i="12"/>
  <c r="Z73" i="4"/>
  <c r="AA73" i="4" s="1"/>
  <c r="B69" i="18"/>
  <c r="AE72" i="10"/>
  <c r="AK72" i="10" s="1"/>
  <c r="AB75" i="12"/>
  <c r="AH75" i="12" s="1"/>
  <c r="AN75" i="12" s="1"/>
  <c r="W76" i="12"/>
  <c r="Y74" i="9"/>
  <c r="Y73" i="9"/>
  <c r="AE73" i="9" s="1"/>
  <c r="AK73" i="9" s="1"/>
  <c r="X75" i="10"/>
  <c r="N70" i="18"/>
  <c r="AC74" i="10"/>
  <c r="AL71" i="11"/>
  <c r="AM71" i="11" s="1"/>
  <c r="AG71" i="11"/>
  <c r="AJ72" i="10"/>
  <c r="AO72" i="10"/>
  <c r="AP72" i="10" s="1"/>
  <c r="AA72" i="9"/>
  <c r="AF72" i="9"/>
  <c r="O70" i="18"/>
  <c r="AC74" i="11"/>
  <c r="X75" i="11"/>
  <c r="E69" i="18"/>
  <c r="Z73" i="11"/>
  <c r="AB74" i="10"/>
  <c r="AH74" i="10" s="1"/>
  <c r="AN74" i="10" s="1"/>
  <c r="W75" i="10"/>
  <c r="AJ72" i="12"/>
  <c r="AO72" i="12"/>
  <c r="AP72" i="12" s="1"/>
  <c r="AI73" i="11"/>
  <c r="AD73" i="11"/>
  <c r="AO73" i="9"/>
  <c r="AI73" i="10"/>
  <c r="AD73" i="10"/>
  <c r="AL72" i="4"/>
  <c r="AM72" i="4" s="1"/>
  <c r="AG72" i="4"/>
  <c r="J75" i="11"/>
  <c r="V74" i="11"/>
  <c r="J75" i="10"/>
  <c r="V74" i="10"/>
  <c r="J75" i="12"/>
  <c r="V74" i="12"/>
  <c r="P75" i="4"/>
  <c r="V74" i="4"/>
  <c r="J79" i="4"/>
  <c r="M75" i="4"/>
  <c r="U74" i="4"/>
  <c r="Y74" i="4" s="1"/>
  <c r="AE74" i="4" s="1"/>
  <c r="AK74" i="4" s="1"/>
  <c r="J75" i="9"/>
  <c r="V74" i="9"/>
  <c r="I79" i="4"/>
  <c r="O104" i="12"/>
  <c r="K105" i="4"/>
  <c r="AF73" i="4" l="1"/>
  <c r="I77" i="12"/>
  <c r="D70" i="18"/>
  <c r="Z74" i="10"/>
  <c r="AA73" i="11"/>
  <c r="AF73" i="11"/>
  <c r="AG72" i="12"/>
  <c r="AL72" i="12"/>
  <c r="AM72" i="12" s="1"/>
  <c r="C70" i="18"/>
  <c r="Z74" i="9"/>
  <c r="AJ73" i="11"/>
  <c r="AO73" i="11"/>
  <c r="AP73" i="11" s="1"/>
  <c r="E70" i="18"/>
  <c r="Z74" i="11"/>
  <c r="O71" i="18"/>
  <c r="X76" i="11"/>
  <c r="AC75" i="11"/>
  <c r="AB74" i="4"/>
  <c r="AH74" i="4" s="1"/>
  <c r="AN74" i="4" s="1"/>
  <c r="W75" i="4"/>
  <c r="AO73" i="12"/>
  <c r="AP73" i="12" s="1"/>
  <c r="AJ73" i="12"/>
  <c r="Z74" i="4"/>
  <c r="AA74" i="4" s="1"/>
  <c r="B70" i="18"/>
  <c r="AA73" i="10"/>
  <c r="AF73" i="10"/>
  <c r="AE73" i="10"/>
  <c r="AK73" i="10" s="1"/>
  <c r="AA73" i="9"/>
  <c r="AF73" i="9"/>
  <c r="X76" i="12"/>
  <c r="P71" i="18"/>
  <c r="AC75" i="12"/>
  <c r="AB74" i="9"/>
  <c r="W75" i="9"/>
  <c r="F70" i="18"/>
  <c r="Z74" i="12"/>
  <c r="AL72" i="9"/>
  <c r="AM72" i="9" s="1"/>
  <c r="AG72" i="9"/>
  <c r="AG72" i="10"/>
  <c r="AL72" i="10"/>
  <c r="AM72" i="10" s="1"/>
  <c r="AH73" i="9"/>
  <c r="AD73" i="9"/>
  <c r="U74" i="10"/>
  <c r="Y74" i="10" s="1"/>
  <c r="AE74" i="10" s="1"/>
  <c r="AK74" i="10" s="1"/>
  <c r="I75" i="10"/>
  <c r="AN72" i="9"/>
  <c r="AP72" i="9" s="1"/>
  <c r="AJ72" i="9"/>
  <c r="U74" i="11"/>
  <c r="Y74" i="11" s="1"/>
  <c r="AE74" i="11" s="1"/>
  <c r="AK74" i="11" s="1"/>
  <c r="I75" i="11"/>
  <c r="AI75" i="9"/>
  <c r="AO74" i="9"/>
  <c r="AJ73" i="4"/>
  <c r="AO73" i="4"/>
  <c r="AP73" i="4" s="1"/>
  <c r="U75" i="9"/>
  <c r="Y75" i="9" s="1"/>
  <c r="I76" i="9"/>
  <c r="AC75" i="10"/>
  <c r="N71" i="18"/>
  <c r="X76" i="10"/>
  <c r="W77" i="12"/>
  <c r="AB76" i="12"/>
  <c r="AH76" i="12" s="1"/>
  <c r="AN76" i="12" s="1"/>
  <c r="AC75" i="4"/>
  <c r="X76" i="4"/>
  <c r="L71" i="18"/>
  <c r="AI74" i="4"/>
  <c r="AB75" i="10"/>
  <c r="AH75" i="10" s="1"/>
  <c r="AN75" i="10" s="1"/>
  <c r="W76" i="10"/>
  <c r="AC76" i="9"/>
  <c r="X77" i="9"/>
  <c r="M72" i="18"/>
  <c r="W75" i="11"/>
  <c r="AB74" i="11"/>
  <c r="AH74" i="11" s="1"/>
  <c r="AN74" i="11" s="1"/>
  <c r="AE74" i="9"/>
  <c r="AK74" i="9" s="1"/>
  <c r="AI74" i="11"/>
  <c r="AD74" i="11"/>
  <c r="AL72" i="11"/>
  <c r="AM72" i="11" s="1"/>
  <c r="AG72" i="11"/>
  <c r="AA73" i="12"/>
  <c r="AE73" i="12"/>
  <c r="AK73" i="12" s="1"/>
  <c r="AI74" i="12"/>
  <c r="AD74" i="12"/>
  <c r="AL73" i="12"/>
  <c r="AM73" i="12" s="1"/>
  <c r="AG73" i="12"/>
  <c r="AJ73" i="10"/>
  <c r="AO73" i="10"/>
  <c r="AP73" i="10" s="1"/>
  <c r="AD74" i="10"/>
  <c r="AI74" i="10"/>
  <c r="M75" i="12"/>
  <c r="U74" i="12"/>
  <c r="Y74" i="12" s="1"/>
  <c r="AL73" i="4"/>
  <c r="AM73" i="4" s="1"/>
  <c r="AG73" i="4"/>
  <c r="I80" i="4"/>
  <c r="J76" i="9"/>
  <c r="V75" i="9"/>
  <c r="J76" i="12"/>
  <c r="V75" i="12"/>
  <c r="J76" i="11"/>
  <c r="V75" i="11"/>
  <c r="J80" i="4"/>
  <c r="J76" i="10"/>
  <c r="V75" i="10"/>
  <c r="M76" i="4"/>
  <c r="U75" i="4"/>
  <c r="Y75" i="4" s="1"/>
  <c r="AE75" i="4" s="1"/>
  <c r="AK75" i="4" s="1"/>
  <c r="P76" i="4"/>
  <c r="V75" i="4"/>
  <c r="K106" i="4"/>
  <c r="O105" i="12"/>
  <c r="AD74" i="4" l="1"/>
  <c r="E71" i="18"/>
  <c r="Z75" i="11"/>
  <c r="AB75" i="9"/>
  <c r="W76" i="9"/>
  <c r="AE75" i="9"/>
  <c r="AK75" i="9" s="1"/>
  <c r="AH74" i="9"/>
  <c r="AD74" i="9"/>
  <c r="U75" i="10"/>
  <c r="Y75" i="10" s="1"/>
  <c r="AE75" i="10" s="1"/>
  <c r="AK75" i="10" s="1"/>
  <c r="I76" i="10"/>
  <c r="AO74" i="12"/>
  <c r="AP74" i="12" s="1"/>
  <c r="AJ74" i="12"/>
  <c r="U76" i="9"/>
  <c r="Y76" i="9" s="1"/>
  <c r="AE76" i="9" s="1"/>
  <c r="AK76" i="9" s="1"/>
  <c r="I77" i="9"/>
  <c r="AJ74" i="11"/>
  <c r="AO74" i="11"/>
  <c r="AP74" i="11" s="1"/>
  <c r="AA74" i="9"/>
  <c r="AF74" i="9"/>
  <c r="AI75" i="4"/>
  <c r="AD75" i="4"/>
  <c r="AI75" i="11"/>
  <c r="AD75" i="11"/>
  <c r="AC76" i="10"/>
  <c r="X77" i="10"/>
  <c r="N72" i="18"/>
  <c r="AI75" i="10"/>
  <c r="AD75" i="10"/>
  <c r="AI75" i="12"/>
  <c r="AD75" i="12"/>
  <c r="AN73" i="9"/>
  <c r="AP73" i="9" s="1"/>
  <c r="AJ73" i="9"/>
  <c r="D71" i="18"/>
  <c r="Z75" i="10"/>
  <c r="AB77" i="12"/>
  <c r="AH77" i="12" s="1"/>
  <c r="AN77" i="12" s="1"/>
  <c r="W78" i="12"/>
  <c r="F71" i="18"/>
  <c r="Z75" i="12"/>
  <c r="AO74" i="4"/>
  <c r="AP74" i="4" s="1"/>
  <c r="AJ74" i="4"/>
  <c r="AF74" i="4"/>
  <c r="AL74" i="4" s="1"/>
  <c r="AM74" i="4" s="1"/>
  <c r="C71" i="18"/>
  <c r="Z75" i="9"/>
  <c r="P72" i="18"/>
  <c r="X77" i="12"/>
  <c r="AC76" i="12"/>
  <c r="AC76" i="4"/>
  <c r="L72" i="18"/>
  <c r="X77" i="4"/>
  <c r="W76" i="11"/>
  <c r="AB75" i="11"/>
  <c r="AH75" i="11" s="1"/>
  <c r="AN75" i="11" s="1"/>
  <c r="AL73" i="9"/>
  <c r="AM73" i="9" s="1"/>
  <c r="AG73" i="9"/>
  <c r="AL73" i="11"/>
  <c r="AM73" i="11" s="1"/>
  <c r="AG73" i="11"/>
  <c r="AO75" i="9"/>
  <c r="AA74" i="11"/>
  <c r="AF74" i="11"/>
  <c r="AC77" i="9"/>
  <c r="M73" i="18"/>
  <c r="X78" i="9"/>
  <c r="U75" i="11"/>
  <c r="I76" i="11"/>
  <c r="AA74" i="10"/>
  <c r="AF74" i="10"/>
  <c r="Z75" i="4"/>
  <c r="AA75" i="4" s="1"/>
  <c r="B71" i="18"/>
  <c r="AE74" i="12"/>
  <c r="AK74" i="12" s="1"/>
  <c r="AI76" i="9"/>
  <c r="AG73" i="10"/>
  <c r="AL73" i="10"/>
  <c r="AM73" i="10" s="1"/>
  <c r="W76" i="4"/>
  <c r="AB75" i="4"/>
  <c r="AH75" i="4" s="1"/>
  <c r="AN75" i="4" s="1"/>
  <c r="AA74" i="12"/>
  <c r="AF74" i="12"/>
  <c r="M76" i="12"/>
  <c r="U75" i="12"/>
  <c r="Y75" i="12" s="1"/>
  <c r="AE75" i="12" s="1"/>
  <c r="AK75" i="12" s="1"/>
  <c r="AB76" i="10"/>
  <c r="AH76" i="10" s="1"/>
  <c r="AN76" i="10" s="1"/>
  <c r="W77" i="10"/>
  <c r="I78" i="12"/>
  <c r="X77" i="11"/>
  <c r="AC76" i="11"/>
  <c r="O72" i="18"/>
  <c r="AJ74" i="10"/>
  <c r="AO74" i="10"/>
  <c r="AP74" i="10" s="1"/>
  <c r="J81" i="4"/>
  <c r="P77" i="4"/>
  <c r="V76" i="4"/>
  <c r="M77" i="4"/>
  <c r="U76" i="4"/>
  <c r="Y76" i="4" s="1"/>
  <c r="AE76" i="4" s="1"/>
  <c r="AK76" i="4" s="1"/>
  <c r="I81" i="4"/>
  <c r="J77" i="9"/>
  <c r="V76" i="9"/>
  <c r="J77" i="10"/>
  <c r="V76" i="10"/>
  <c r="J77" i="11"/>
  <c r="V76" i="11"/>
  <c r="J77" i="12"/>
  <c r="V76" i="12"/>
  <c r="K107" i="4"/>
  <c r="O106" i="12"/>
  <c r="AF75" i="4" l="1"/>
  <c r="F72" i="18"/>
  <c r="Z76" i="12"/>
  <c r="AI77" i="9"/>
  <c r="E72" i="18"/>
  <c r="Z76" i="11"/>
  <c r="AB78" i="12"/>
  <c r="AH78" i="12" s="1"/>
  <c r="AN78" i="12" s="1"/>
  <c r="W79" i="12"/>
  <c r="AG74" i="12"/>
  <c r="AL74" i="12"/>
  <c r="AM74" i="12" s="1"/>
  <c r="AA75" i="10"/>
  <c r="AF75" i="10"/>
  <c r="U76" i="11"/>
  <c r="Y76" i="11" s="1"/>
  <c r="I77" i="11"/>
  <c r="D72" i="18"/>
  <c r="Z76" i="10"/>
  <c r="U76" i="10"/>
  <c r="Y76" i="10" s="1"/>
  <c r="AE76" i="10" s="1"/>
  <c r="AK76" i="10" s="1"/>
  <c r="I77" i="10"/>
  <c r="AI76" i="11"/>
  <c r="AO75" i="4"/>
  <c r="AP75" i="4" s="1"/>
  <c r="AJ75" i="4"/>
  <c r="W77" i="4"/>
  <c r="AB76" i="4"/>
  <c r="AH76" i="4" s="1"/>
  <c r="AN76" i="4" s="1"/>
  <c r="AI76" i="10"/>
  <c r="AD76" i="10"/>
  <c r="AA75" i="9"/>
  <c r="AF75" i="9"/>
  <c r="M74" i="18"/>
  <c r="AC78" i="9"/>
  <c r="X79" i="9"/>
  <c r="I79" i="12"/>
  <c r="W77" i="11"/>
  <c r="AB76" i="11"/>
  <c r="AH76" i="11" s="1"/>
  <c r="AN76" i="11" s="1"/>
  <c r="AO75" i="12"/>
  <c r="AP75" i="12" s="1"/>
  <c r="AJ75" i="12"/>
  <c r="AN74" i="9"/>
  <c r="AP74" i="9" s="1"/>
  <c r="AJ74" i="9"/>
  <c r="L73" i="18"/>
  <c r="AC77" i="4"/>
  <c r="X78" i="4"/>
  <c r="M77" i="12"/>
  <c r="U76" i="12"/>
  <c r="Y76" i="12" s="1"/>
  <c r="AE76" i="12" s="1"/>
  <c r="AK76" i="12" s="1"/>
  <c r="AG74" i="4"/>
  <c r="AO76" i="9"/>
  <c r="W77" i="9"/>
  <c r="AB76" i="9"/>
  <c r="Y75" i="11"/>
  <c r="AE75" i="11" s="1"/>
  <c r="AK75" i="11" s="1"/>
  <c r="AC77" i="11"/>
  <c r="O73" i="18"/>
  <c r="X78" i="11"/>
  <c r="AL74" i="9"/>
  <c r="AM74" i="9" s="1"/>
  <c r="AG74" i="9"/>
  <c r="W78" i="10"/>
  <c r="AB77" i="10"/>
  <c r="AH77" i="10" s="1"/>
  <c r="AN77" i="10" s="1"/>
  <c r="U77" i="9"/>
  <c r="I78" i="9"/>
  <c r="C72" i="18"/>
  <c r="Z76" i="9"/>
  <c r="Z76" i="4"/>
  <c r="AF76" i="4" s="1"/>
  <c r="B72" i="18"/>
  <c r="AI76" i="4"/>
  <c r="AD76" i="4"/>
  <c r="AO75" i="10"/>
  <c r="AP75" i="10" s="1"/>
  <c r="AJ75" i="10"/>
  <c r="AH75" i="9"/>
  <c r="AD75" i="9"/>
  <c r="AL74" i="10"/>
  <c r="AM74" i="10" s="1"/>
  <c r="AG74" i="10"/>
  <c r="AL74" i="11"/>
  <c r="AM74" i="11" s="1"/>
  <c r="AG74" i="11"/>
  <c r="AA75" i="12"/>
  <c r="AF75" i="12"/>
  <c r="AD76" i="12"/>
  <c r="AI76" i="12"/>
  <c r="AA75" i="11"/>
  <c r="AF75" i="11"/>
  <c r="AO75" i="11"/>
  <c r="AP75" i="11" s="1"/>
  <c r="AJ75" i="11"/>
  <c r="X78" i="12"/>
  <c r="P73" i="18"/>
  <c r="AC77" i="12"/>
  <c r="X78" i="10"/>
  <c r="N73" i="18"/>
  <c r="AC77" i="10"/>
  <c r="J78" i="11"/>
  <c r="V77" i="11"/>
  <c r="J78" i="10"/>
  <c r="V77" i="10"/>
  <c r="M78" i="4"/>
  <c r="U77" i="4"/>
  <c r="Y77" i="4" s="1"/>
  <c r="AE77" i="4" s="1"/>
  <c r="AK77" i="4" s="1"/>
  <c r="J78" i="12"/>
  <c r="V77" i="12"/>
  <c r="I82" i="4"/>
  <c r="P78" i="4"/>
  <c r="V77" i="4"/>
  <c r="J78" i="9"/>
  <c r="V77" i="9"/>
  <c r="J82" i="4"/>
  <c r="AL75" i="4"/>
  <c r="AM75" i="4" s="1"/>
  <c r="AG75" i="4"/>
  <c r="K108" i="4"/>
  <c r="O107" i="12"/>
  <c r="AD76" i="11" l="1"/>
  <c r="AA76" i="4"/>
  <c r="AA76" i="11"/>
  <c r="AE76" i="11"/>
  <c r="AK76" i="11" s="1"/>
  <c r="AI77" i="12"/>
  <c r="AD77" i="12"/>
  <c r="AA76" i="9"/>
  <c r="AF76" i="9"/>
  <c r="AC78" i="4"/>
  <c r="X79" i="4"/>
  <c r="L74" i="18"/>
  <c r="P74" i="18"/>
  <c r="AC78" i="12"/>
  <c r="X79" i="12"/>
  <c r="U78" i="9"/>
  <c r="Y78" i="9" s="1"/>
  <c r="AE78" i="9" s="1"/>
  <c r="AK78" i="9" s="1"/>
  <c r="I79" i="9"/>
  <c r="AL75" i="11"/>
  <c r="AM75" i="11" s="1"/>
  <c r="AG75" i="11"/>
  <c r="AG75" i="10"/>
  <c r="AL75" i="10"/>
  <c r="AM75" i="10" s="1"/>
  <c r="C73" i="18"/>
  <c r="Z77" i="9"/>
  <c r="AI77" i="11"/>
  <c r="I80" i="12"/>
  <c r="AI78" i="9"/>
  <c r="W80" i="12"/>
  <c r="AB79" i="12"/>
  <c r="AH79" i="12" s="1"/>
  <c r="AN79" i="12" s="1"/>
  <c r="AL75" i="9"/>
  <c r="AM75" i="9" s="1"/>
  <c r="AG75" i="9"/>
  <c r="AF76" i="11"/>
  <c r="U77" i="10"/>
  <c r="Y77" i="10" s="1"/>
  <c r="AE77" i="10" s="1"/>
  <c r="AK77" i="10" s="1"/>
  <c r="I78" i="10"/>
  <c r="AA76" i="10"/>
  <c r="AF76" i="10"/>
  <c r="AO76" i="12"/>
  <c r="AP76" i="12" s="1"/>
  <c r="AJ76" i="12"/>
  <c r="M75" i="18"/>
  <c r="X80" i="9"/>
  <c r="AC79" i="9"/>
  <c r="O74" i="18"/>
  <c r="X79" i="11"/>
  <c r="AC78" i="11"/>
  <c r="W78" i="9"/>
  <c r="AB77" i="9"/>
  <c r="AN75" i="9"/>
  <c r="AP75" i="9" s="1"/>
  <c r="AJ75" i="9"/>
  <c r="AI77" i="4"/>
  <c r="AI77" i="10"/>
  <c r="AD77" i="10"/>
  <c r="AJ76" i="10"/>
  <c r="AO76" i="10"/>
  <c r="AP76" i="10" s="1"/>
  <c r="AO77" i="9"/>
  <c r="E73" i="18"/>
  <c r="Z77" i="11"/>
  <c r="AF77" i="11" s="1"/>
  <c r="AL77" i="11" s="1"/>
  <c r="Y77" i="9"/>
  <c r="AE77" i="9" s="1"/>
  <c r="AK77" i="9" s="1"/>
  <c r="AB78" i="10"/>
  <c r="AH78" i="10" s="1"/>
  <c r="AN78" i="10" s="1"/>
  <c r="W79" i="10"/>
  <c r="W78" i="11"/>
  <c r="AB77" i="11"/>
  <c r="AH77" i="11" s="1"/>
  <c r="AN77" i="11" s="1"/>
  <c r="AJ76" i="4"/>
  <c r="AO76" i="4"/>
  <c r="AP76" i="4" s="1"/>
  <c r="AA76" i="12"/>
  <c r="AF76" i="12"/>
  <c r="AO76" i="11"/>
  <c r="AP76" i="11" s="1"/>
  <c r="AJ76" i="11"/>
  <c r="U77" i="11"/>
  <c r="Y77" i="11" s="1"/>
  <c r="I78" i="11"/>
  <c r="AL75" i="12"/>
  <c r="AM75" i="12" s="1"/>
  <c r="AG75" i="12"/>
  <c r="Z77" i="4"/>
  <c r="B73" i="18"/>
  <c r="AH76" i="9"/>
  <c r="AD76" i="9"/>
  <c r="F73" i="18"/>
  <c r="Z77" i="12"/>
  <c r="D73" i="18"/>
  <c r="Z77" i="10"/>
  <c r="N74" i="18"/>
  <c r="X79" i="10"/>
  <c r="AC78" i="10"/>
  <c r="M78" i="12"/>
  <c r="U77" i="12"/>
  <c r="Y77" i="12" s="1"/>
  <c r="AE77" i="12" s="1"/>
  <c r="AK77" i="12" s="1"/>
  <c r="AB77" i="4"/>
  <c r="AH77" i="4" s="1"/>
  <c r="AN77" i="4" s="1"/>
  <c r="W78" i="4"/>
  <c r="AG76" i="4"/>
  <c r="AL76" i="4"/>
  <c r="AM76" i="4" s="1"/>
  <c r="J79" i="10"/>
  <c r="V78" i="10"/>
  <c r="J83" i="4"/>
  <c r="J79" i="9"/>
  <c r="V78" i="9"/>
  <c r="P79" i="4"/>
  <c r="V78" i="4"/>
  <c r="J79" i="12"/>
  <c r="V78" i="12"/>
  <c r="M79" i="4"/>
  <c r="U78" i="4"/>
  <c r="Y78" i="4" s="1"/>
  <c r="AE78" i="4" s="1"/>
  <c r="AK78" i="4" s="1"/>
  <c r="AA77" i="4"/>
  <c r="AF77" i="4"/>
  <c r="I83" i="4"/>
  <c r="J79" i="11"/>
  <c r="V78" i="11"/>
  <c r="K109" i="4"/>
  <c r="O108" i="12"/>
  <c r="AD77" i="11" l="1"/>
  <c r="AO77" i="11"/>
  <c r="AP77" i="11" s="1"/>
  <c r="AJ77" i="11"/>
  <c r="AB78" i="11"/>
  <c r="AH78" i="11" s="1"/>
  <c r="AN78" i="11" s="1"/>
  <c r="W79" i="11"/>
  <c r="E74" i="18"/>
  <c r="Z78" i="11"/>
  <c r="AF78" i="11" s="1"/>
  <c r="N75" i="18"/>
  <c r="AC79" i="10"/>
  <c r="X80" i="10"/>
  <c r="W80" i="10"/>
  <c r="AB79" i="10"/>
  <c r="AH79" i="10" s="1"/>
  <c r="AN79" i="10" s="1"/>
  <c r="AI79" i="9"/>
  <c r="AD78" i="10"/>
  <c r="AI78" i="10"/>
  <c r="M76" i="18"/>
  <c r="X81" i="9"/>
  <c r="AC80" i="9"/>
  <c r="AA77" i="10"/>
  <c r="AF77" i="10"/>
  <c r="AA77" i="12"/>
  <c r="AF77" i="12"/>
  <c r="AC79" i="12"/>
  <c r="P75" i="18"/>
  <c r="X80" i="12"/>
  <c r="F74" i="18"/>
  <c r="Z78" i="12"/>
  <c r="AN76" i="9"/>
  <c r="AP76" i="9" s="1"/>
  <c r="AJ76" i="9"/>
  <c r="U78" i="10"/>
  <c r="Y78" i="10" s="1"/>
  <c r="AE78" i="10" s="1"/>
  <c r="AK78" i="10" s="1"/>
  <c r="I79" i="10"/>
  <c r="AI78" i="12"/>
  <c r="AD78" i="12"/>
  <c r="AG76" i="10"/>
  <c r="AL76" i="10"/>
  <c r="AM76" i="10" s="1"/>
  <c r="Z78" i="4"/>
  <c r="AA78" i="4" s="1"/>
  <c r="B74" i="18"/>
  <c r="AG76" i="11"/>
  <c r="AL76" i="11"/>
  <c r="AM76" i="11" s="1"/>
  <c r="AC79" i="4"/>
  <c r="X80" i="4"/>
  <c r="L75" i="18"/>
  <c r="AO77" i="10"/>
  <c r="AP77" i="10" s="1"/>
  <c r="AJ77" i="10"/>
  <c r="AI78" i="4"/>
  <c r="AA77" i="9"/>
  <c r="AF77" i="9"/>
  <c r="U78" i="11"/>
  <c r="I79" i="11"/>
  <c r="AJ77" i="4"/>
  <c r="AO77" i="4"/>
  <c r="AP77" i="4" s="1"/>
  <c r="AL76" i="9"/>
  <c r="AM76" i="9" s="1"/>
  <c r="AG76" i="9"/>
  <c r="AA77" i="11"/>
  <c r="AE77" i="11"/>
  <c r="AD77" i="4"/>
  <c r="AB80" i="12"/>
  <c r="AH80" i="12" s="1"/>
  <c r="AN80" i="12" s="1"/>
  <c r="W81" i="12"/>
  <c r="O75" i="18"/>
  <c r="X80" i="11"/>
  <c r="AC79" i="11"/>
  <c r="C74" i="18"/>
  <c r="Z78" i="9"/>
  <c r="D74" i="18"/>
  <c r="Z78" i="10"/>
  <c r="AO78" i="9"/>
  <c r="M79" i="12"/>
  <c r="U78" i="12"/>
  <c r="Y78" i="12" s="1"/>
  <c r="AE78" i="12" s="1"/>
  <c r="AK78" i="12" s="1"/>
  <c r="U79" i="9"/>
  <c r="Y79" i="9" s="1"/>
  <c r="AE79" i="9" s="1"/>
  <c r="AK79" i="9" s="1"/>
  <c r="I80" i="9"/>
  <c r="AJ77" i="12"/>
  <c r="AO77" i="12"/>
  <c r="AP77" i="12" s="1"/>
  <c r="AL76" i="12"/>
  <c r="AM76" i="12" s="1"/>
  <c r="AG76" i="12"/>
  <c r="AH77" i="9"/>
  <c r="AD77" i="9"/>
  <c r="I81" i="12"/>
  <c r="AD78" i="11"/>
  <c r="AI78" i="11"/>
  <c r="W79" i="4"/>
  <c r="AB78" i="4"/>
  <c r="AH78" i="4" s="1"/>
  <c r="AN78" i="4" s="1"/>
  <c r="AB78" i="9"/>
  <c r="W79" i="9"/>
  <c r="J80" i="11"/>
  <c r="V79" i="11"/>
  <c r="M80" i="4"/>
  <c r="U79" i="4"/>
  <c r="Y79" i="4" s="1"/>
  <c r="AE79" i="4" s="1"/>
  <c r="AK79" i="4" s="1"/>
  <c r="J80" i="10"/>
  <c r="V79" i="10"/>
  <c r="AL77" i="4"/>
  <c r="AM77" i="4" s="1"/>
  <c r="AG77" i="4"/>
  <c r="J80" i="12"/>
  <c r="V79" i="12"/>
  <c r="P80" i="4"/>
  <c r="V79" i="4"/>
  <c r="I84" i="4"/>
  <c r="J80" i="9"/>
  <c r="V79" i="9"/>
  <c r="J84" i="4"/>
  <c r="O109" i="12"/>
  <c r="W80" i="4" l="1"/>
  <c r="AB79" i="4"/>
  <c r="AH79" i="4" s="1"/>
  <c r="AN79" i="4" s="1"/>
  <c r="AN77" i="9"/>
  <c r="AP77" i="9" s="1"/>
  <c r="AJ77" i="9"/>
  <c r="AJ78" i="12"/>
  <c r="AO78" i="12"/>
  <c r="AP78" i="12" s="1"/>
  <c r="AO79" i="9"/>
  <c r="AB80" i="10"/>
  <c r="AH80" i="10" s="1"/>
  <c r="AN80" i="10" s="1"/>
  <c r="W81" i="10"/>
  <c r="AG77" i="10"/>
  <c r="AL77" i="10"/>
  <c r="AM77" i="10" s="1"/>
  <c r="AJ78" i="10"/>
  <c r="AO78" i="10"/>
  <c r="AP78" i="10" s="1"/>
  <c r="N76" i="18"/>
  <c r="X81" i="10"/>
  <c r="AC80" i="10"/>
  <c r="AD79" i="4"/>
  <c r="AI79" i="4"/>
  <c r="U80" i="9"/>
  <c r="Y80" i="9" s="1"/>
  <c r="AE80" i="9" s="1"/>
  <c r="AK80" i="9" s="1"/>
  <c r="I81" i="9"/>
  <c r="U79" i="11"/>
  <c r="Y79" i="11" s="1"/>
  <c r="I80" i="11"/>
  <c r="AD79" i="10"/>
  <c r="AI79" i="10"/>
  <c r="X81" i="4"/>
  <c r="L76" i="18"/>
  <c r="AC80" i="4"/>
  <c r="AJ78" i="11"/>
  <c r="AO78" i="11"/>
  <c r="AP78" i="11" s="1"/>
  <c r="I82" i="12"/>
  <c r="Y78" i="11"/>
  <c r="AL77" i="9"/>
  <c r="AM77" i="9" s="1"/>
  <c r="AG77" i="9"/>
  <c r="AA78" i="12"/>
  <c r="AF78" i="12"/>
  <c r="AL78" i="11"/>
  <c r="M80" i="12"/>
  <c r="U79" i="12"/>
  <c r="Y79" i="12" s="1"/>
  <c r="AE79" i="12" s="1"/>
  <c r="AK79" i="12" s="1"/>
  <c r="AH78" i="9"/>
  <c r="AD78" i="9"/>
  <c r="AI79" i="11"/>
  <c r="O76" i="18"/>
  <c r="AC80" i="11"/>
  <c r="X81" i="11"/>
  <c r="U79" i="10"/>
  <c r="Y79" i="10" s="1"/>
  <c r="AE79" i="10" s="1"/>
  <c r="AK79" i="10" s="1"/>
  <c r="I80" i="10"/>
  <c r="C75" i="18"/>
  <c r="Z79" i="9"/>
  <c r="AF78" i="4"/>
  <c r="AG78" i="4" s="1"/>
  <c r="AD78" i="4"/>
  <c r="X81" i="12"/>
  <c r="P76" i="18"/>
  <c r="AC80" i="12"/>
  <c r="W80" i="11"/>
  <c r="AB79" i="11"/>
  <c r="AH79" i="11" s="1"/>
  <c r="AN79" i="11" s="1"/>
  <c r="AJ78" i="4"/>
  <c r="AO78" i="4"/>
  <c r="AP78" i="4" s="1"/>
  <c r="AC81" i="9"/>
  <c r="M77" i="18"/>
  <c r="X82" i="9"/>
  <c r="Z79" i="4"/>
  <c r="AF79" i="4" s="1"/>
  <c r="B75" i="18"/>
  <c r="AA78" i="10"/>
  <c r="AF78" i="10"/>
  <c r="AD79" i="12"/>
  <c r="AI79" i="12"/>
  <c r="D75" i="18"/>
  <c r="Z79" i="10"/>
  <c r="AI80" i="9"/>
  <c r="E75" i="18"/>
  <c r="Z79" i="11"/>
  <c r="AG77" i="11"/>
  <c r="AK77" i="11"/>
  <c r="AM77" i="11" s="1"/>
  <c r="AG77" i="12"/>
  <c r="AL77" i="12"/>
  <c r="AM77" i="12" s="1"/>
  <c r="W82" i="12"/>
  <c r="AB81" i="12"/>
  <c r="AH81" i="12" s="1"/>
  <c r="AN81" i="12" s="1"/>
  <c r="F75" i="18"/>
  <c r="Z79" i="12"/>
  <c r="W80" i="9"/>
  <c r="AB79" i="9"/>
  <c r="AA78" i="9"/>
  <c r="AF78" i="9"/>
  <c r="J81" i="10"/>
  <c r="V80" i="10"/>
  <c r="M81" i="4"/>
  <c r="U80" i="4"/>
  <c r="Y80" i="4" s="1"/>
  <c r="AE80" i="4" s="1"/>
  <c r="AK80" i="4" s="1"/>
  <c r="J81" i="9"/>
  <c r="V80" i="9"/>
  <c r="AL78" i="4"/>
  <c r="AM78" i="4" s="1"/>
  <c r="P81" i="4"/>
  <c r="V80" i="4"/>
  <c r="J81" i="12"/>
  <c r="V80" i="12"/>
  <c r="J85" i="4"/>
  <c r="I85" i="4"/>
  <c r="J81" i="11"/>
  <c r="V80" i="11"/>
  <c r="AA79" i="4" l="1"/>
  <c r="AN78" i="9"/>
  <c r="AP78" i="9" s="1"/>
  <c r="AJ78" i="9"/>
  <c r="W81" i="11"/>
  <c r="AB80" i="11"/>
  <c r="AH80" i="11" s="1"/>
  <c r="AN80" i="11" s="1"/>
  <c r="AO80" i="9"/>
  <c r="AA79" i="9"/>
  <c r="AF79" i="9"/>
  <c r="I83" i="12"/>
  <c r="AB81" i="10"/>
  <c r="AH81" i="10" s="1"/>
  <c r="AN81" i="10" s="1"/>
  <c r="W82" i="10"/>
  <c r="Z80" i="4"/>
  <c r="AA80" i="4" s="1"/>
  <c r="B76" i="18"/>
  <c r="AA79" i="10"/>
  <c r="AF79" i="10"/>
  <c r="W83" i="12"/>
  <c r="AB82" i="12"/>
  <c r="AH82" i="12" s="1"/>
  <c r="AN82" i="12" s="1"/>
  <c r="E76" i="18"/>
  <c r="Z80" i="11"/>
  <c r="AD80" i="12"/>
  <c r="AI80" i="12"/>
  <c r="U81" i="9"/>
  <c r="I82" i="9"/>
  <c r="X82" i="11"/>
  <c r="AC81" i="11"/>
  <c r="O77" i="18"/>
  <c r="AI80" i="4"/>
  <c r="AI81" i="9"/>
  <c r="AG78" i="12"/>
  <c r="AL78" i="12"/>
  <c r="AM78" i="12" s="1"/>
  <c r="AL78" i="10"/>
  <c r="AM78" i="10" s="1"/>
  <c r="AG78" i="10"/>
  <c r="AI80" i="11"/>
  <c r="AD80" i="11"/>
  <c r="AA79" i="12"/>
  <c r="AF79" i="12"/>
  <c r="M81" i="12"/>
  <c r="U80" i="12"/>
  <c r="Y80" i="12" s="1"/>
  <c r="AE80" i="12" s="1"/>
  <c r="AK80" i="12" s="1"/>
  <c r="L77" i="18"/>
  <c r="X82" i="4"/>
  <c r="AC81" i="4"/>
  <c r="F76" i="18"/>
  <c r="Z80" i="12"/>
  <c r="U80" i="10"/>
  <c r="I81" i="10"/>
  <c r="AJ79" i="12"/>
  <c r="AO79" i="12"/>
  <c r="AP79" i="12" s="1"/>
  <c r="C76" i="18"/>
  <c r="Z80" i="9"/>
  <c r="AL78" i="9"/>
  <c r="AM78" i="9" s="1"/>
  <c r="AG78" i="9"/>
  <c r="AD79" i="11"/>
  <c r="AO79" i="10"/>
  <c r="AP79" i="10" s="1"/>
  <c r="AJ79" i="10"/>
  <c r="AB80" i="9"/>
  <c r="W81" i="9"/>
  <c r="X82" i="12"/>
  <c r="AC81" i="12"/>
  <c r="P77" i="18"/>
  <c r="AA79" i="11"/>
  <c r="AF79" i="11"/>
  <c r="D76" i="18"/>
  <c r="Z80" i="10"/>
  <c r="AJ79" i="11"/>
  <c r="AO79" i="11"/>
  <c r="AP79" i="11" s="1"/>
  <c r="AO79" i="4"/>
  <c r="AP79" i="4" s="1"/>
  <c r="AJ79" i="4"/>
  <c r="AI80" i="10"/>
  <c r="AD80" i="10"/>
  <c r="N77" i="18"/>
  <c r="AC81" i="10"/>
  <c r="X82" i="10"/>
  <c r="AA78" i="11"/>
  <c r="AE78" i="11"/>
  <c r="AH79" i="9"/>
  <c r="AD79" i="9"/>
  <c r="M78" i="18"/>
  <c r="X83" i="9"/>
  <c r="AC82" i="9"/>
  <c r="U80" i="11"/>
  <c r="Y80" i="11" s="1"/>
  <c r="I81" i="11"/>
  <c r="W81" i="4"/>
  <c r="AB80" i="4"/>
  <c r="AH80" i="4" s="1"/>
  <c r="AN80" i="4" s="1"/>
  <c r="J82" i="12"/>
  <c r="V81" i="12"/>
  <c r="J82" i="11"/>
  <c r="V81" i="11"/>
  <c r="J86" i="4"/>
  <c r="J82" i="9"/>
  <c r="V81" i="9"/>
  <c r="I86" i="4"/>
  <c r="J82" i="10"/>
  <c r="V81" i="10"/>
  <c r="M82" i="4"/>
  <c r="U81" i="4"/>
  <c r="Y81" i="4" s="1"/>
  <c r="AE81" i="4" s="1"/>
  <c r="AK81" i="4" s="1"/>
  <c r="P82" i="4"/>
  <c r="V81" i="4"/>
  <c r="AG79" i="4"/>
  <c r="AL79" i="4"/>
  <c r="AM79" i="4" s="1"/>
  <c r="AD80" i="4" l="1"/>
  <c r="AI82" i="9"/>
  <c r="AD81" i="10"/>
  <c r="AI81" i="10"/>
  <c r="AA80" i="9"/>
  <c r="AF80" i="9"/>
  <c r="AO81" i="9"/>
  <c r="Z81" i="4"/>
  <c r="AF81" i="4" s="1"/>
  <c r="B77" i="18"/>
  <c r="AA80" i="11"/>
  <c r="AF80" i="11"/>
  <c r="P78" i="18"/>
  <c r="X83" i="12"/>
  <c r="AC82" i="12"/>
  <c r="D77" i="18"/>
  <c r="Z81" i="10"/>
  <c r="AJ80" i="11"/>
  <c r="AO80" i="11"/>
  <c r="AP80" i="11" s="1"/>
  <c r="AL79" i="9"/>
  <c r="AM79" i="9" s="1"/>
  <c r="AG79" i="9"/>
  <c r="AN79" i="9"/>
  <c r="AP79" i="9" s="1"/>
  <c r="AJ79" i="9"/>
  <c r="AB82" i="10"/>
  <c r="AH82" i="10" s="1"/>
  <c r="AN82" i="10" s="1"/>
  <c r="W83" i="10"/>
  <c r="AO80" i="4"/>
  <c r="AP80" i="4" s="1"/>
  <c r="AJ80" i="4"/>
  <c r="AF80" i="4"/>
  <c r="E77" i="18"/>
  <c r="Z81" i="11"/>
  <c r="AO80" i="10"/>
  <c r="AP80" i="10" s="1"/>
  <c r="AJ80" i="10"/>
  <c r="M82" i="12"/>
  <c r="U81" i="12"/>
  <c r="Y81" i="12" s="1"/>
  <c r="AE81" i="12" s="1"/>
  <c r="AK81" i="12" s="1"/>
  <c r="AI81" i="12"/>
  <c r="AD81" i="12"/>
  <c r="C77" i="18"/>
  <c r="Z81" i="9"/>
  <c r="F77" i="18"/>
  <c r="Z81" i="12"/>
  <c r="U81" i="10"/>
  <c r="Y81" i="10" s="1"/>
  <c r="AE81" i="10" s="1"/>
  <c r="AK81" i="10" s="1"/>
  <c r="I82" i="10"/>
  <c r="AI81" i="11"/>
  <c r="W82" i="9"/>
  <c r="AB81" i="9"/>
  <c r="Y80" i="10"/>
  <c r="AE80" i="10" s="1"/>
  <c r="AK80" i="10" s="1"/>
  <c r="O78" i="18"/>
  <c r="AC82" i="11"/>
  <c r="X83" i="11"/>
  <c r="W84" i="12"/>
  <c r="AB83" i="12"/>
  <c r="AH83" i="12" s="1"/>
  <c r="AN83" i="12" s="1"/>
  <c r="AC83" i="9"/>
  <c r="X84" i="9"/>
  <c r="M79" i="18"/>
  <c r="AA80" i="12"/>
  <c r="AF80" i="12"/>
  <c r="W82" i="11"/>
  <c r="AB81" i="11"/>
  <c r="AH81" i="11" s="1"/>
  <c r="AN81" i="11" s="1"/>
  <c r="AG79" i="12"/>
  <c r="AL79" i="12"/>
  <c r="AM79" i="12" s="1"/>
  <c r="AL79" i="10"/>
  <c r="AM79" i="10" s="1"/>
  <c r="AG79" i="10"/>
  <c r="AH80" i="9"/>
  <c r="AD80" i="9"/>
  <c r="U82" i="9"/>
  <c r="Y82" i="9" s="1"/>
  <c r="I83" i="9"/>
  <c r="AF80" i="10"/>
  <c r="AI81" i="4"/>
  <c r="Y81" i="9"/>
  <c r="AE81" i="9" s="1"/>
  <c r="AK81" i="9" s="1"/>
  <c r="W82" i="4"/>
  <c r="AB81" i="4"/>
  <c r="AH81" i="4" s="1"/>
  <c r="AN81" i="4" s="1"/>
  <c r="AC82" i="10"/>
  <c r="X83" i="10"/>
  <c r="N78" i="18"/>
  <c r="I84" i="12"/>
  <c r="L78" i="18"/>
  <c r="AC82" i="4"/>
  <c r="X83" i="4"/>
  <c r="AJ80" i="12"/>
  <c r="AO80" i="12"/>
  <c r="AP80" i="12" s="1"/>
  <c r="U81" i="11"/>
  <c r="Y81" i="11" s="1"/>
  <c r="I82" i="11"/>
  <c r="AK78" i="11"/>
  <c r="AM78" i="11" s="1"/>
  <c r="AG78" i="11"/>
  <c r="AL79" i="11"/>
  <c r="AE79" i="11"/>
  <c r="AK79" i="11" s="1"/>
  <c r="P83" i="4"/>
  <c r="V82" i="4"/>
  <c r="J83" i="10"/>
  <c r="V82" i="10"/>
  <c r="I87" i="4"/>
  <c r="M83" i="4"/>
  <c r="U82" i="4"/>
  <c r="Y82" i="4" s="1"/>
  <c r="AE82" i="4" s="1"/>
  <c r="AK82" i="4" s="1"/>
  <c r="AG80" i="4"/>
  <c r="AL80" i="4"/>
  <c r="AM80" i="4" s="1"/>
  <c r="J87" i="4"/>
  <c r="J83" i="11"/>
  <c r="V82" i="11"/>
  <c r="J83" i="9"/>
  <c r="V82" i="9"/>
  <c r="J83" i="12"/>
  <c r="V82" i="12"/>
  <c r="AA81" i="4" l="1"/>
  <c r="AA81" i="12"/>
  <c r="AF81" i="12"/>
  <c r="AA81" i="10"/>
  <c r="AF81" i="10"/>
  <c r="I85" i="12"/>
  <c r="W83" i="11"/>
  <c r="AB82" i="11"/>
  <c r="AH82" i="11" s="1"/>
  <c r="AN82" i="11" s="1"/>
  <c r="M80" i="18"/>
  <c r="AC84" i="9"/>
  <c r="X85" i="9"/>
  <c r="AI83" i="9"/>
  <c r="AO81" i="12"/>
  <c r="AP81" i="12" s="1"/>
  <c r="AJ81" i="12"/>
  <c r="AB84" i="12"/>
  <c r="AH84" i="12" s="1"/>
  <c r="AN84" i="12" s="1"/>
  <c r="W85" i="12"/>
  <c r="AI82" i="4"/>
  <c r="AA81" i="9"/>
  <c r="AF81" i="9"/>
  <c r="AE82" i="9"/>
  <c r="AK82" i="9" s="1"/>
  <c r="O79" i="18"/>
  <c r="X84" i="11"/>
  <c r="AC83" i="11"/>
  <c r="AA81" i="11"/>
  <c r="AF81" i="11"/>
  <c r="U82" i="10"/>
  <c r="Y82" i="10" s="1"/>
  <c r="AE82" i="10" s="1"/>
  <c r="AK82" i="10" s="1"/>
  <c r="I83" i="10"/>
  <c r="X84" i="4"/>
  <c r="L79" i="18"/>
  <c r="AC83" i="4"/>
  <c r="C78" i="18"/>
  <c r="Z82" i="9"/>
  <c r="M83" i="12"/>
  <c r="U82" i="12"/>
  <c r="Y82" i="12" s="1"/>
  <c r="AE82" i="12" s="1"/>
  <c r="AK82" i="12" s="1"/>
  <c r="E78" i="18"/>
  <c r="Z82" i="11"/>
  <c r="AO81" i="4"/>
  <c r="AP81" i="4" s="1"/>
  <c r="AJ81" i="4"/>
  <c r="AL80" i="9"/>
  <c r="AM80" i="9" s="1"/>
  <c r="AG80" i="9"/>
  <c r="AB82" i="4"/>
  <c r="AH82" i="4" s="1"/>
  <c r="AN82" i="4" s="1"/>
  <c r="W83" i="4"/>
  <c r="AG80" i="10"/>
  <c r="AL80" i="10"/>
  <c r="AM80" i="10" s="1"/>
  <c r="AA80" i="10"/>
  <c r="AJ81" i="10"/>
  <c r="AO81" i="10"/>
  <c r="AP81" i="10" s="1"/>
  <c r="AL80" i="12"/>
  <c r="AM80" i="12" s="1"/>
  <c r="AG80" i="12"/>
  <c r="AI82" i="12"/>
  <c r="AD82" i="12"/>
  <c r="F78" i="18"/>
  <c r="Z82" i="12"/>
  <c r="P79" i="18"/>
  <c r="AC83" i="12"/>
  <c r="X84" i="12"/>
  <c r="AD82" i="11"/>
  <c r="AI82" i="11"/>
  <c r="AG79" i="11"/>
  <c r="U83" i="9"/>
  <c r="Y83" i="9" s="1"/>
  <c r="I84" i="9"/>
  <c r="AH81" i="9"/>
  <c r="AD81" i="9"/>
  <c r="AB83" i="10"/>
  <c r="AH83" i="10" s="1"/>
  <c r="AN83" i="10" s="1"/>
  <c r="W84" i="10"/>
  <c r="AD81" i="4"/>
  <c r="AM79" i="11"/>
  <c r="AB82" i="9"/>
  <c r="W83" i="9"/>
  <c r="AC83" i="10"/>
  <c r="X84" i="10"/>
  <c r="N79" i="18"/>
  <c r="AD82" i="10"/>
  <c r="AI82" i="10"/>
  <c r="AL80" i="11"/>
  <c r="AM80" i="11" s="1"/>
  <c r="AG80" i="11"/>
  <c r="U82" i="11"/>
  <c r="Y82" i="11" s="1"/>
  <c r="I83" i="11"/>
  <c r="AD81" i="11"/>
  <c r="AO82" i="9"/>
  <c r="Z82" i="4"/>
  <c r="AA82" i="4" s="1"/>
  <c r="B78" i="18"/>
  <c r="D78" i="18"/>
  <c r="Z82" i="10"/>
  <c r="AN80" i="9"/>
  <c r="AP80" i="9" s="1"/>
  <c r="AJ80" i="9"/>
  <c r="AO81" i="11"/>
  <c r="AP81" i="11" s="1"/>
  <c r="AJ81" i="11"/>
  <c r="AE80" i="11"/>
  <c r="AK80" i="11" s="1"/>
  <c r="J84" i="12"/>
  <c r="V83" i="12"/>
  <c r="J84" i="10"/>
  <c r="V83" i="10"/>
  <c r="J84" i="11"/>
  <c r="V83" i="11"/>
  <c r="J88" i="4"/>
  <c r="M84" i="4"/>
  <c r="U83" i="4"/>
  <c r="Y83" i="4" s="1"/>
  <c r="AE83" i="4" s="1"/>
  <c r="AK83" i="4" s="1"/>
  <c r="J84" i="9"/>
  <c r="V83" i="9"/>
  <c r="I88" i="4"/>
  <c r="AL81" i="4"/>
  <c r="AM81" i="4" s="1"/>
  <c r="AG81" i="4"/>
  <c r="P84" i="4"/>
  <c r="V83" i="4"/>
  <c r="AE83" i="9" l="1"/>
  <c r="AK83" i="9" s="1"/>
  <c r="AD82" i="4"/>
  <c r="X86" i="9"/>
  <c r="AC85" i="9"/>
  <c r="M81" i="18"/>
  <c r="AI83" i="12"/>
  <c r="AD83" i="12"/>
  <c r="AA82" i="12"/>
  <c r="AF82" i="12"/>
  <c r="AJ82" i="12"/>
  <c r="AO82" i="12"/>
  <c r="AP82" i="12" s="1"/>
  <c r="L80" i="18"/>
  <c r="X85" i="4"/>
  <c r="AC84" i="4"/>
  <c r="AI84" i="9"/>
  <c r="M84" i="12"/>
  <c r="U83" i="12"/>
  <c r="Y83" i="12" s="1"/>
  <c r="AA82" i="9"/>
  <c r="AF82" i="9"/>
  <c r="AO83" i="9"/>
  <c r="X85" i="10"/>
  <c r="AC84" i="10"/>
  <c r="N80" i="18"/>
  <c r="U83" i="10"/>
  <c r="I84" i="10"/>
  <c r="AA82" i="11"/>
  <c r="AF82" i="11"/>
  <c r="P80" i="18"/>
  <c r="X85" i="12"/>
  <c r="AC84" i="12"/>
  <c r="D79" i="18"/>
  <c r="Z83" i="10"/>
  <c r="AO82" i="10"/>
  <c r="AP82" i="10" s="1"/>
  <c r="AJ82" i="10"/>
  <c r="AF82" i="4"/>
  <c r="AL82" i="4" s="1"/>
  <c r="AM82" i="4" s="1"/>
  <c r="AL81" i="9"/>
  <c r="AM81" i="9" s="1"/>
  <c r="AG81" i="9"/>
  <c r="U84" i="9"/>
  <c r="I85" i="9"/>
  <c r="F79" i="18"/>
  <c r="Z83" i="12"/>
  <c r="AF83" i="12" s="1"/>
  <c r="AI83" i="4"/>
  <c r="W84" i="11"/>
  <c r="AB83" i="11"/>
  <c r="AH83" i="11" s="1"/>
  <c r="AN83" i="11" s="1"/>
  <c r="AJ82" i="4"/>
  <c r="AO82" i="4"/>
  <c r="AP82" i="4" s="1"/>
  <c r="E79" i="18"/>
  <c r="Z83" i="11"/>
  <c r="U83" i="11"/>
  <c r="I84" i="11"/>
  <c r="AI83" i="10"/>
  <c r="AD83" i="10"/>
  <c r="AH82" i="9"/>
  <c r="AD82" i="9"/>
  <c r="AL81" i="11"/>
  <c r="I86" i="12"/>
  <c r="AB85" i="12"/>
  <c r="AH85" i="12" s="1"/>
  <c r="AN85" i="12" s="1"/>
  <c r="W86" i="12"/>
  <c r="AN81" i="9"/>
  <c r="AP81" i="9" s="1"/>
  <c r="AJ81" i="9"/>
  <c r="AJ82" i="11"/>
  <c r="AO82" i="11"/>
  <c r="AP82" i="11" s="1"/>
  <c r="AI83" i="11"/>
  <c r="AD83" i="11"/>
  <c r="AL81" i="10"/>
  <c r="AM81" i="10" s="1"/>
  <c r="AG81" i="10"/>
  <c r="W84" i="9"/>
  <c r="AB83" i="9"/>
  <c r="AB84" i="10"/>
  <c r="AH84" i="10" s="1"/>
  <c r="AN84" i="10" s="1"/>
  <c r="W85" i="10"/>
  <c r="O80" i="18"/>
  <c r="X85" i="11"/>
  <c r="AC84" i="11"/>
  <c r="Z83" i="4"/>
  <c r="AA83" i="4" s="1"/>
  <c r="B79" i="18"/>
  <c r="C79" i="18"/>
  <c r="Z83" i="9"/>
  <c r="AE81" i="11"/>
  <c r="AK81" i="11" s="1"/>
  <c r="AM81" i="11" s="1"/>
  <c r="W84" i="4"/>
  <c r="AB83" i="4"/>
  <c r="AH83" i="4" s="1"/>
  <c r="AN83" i="4" s="1"/>
  <c r="AG81" i="12"/>
  <c r="AL81" i="12"/>
  <c r="AM81" i="12" s="1"/>
  <c r="AA82" i="10"/>
  <c r="AF82" i="10"/>
  <c r="P85" i="4"/>
  <c r="V84" i="4"/>
  <c r="I89" i="4"/>
  <c r="J85" i="9"/>
  <c r="V84" i="9"/>
  <c r="J89" i="4"/>
  <c r="J85" i="10"/>
  <c r="V84" i="10"/>
  <c r="M85" i="4"/>
  <c r="U84" i="4"/>
  <c r="Y84" i="4" s="1"/>
  <c r="AE84" i="4" s="1"/>
  <c r="AK84" i="4" s="1"/>
  <c r="J85" i="11"/>
  <c r="V84" i="11"/>
  <c r="J85" i="12"/>
  <c r="V84" i="12"/>
  <c r="AD83" i="4" l="1"/>
  <c r="AG82" i="4"/>
  <c r="AL83" i="12"/>
  <c r="AL82" i="9"/>
  <c r="AM82" i="9" s="1"/>
  <c r="AG82" i="9"/>
  <c r="AA83" i="12"/>
  <c r="AE83" i="12"/>
  <c r="AK83" i="12" s="1"/>
  <c r="D80" i="18"/>
  <c r="Z84" i="10"/>
  <c r="AI84" i="4"/>
  <c r="C80" i="18"/>
  <c r="Z84" i="9"/>
  <c r="AA83" i="10"/>
  <c r="AF83" i="10"/>
  <c r="AC85" i="4"/>
  <c r="X86" i="4"/>
  <c r="L81" i="18"/>
  <c r="AE82" i="11"/>
  <c r="AK82" i="11" s="1"/>
  <c r="AB85" i="10"/>
  <c r="AH85" i="10" s="1"/>
  <c r="AN85" i="10" s="1"/>
  <c r="W86" i="10"/>
  <c r="AO83" i="10"/>
  <c r="AP83" i="10" s="1"/>
  <c r="AJ83" i="10"/>
  <c r="N81" i="18"/>
  <c r="AC85" i="10"/>
  <c r="X86" i="10"/>
  <c r="U85" i="9"/>
  <c r="I86" i="9"/>
  <c r="I87" i="12"/>
  <c r="AI84" i="11"/>
  <c r="U84" i="11"/>
  <c r="Y84" i="11" s="1"/>
  <c r="I85" i="11"/>
  <c r="AI84" i="12"/>
  <c r="AD84" i="12"/>
  <c r="F80" i="18"/>
  <c r="Z84" i="12"/>
  <c r="AF84" i="12" s="1"/>
  <c r="W85" i="4"/>
  <c r="AB84" i="4"/>
  <c r="AH84" i="4" s="1"/>
  <c r="AN84" i="4" s="1"/>
  <c r="O81" i="18"/>
  <c r="X86" i="11"/>
  <c r="AC85" i="11"/>
  <c r="AN82" i="9"/>
  <c r="AP82" i="9" s="1"/>
  <c r="AJ82" i="9"/>
  <c r="Y83" i="11"/>
  <c r="AA83" i="11" s="1"/>
  <c r="P81" i="18"/>
  <c r="X86" i="12"/>
  <c r="AC85" i="12"/>
  <c r="AA83" i="9"/>
  <c r="AF83" i="9"/>
  <c r="Y85" i="9"/>
  <c r="Y84" i="9"/>
  <c r="AE84" i="9" s="1"/>
  <c r="AK84" i="9" s="1"/>
  <c r="AB84" i="9"/>
  <c r="W85" i="9"/>
  <c r="AF83" i="11"/>
  <c r="AG82" i="12"/>
  <c r="AL82" i="12"/>
  <c r="AM82" i="12" s="1"/>
  <c r="AG81" i="11"/>
  <c r="AL82" i="11"/>
  <c r="U84" i="10"/>
  <c r="Y84" i="10" s="1"/>
  <c r="I85" i="10"/>
  <c r="AO83" i="12"/>
  <c r="AP83" i="12" s="1"/>
  <c r="AJ83" i="12"/>
  <c r="AB86" i="12"/>
  <c r="AH86" i="12" s="1"/>
  <c r="AN86" i="12" s="1"/>
  <c r="W87" i="12"/>
  <c r="M85" i="12"/>
  <c r="U84" i="12"/>
  <c r="Y84" i="12" s="1"/>
  <c r="AJ83" i="11"/>
  <c r="AO83" i="11"/>
  <c r="AP83" i="11" s="1"/>
  <c r="Y83" i="10"/>
  <c r="AE83" i="10" s="1"/>
  <c r="AK83" i="10" s="1"/>
  <c r="E80" i="18"/>
  <c r="Z84" i="11"/>
  <c r="AL82" i="10"/>
  <c r="AM82" i="10" s="1"/>
  <c r="AG82" i="10"/>
  <c r="W85" i="11"/>
  <c r="AB84" i="11"/>
  <c r="AH84" i="11" s="1"/>
  <c r="AN84" i="11" s="1"/>
  <c r="AI85" i="9"/>
  <c r="AO84" i="9"/>
  <c r="AF83" i="4"/>
  <c r="AL83" i="4" s="1"/>
  <c r="AM83" i="4" s="1"/>
  <c r="AH83" i="9"/>
  <c r="AD83" i="9"/>
  <c r="Z84" i="4"/>
  <c r="AA84" i="4" s="1"/>
  <c r="B80" i="18"/>
  <c r="AJ83" i="4"/>
  <c r="AO83" i="4"/>
  <c r="AP83" i="4" s="1"/>
  <c r="AD84" i="10"/>
  <c r="AI84" i="10"/>
  <c r="M82" i="18"/>
  <c r="X87" i="9"/>
  <c r="AC86" i="9"/>
  <c r="J86" i="10"/>
  <c r="V85" i="10"/>
  <c r="I90" i="4"/>
  <c r="J86" i="12"/>
  <c r="V85" i="12"/>
  <c r="J86" i="9"/>
  <c r="V85" i="9"/>
  <c r="J86" i="11"/>
  <c r="V85" i="11"/>
  <c r="M86" i="4"/>
  <c r="U85" i="4"/>
  <c r="Y85" i="4" s="1"/>
  <c r="AE85" i="4" s="1"/>
  <c r="AK85" i="4" s="1"/>
  <c r="J90" i="4"/>
  <c r="AG83" i="4"/>
  <c r="P86" i="4"/>
  <c r="V85" i="4"/>
  <c r="AG82" i="11" l="1"/>
  <c r="AD84" i="11"/>
  <c r="AM82" i="11"/>
  <c r="U85" i="10"/>
  <c r="Y85" i="10" s="1"/>
  <c r="I86" i="10"/>
  <c r="AI85" i="11"/>
  <c r="W87" i="10"/>
  <c r="AB86" i="10"/>
  <c r="AH86" i="10" s="1"/>
  <c r="AN86" i="10" s="1"/>
  <c r="X87" i="11"/>
  <c r="O82" i="18"/>
  <c r="AC86" i="11"/>
  <c r="E81" i="18"/>
  <c r="Z85" i="11"/>
  <c r="X87" i="4"/>
  <c r="AC86" i="4"/>
  <c r="L82" i="18"/>
  <c r="AA84" i="11"/>
  <c r="AF84" i="11"/>
  <c r="AL84" i="11" s="1"/>
  <c r="W86" i="9"/>
  <c r="AB85" i="9"/>
  <c r="U85" i="11"/>
  <c r="Y85" i="11" s="1"/>
  <c r="I86" i="11"/>
  <c r="AD84" i="4"/>
  <c r="AJ84" i="4"/>
  <c r="AO84" i="4"/>
  <c r="AP84" i="4" s="1"/>
  <c r="AA84" i="10"/>
  <c r="AF84" i="10"/>
  <c r="AO85" i="9"/>
  <c r="AB85" i="4"/>
  <c r="AH85" i="4" s="1"/>
  <c r="AN85" i="4" s="1"/>
  <c r="W86" i="4"/>
  <c r="AA84" i="9"/>
  <c r="AF84" i="9"/>
  <c r="X88" i="9"/>
  <c r="AC87" i="9"/>
  <c r="M83" i="18"/>
  <c r="AJ84" i="11"/>
  <c r="AO84" i="11"/>
  <c r="AP84" i="11" s="1"/>
  <c r="AL83" i="9"/>
  <c r="AM83" i="9" s="1"/>
  <c r="AG83" i="9"/>
  <c r="I88" i="12"/>
  <c r="AN83" i="9"/>
  <c r="AP83" i="9" s="1"/>
  <c r="AJ83" i="9"/>
  <c r="AF84" i="4"/>
  <c r="AL84" i="4" s="1"/>
  <c r="AM84" i="4" s="1"/>
  <c r="C81" i="18"/>
  <c r="Z85" i="9"/>
  <c r="AG83" i="10"/>
  <c r="AL83" i="10"/>
  <c r="AM83" i="10" s="1"/>
  <c r="F81" i="18"/>
  <c r="Z85" i="12"/>
  <c r="AO84" i="12"/>
  <c r="AP84" i="12" s="1"/>
  <c r="AJ84" i="12"/>
  <c r="AE84" i="10"/>
  <c r="AK84" i="10" s="1"/>
  <c r="AA84" i="12"/>
  <c r="AE84" i="12"/>
  <c r="AK84" i="12" s="1"/>
  <c r="AI85" i="12"/>
  <c r="AD85" i="12"/>
  <c r="U86" i="9"/>
  <c r="Y86" i="9" s="1"/>
  <c r="I87" i="9"/>
  <c r="AI85" i="4"/>
  <c r="AD85" i="4"/>
  <c r="AB85" i="11"/>
  <c r="AH85" i="11" s="1"/>
  <c r="AN85" i="11" s="1"/>
  <c r="W86" i="11"/>
  <c r="AL83" i="11"/>
  <c r="M86" i="12"/>
  <c r="U85" i="12"/>
  <c r="Y85" i="12" s="1"/>
  <c r="P82" i="18"/>
  <c r="AC86" i="12"/>
  <c r="X87" i="12"/>
  <c r="AL84" i="12"/>
  <c r="D81" i="18"/>
  <c r="Z85" i="10"/>
  <c r="AB87" i="12"/>
  <c r="AH87" i="12" s="1"/>
  <c r="AN87" i="12" s="1"/>
  <c r="W88" i="12"/>
  <c r="N82" i="18"/>
  <c r="X87" i="10"/>
  <c r="AC86" i="10"/>
  <c r="AH84" i="9"/>
  <c r="AD84" i="9"/>
  <c r="AI86" i="9"/>
  <c r="AE85" i="9"/>
  <c r="AK85" i="9" s="1"/>
  <c r="AJ84" i="10"/>
  <c r="AO84" i="10"/>
  <c r="AP84" i="10" s="1"/>
  <c r="Z85" i="4"/>
  <c r="B81" i="18"/>
  <c r="AE83" i="11"/>
  <c r="AK83" i="11" s="1"/>
  <c r="AM83" i="11" s="1"/>
  <c r="AD85" i="10"/>
  <c r="AI85" i="10"/>
  <c r="AG83" i="12"/>
  <c r="AM83" i="12"/>
  <c r="J87" i="9"/>
  <c r="V86" i="9"/>
  <c r="M87" i="4"/>
  <c r="U86" i="4"/>
  <c r="Y86" i="4" s="1"/>
  <c r="AE86" i="4" s="1"/>
  <c r="AK86" i="4" s="1"/>
  <c r="J87" i="11"/>
  <c r="V86" i="11"/>
  <c r="I91" i="4"/>
  <c r="P87" i="4"/>
  <c r="V86" i="4"/>
  <c r="J91" i="4"/>
  <c r="J87" i="12"/>
  <c r="V86" i="12"/>
  <c r="J87" i="10"/>
  <c r="V86" i="10"/>
  <c r="AG84" i="4" l="1"/>
  <c r="AF85" i="4"/>
  <c r="AA85" i="4"/>
  <c r="U86" i="11"/>
  <c r="Y86" i="11" s="1"/>
  <c r="I87" i="11"/>
  <c r="AN84" i="9"/>
  <c r="AP84" i="9" s="1"/>
  <c r="AJ84" i="9"/>
  <c r="AL84" i="9"/>
  <c r="AM84" i="9" s="1"/>
  <c r="AG84" i="9"/>
  <c r="U87" i="9"/>
  <c r="Y87" i="9" s="1"/>
  <c r="I88" i="9"/>
  <c r="AA85" i="10"/>
  <c r="AF85" i="10"/>
  <c r="AA85" i="11"/>
  <c r="AF85" i="11"/>
  <c r="AI86" i="11"/>
  <c r="AH85" i="9"/>
  <c r="AD85" i="9"/>
  <c r="AD86" i="10"/>
  <c r="AI86" i="10"/>
  <c r="AE85" i="11"/>
  <c r="AK85" i="11" s="1"/>
  <c r="AG84" i="12"/>
  <c r="AA85" i="12"/>
  <c r="AF85" i="12"/>
  <c r="X88" i="11"/>
  <c r="O83" i="18"/>
  <c r="AC87" i="11"/>
  <c r="AI86" i="4"/>
  <c r="AC87" i="4"/>
  <c r="X88" i="4"/>
  <c r="L83" i="18"/>
  <c r="AO85" i="10"/>
  <c r="AP85" i="10" s="1"/>
  <c r="AJ85" i="10"/>
  <c r="I89" i="12"/>
  <c r="AI87" i="9"/>
  <c r="AB87" i="10"/>
  <c r="AH87" i="10" s="1"/>
  <c r="AN87" i="10" s="1"/>
  <c r="W88" i="10"/>
  <c r="X88" i="10"/>
  <c r="AC87" i="10"/>
  <c r="N83" i="18"/>
  <c r="AE85" i="12"/>
  <c r="AK85" i="12" s="1"/>
  <c r="AG84" i="10"/>
  <c r="AL84" i="10"/>
  <c r="AM84" i="10" s="1"/>
  <c r="AD85" i="11"/>
  <c r="E82" i="18"/>
  <c r="Z86" i="11"/>
  <c r="AO85" i="12"/>
  <c r="AP85" i="12" s="1"/>
  <c r="AJ85" i="12"/>
  <c r="AB88" i="12"/>
  <c r="AH88" i="12" s="1"/>
  <c r="AN88" i="12" s="1"/>
  <c r="W89" i="12"/>
  <c r="F82" i="18"/>
  <c r="Z86" i="12"/>
  <c r="M87" i="12"/>
  <c r="U86" i="12"/>
  <c r="Y86" i="12" s="1"/>
  <c r="AA85" i="9"/>
  <c r="AF85" i="9"/>
  <c r="AJ85" i="11"/>
  <c r="AO85" i="11"/>
  <c r="AP85" i="11" s="1"/>
  <c r="AO86" i="9"/>
  <c r="AO85" i="4"/>
  <c r="AP85" i="4" s="1"/>
  <c r="AJ85" i="4"/>
  <c r="AB86" i="9"/>
  <c r="W87" i="9"/>
  <c r="AB86" i="4"/>
  <c r="AH86" i="4" s="1"/>
  <c r="AN86" i="4" s="1"/>
  <c r="W87" i="4"/>
  <c r="P83" i="18"/>
  <c r="AC87" i="12"/>
  <c r="X88" i="12"/>
  <c r="AI86" i="12"/>
  <c r="AD86" i="12"/>
  <c r="U86" i="10"/>
  <c r="Y86" i="10" s="1"/>
  <c r="I87" i="10"/>
  <c r="AE86" i="9"/>
  <c r="AK86" i="9" s="1"/>
  <c r="C82" i="18"/>
  <c r="Z86" i="9"/>
  <c r="X89" i="9"/>
  <c r="AC88" i="9"/>
  <c r="M84" i="18"/>
  <c r="D82" i="18"/>
  <c r="Z86" i="10"/>
  <c r="AF86" i="10" s="1"/>
  <c r="AM84" i="12"/>
  <c r="Z86" i="4"/>
  <c r="AF86" i="4" s="1"/>
  <c r="B82" i="18"/>
  <c r="AE85" i="10"/>
  <c r="AK85" i="10" s="1"/>
  <c r="AG83" i="11"/>
  <c r="AB86" i="11"/>
  <c r="AH86" i="11" s="1"/>
  <c r="AN86" i="11" s="1"/>
  <c r="W87" i="11"/>
  <c r="AE84" i="11"/>
  <c r="J92" i="4"/>
  <c r="J88" i="10"/>
  <c r="V87" i="10"/>
  <c r="J88" i="12"/>
  <c r="V87" i="12"/>
  <c r="J88" i="11"/>
  <c r="V87" i="11"/>
  <c r="M88" i="4"/>
  <c r="U87" i="4"/>
  <c r="Y87" i="4" s="1"/>
  <c r="AE87" i="4" s="1"/>
  <c r="AK87" i="4" s="1"/>
  <c r="P88" i="4"/>
  <c r="V87" i="4"/>
  <c r="I92" i="4"/>
  <c r="AL85" i="4"/>
  <c r="AM85" i="4" s="1"/>
  <c r="AG85" i="4"/>
  <c r="J88" i="9"/>
  <c r="V87" i="9"/>
  <c r="AD86" i="11" l="1"/>
  <c r="AD86" i="4"/>
  <c r="AH86" i="9"/>
  <c r="AD86" i="9"/>
  <c r="AL85" i="12"/>
  <c r="AM85" i="12" s="1"/>
  <c r="AG85" i="12"/>
  <c r="E83" i="18"/>
  <c r="Z87" i="11"/>
  <c r="M88" i="12"/>
  <c r="U87" i="12"/>
  <c r="Y87" i="12" s="1"/>
  <c r="AA86" i="12"/>
  <c r="AF86" i="12"/>
  <c r="AG85" i="10"/>
  <c r="AL85" i="10"/>
  <c r="AM85" i="10" s="1"/>
  <c r="AA86" i="10"/>
  <c r="AE86" i="10"/>
  <c r="AK86" i="10" s="1"/>
  <c r="W88" i="9"/>
  <c r="AB87" i="9"/>
  <c r="AL86" i="10"/>
  <c r="AE86" i="12"/>
  <c r="AK86" i="12" s="1"/>
  <c r="D83" i="18"/>
  <c r="Z87" i="10"/>
  <c r="X89" i="4"/>
  <c r="AC88" i="4"/>
  <c r="L84" i="18"/>
  <c r="U88" i="9"/>
  <c r="Y88" i="9" s="1"/>
  <c r="I89" i="9"/>
  <c r="AI87" i="4"/>
  <c r="AD87" i="4"/>
  <c r="AE87" i="9"/>
  <c r="AK87" i="9" s="1"/>
  <c r="W89" i="10"/>
  <c r="AB88" i="10"/>
  <c r="AH88" i="10" s="1"/>
  <c r="AN88" i="10" s="1"/>
  <c r="U87" i="10"/>
  <c r="Y87" i="10" s="1"/>
  <c r="I88" i="10"/>
  <c r="AB89" i="12"/>
  <c r="AH89" i="12" s="1"/>
  <c r="AN89" i="12" s="1"/>
  <c r="W90" i="12"/>
  <c r="AG84" i="11"/>
  <c r="AK84" i="11"/>
  <c r="AM84" i="11" s="1"/>
  <c r="AC88" i="12"/>
  <c r="X89" i="12"/>
  <c r="P84" i="18"/>
  <c r="AJ86" i="4"/>
  <c r="AO86" i="4"/>
  <c r="AP86" i="4" s="1"/>
  <c r="AO86" i="10"/>
  <c r="AP86" i="10" s="1"/>
  <c r="AJ86" i="10"/>
  <c r="AI88" i="9"/>
  <c r="I90" i="12"/>
  <c r="AL85" i="11"/>
  <c r="AM85" i="11" s="1"/>
  <c r="AG85" i="11"/>
  <c r="AA86" i="4"/>
  <c r="AA86" i="11"/>
  <c r="AF86" i="11"/>
  <c r="X89" i="10"/>
  <c r="N84" i="18"/>
  <c r="AC88" i="10"/>
  <c r="AJ86" i="11"/>
  <c r="AO86" i="11"/>
  <c r="AP86" i="11" s="1"/>
  <c r="AA86" i="9"/>
  <c r="AF86" i="9"/>
  <c r="AI87" i="11"/>
  <c r="F83" i="18"/>
  <c r="Z87" i="12"/>
  <c r="W88" i="11"/>
  <c r="AB87" i="11"/>
  <c r="AH87" i="11" s="1"/>
  <c r="AN87" i="11" s="1"/>
  <c r="AD87" i="12"/>
  <c r="AI87" i="12"/>
  <c r="AB87" i="4"/>
  <c r="AH87" i="4" s="1"/>
  <c r="AN87" i="4" s="1"/>
  <c r="W88" i="4"/>
  <c r="U87" i="11"/>
  <c r="Y87" i="11" s="1"/>
  <c r="I88" i="11"/>
  <c r="AI87" i="10"/>
  <c r="AD87" i="10"/>
  <c r="Z87" i="4"/>
  <c r="B83" i="18"/>
  <c r="AN85" i="9"/>
  <c r="AP85" i="9" s="1"/>
  <c r="AJ85" i="9"/>
  <c r="AC89" i="9"/>
  <c r="M85" i="18"/>
  <c r="X90" i="9"/>
  <c r="AL85" i="9"/>
  <c r="AM85" i="9" s="1"/>
  <c r="AG85" i="9"/>
  <c r="AO87" i="9"/>
  <c r="AO86" i="12"/>
  <c r="AP86" i="12" s="1"/>
  <c r="AJ86" i="12"/>
  <c r="C83" i="18"/>
  <c r="Z87" i="9"/>
  <c r="O84" i="18"/>
  <c r="X89" i="11"/>
  <c r="AC88" i="11"/>
  <c r="AE86" i="11"/>
  <c r="AK86" i="11" s="1"/>
  <c r="P89" i="4"/>
  <c r="V88" i="4"/>
  <c r="J89" i="9"/>
  <c r="V88" i="9"/>
  <c r="I93" i="4"/>
  <c r="J89" i="11"/>
  <c r="V88" i="11"/>
  <c r="AF87" i="4"/>
  <c r="AA87" i="4"/>
  <c r="M89" i="4"/>
  <c r="U88" i="4"/>
  <c r="Y88" i="4" s="1"/>
  <c r="AE88" i="4" s="1"/>
  <c r="AK88" i="4" s="1"/>
  <c r="J89" i="12"/>
  <c r="V88" i="12"/>
  <c r="J89" i="10"/>
  <c r="V88" i="10"/>
  <c r="AG86" i="4"/>
  <c r="AL86" i="4"/>
  <c r="AM86" i="4" s="1"/>
  <c r="J93" i="4"/>
  <c r="AM86" i="10" l="1"/>
  <c r="AD87" i="11"/>
  <c r="AG86" i="10"/>
  <c r="AE87" i="12"/>
  <c r="AK87" i="12" s="1"/>
  <c r="P85" i="18"/>
  <c r="AC89" i="12"/>
  <c r="X90" i="12"/>
  <c r="E84" i="18"/>
  <c r="Z88" i="11"/>
  <c r="AL86" i="11"/>
  <c r="AM86" i="11" s="1"/>
  <c r="AG86" i="11"/>
  <c r="AE87" i="10"/>
  <c r="AK87" i="10" s="1"/>
  <c r="AL86" i="12"/>
  <c r="AM86" i="12" s="1"/>
  <c r="AG86" i="12"/>
  <c r="AA87" i="10"/>
  <c r="AF87" i="10"/>
  <c r="AJ87" i="11"/>
  <c r="AO87" i="11"/>
  <c r="AP87" i="11" s="1"/>
  <c r="U88" i="10"/>
  <c r="Y88" i="10" s="1"/>
  <c r="AE88" i="10" s="1"/>
  <c r="AK88" i="10" s="1"/>
  <c r="I89" i="10"/>
  <c r="W90" i="10"/>
  <c r="AB89" i="10"/>
  <c r="AH89" i="10" s="1"/>
  <c r="AN89" i="10" s="1"/>
  <c r="F84" i="18"/>
  <c r="Z88" i="12"/>
  <c r="AD88" i="12"/>
  <c r="AI88" i="12"/>
  <c r="W89" i="9"/>
  <c r="AB88" i="9"/>
  <c r="AE87" i="11"/>
  <c r="M89" i="12"/>
  <c r="U88" i="12"/>
  <c r="Y88" i="12" s="1"/>
  <c r="AE88" i="12" s="1"/>
  <c r="AK88" i="12" s="1"/>
  <c r="AO87" i="10"/>
  <c r="AP87" i="10" s="1"/>
  <c r="AJ87" i="10"/>
  <c r="O85" i="18"/>
  <c r="X90" i="11"/>
  <c r="AC89" i="11"/>
  <c r="AB88" i="4"/>
  <c r="AH88" i="4" s="1"/>
  <c r="AN88" i="4" s="1"/>
  <c r="W89" i="4"/>
  <c r="AO87" i="4"/>
  <c r="AP87" i="4" s="1"/>
  <c r="AJ87" i="4"/>
  <c r="AA87" i="11"/>
  <c r="AF87" i="11"/>
  <c r="AL87" i="11" s="1"/>
  <c r="AA87" i="12"/>
  <c r="AF87" i="12"/>
  <c r="X91" i="9"/>
  <c r="AC90" i="9"/>
  <c r="M86" i="18"/>
  <c r="AL86" i="9"/>
  <c r="AM86" i="9" s="1"/>
  <c r="AG86" i="9"/>
  <c r="AI89" i="9"/>
  <c r="U88" i="11"/>
  <c r="Y88" i="11" s="1"/>
  <c r="I89" i="11"/>
  <c r="AI88" i="11"/>
  <c r="I91" i="12"/>
  <c r="U89" i="9"/>
  <c r="Y89" i="9" s="1"/>
  <c r="I90" i="9"/>
  <c r="Z88" i="4"/>
  <c r="AF88" i="4" s="1"/>
  <c r="B84" i="18"/>
  <c r="AA87" i="9"/>
  <c r="AF87" i="9"/>
  <c r="AO87" i="12"/>
  <c r="AP87" i="12" s="1"/>
  <c r="AJ87" i="12"/>
  <c r="AE88" i="9"/>
  <c r="AK88" i="9" s="1"/>
  <c r="AD88" i="10"/>
  <c r="AI88" i="10"/>
  <c r="W91" i="12"/>
  <c r="AB90" i="12"/>
  <c r="AH90" i="12" s="1"/>
  <c r="AN90" i="12" s="1"/>
  <c r="AH87" i="9"/>
  <c r="AD87" i="9"/>
  <c r="C84" i="18"/>
  <c r="Z88" i="9"/>
  <c r="AC89" i="10"/>
  <c r="X90" i="10"/>
  <c r="N85" i="18"/>
  <c r="AO88" i="9"/>
  <c r="AI88" i="4"/>
  <c r="D84" i="18"/>
  <c r="Z88" i="10"/>
  <c r="AB88" i="11"/>
  <c r="AH88" i="11" s="1"/>
  <c r="AN88" i="11" s="1"/>
  <c r="W89" i="11"/>
  <c r="L85" i="18"/>
  <c r="X90" i="4"/>
  <c r="AC89" i="4"/>
  <c r="AN86" i="9"/>
  <c r="AP86" i="9" s="1"/>
  <c r="AJ86" i="9"/>
  <c r="J90" i="10"/>
  <c r="V89" i="10"/>
  <c r="AL87" i="4"/>
  <c r="AM87" i="4" s="1"/>
  <c r="AG87" i="4"/>
  <c r="J90" i="9"/>
  <c r="V89" i="9"/>
  <c r="J90" i="12"/>
  <c r="V89" i="12"/>
  <c r="J90" i="11"/>
  <c r="V89" i="11"/>
  <c r="I94" i="4"/>
  <c r="J94" i="4"/>
  <c r="M90" i="4"/>
  <c r="U89" i="4"/>
  <c r="Y89" i="4" s="1"/>
  <c r="AE89" i="4" s="1"/>
  <c r="AK89" i="4" s="1"/>
  <c r="P90" i="4"/>
  <c r="V89" i="4"/>
  <c r="AD88" i="4" l="1"/>
  <c r="AJ88" i="12"/>
  <c r="AO88" i="12"/>
  <c r="AP88" i="12" s="1"/>
  <c r="W91" i="10"/>
  <c r="AB90" i="10"/>
  <c r="AH90" i="10" s="1"/>
  <c r="AN90" i="10" s="1"/>
  <c r="AO88" i="4"/>
  <c r="AP88" i="4" s="1"/>
  <c r="AJ88" i="4"/>
  <c r="AA88" i="4"/>
  <c r="U90" i="9"/>
  <c r="Y90" i="9" s="1"/>
  <c r="I91" i="9"/>
  <c r="AC90" i="4"/>
  <c r="L86" i="18"/>
  <c r="X91" i="4"/>
  <c r="AL87" i="10"/>
  <c r="AM87" i="10" s="1"/>
  <c r="AG87" i="10"/>
  <c r="AE89" i="9"/>
  <c r="AK89" i="9" s="1"/>
  <c r="AI89" i="11"/>
  <c r="AD89" i="11"/>
  <c r="W92" i="12"/>
  <c r="AB91" i="12"/>
  <c r="AH91" i="12" s="1"/>
  <c r="AN91" i="12" s="1"/>
  <c r="AL87" i="9"/>
  <c r="AM87" i="9" s="1"/>
  <c r="AG87" i="9"/>
  <c r="O86" i="18"/>
  <c r="AC90" i="11"/>
  <c r="X91" i="11"/>
  <c r="AL87" i="12"/>
  <c r="AM87" i="12" s="1"/>
  <c r="AG87" i="12"/>
  <c r="AA88" i="10"/>
  <c r="AF88" i="10"/>
  <c r="C85" i="18"/>
  <c r="Z89" i="9"/>
  <c r="AD88" i="11"/>
  <c r="AJ88" i="11"/>
  <c r="AO88" i="11"/>
  <c r="AP88" i="11" s="1"/>
  <c r="AJ88" i="10"/>
  <c r="AO88" i="10"/>
  <c r="AP88" i="10" s="1"/>
  <c r="AB89" i="4"/>
  <c r="AH89" i="4" s="1"/>
  <c r="AN89" i="4" s="1"/>
  <c r="W90" i="4"/>
  <c r="E85" i="18"/>
  <c r="Z89" i="11"/>
  <c r="I92" i="12"/>
  <c r="AF88" i="11"/>
  <c r="AL88" i="11" s="1"/>
  <c r="AI89" i="4"/>
  <c r="AI90" i="9"/>
  <c r="Z89" i="4"/>
  <c r="B85" i="18"/>
  <c r="F85" i="18"/>
  <c r="Z89" i="12"/>
  <c r="N86" i="18"/>
  <c r="AC90" i="10"/>
  <c r="X91" i="10"/>
  <c r="AA88" i="11"/>
  <c r="AE88" i="11"/>
  <c r="M90" i="12"/>
  <c r="U89" i="12"/>
  <c r="Y89" i="12" s="1"/>
  <c r="AE89" i="12" s="1"/>
  <c r="AK89" i="12" s="1"/>
  <c r="U89" i="10"/>
  <c r="Y89" i="10" s="1"/>
  <c r="AE89" i="10" s="1"/>
  <c r="AK89" i="10" s="1"/>
  <c r="I90" i="10"/>
  <c r="AG87" i="11"/>
  <c r="AK87" i="11"/>
  <c r="AM87" i="11" s="1"/>
  <c r="P86" i="18"/>
  <c r="AC90" i="12"/>
  <c r="X91" i="12"/>
  <c r="AA88" i="12"/>
  <c r="AF88" i="12"/>
  <c r="X92" i="9"/>
  <c r="M87" i="18"/>
  <c r="AC91" i="9"/>
  <c r="W90" i="11"/>
  <c r="AB89" i="11"/>
  <c r="AH89" i="11" s="1"/>
  <c r="AN89" i="11" s="1"/>
  <c r="AA88" i="9"/>
  <c r="AF88" i="9"/>
  <c r="AN87" i="9"/>
  <c r="AP87" i="9" s="1"/>
  <c r="AJ87" i="9"/>
  <c r="AO89" i="9"/>
  <c r="AH88" i="9"/>
  <c r="AD88" i="9"/>
  <c r="AD89" i="12"/>
  <c r="AI89" i="12"/>
  <c r="AD89" i="10"/>
  <c r="AI89" i="10"/>
  <c r="U89" i="11"/>
  <c r="Y89" i="11" s="1"/>
  <c r="AE89" i="11" s="1"/>
  <c r="AK89" i="11" s="1"/>
  <c r="I90" i="11"/>
  <c r="D85" i="18"/>
  <c r="Z89" i="10"/>
  <c r="W90" i="9"/>
  <c r="AB89" i="9"/>
  <c r="P91" i="4"/>
  <c r="V90" i="4"/>
  <c r="J95" i="4"/>
  <c r="J91" i="11"/>
  <c r="V90" i="11"/>
  <c r="AF89" i="4"/>
  <c r="AA89" i="4"/>
  <c r="M91" i="4"/>
  <c r="U90" i="4"/>
  <c r="Y90" i="4" s="1"/>
  <c r="AE90" i="4" s="1"/>
  <c r="AK90" i="4" s="1"/>
  <c r="AG88" i="4"/>
  <c r="AL88" i="4"/>
  <c r="AM88" i="4" s="1"/>
  <c r="J91" i="12"/>
  <c r="V90" i="12"/>
  <c r="I95" i="4"/>
  <c r="J91" i="9"/>
  <c r="V90" i="9"/>
  <c r="J91" i="10"/>
  <c r="V90" i="10"/>
  <c r="AO89" i="12" l="1"/>
  <c r="AP89" i="12" s="1"/>
  <c r="AJ89" i="12"/>
  <c r="AJ89" i="10"/>
  <c r="AO89" i="10"/>
  <c r="AP89" i="10" s="1"/>
  <c r="AA89" i="9"/>
  <c r="AF89" i="9"/>
  <c r="AI90" i="4"/>
  <c r="D86" i="18"/>
  <c r="Z90" i="10"/>
  <c r="C86" i="18"/>
  <c r="Z90" i="9"/>
  <c r="AF90" i="9" s="1"/>
  <c r="W93" i="12"/>
  <c r="AB92" i="12"/>
  <c r="AH92" i="12" s="1"/>
  <c r="AN92" i="12" s="1"/>
  <c r="AJ89" i="11"/>
  <c r="AO89" i="11"/>
  <c r="AP89" i="11" s="1"/>
  <c r="AA89" i="12"/>
  <c r="AF89" i="12"/>
  <c r="U91" i="9"/>
  <c r="Y91" i="9" s="1"/>
  <c r="I92" i="9"/>
  <c r="AG88" i="10"/>
  <c r="AL88" i="10"/>
  <c r="AM88" i="10" s="1"/>
  <c r="AE90" i="9"/>
  <c r="AK90" i="9" s="1"/>
  <c r="AI90" i="12"/>
  <c r="AD90" i="12"/>
  <c r="L87" i="18"/>
  <c r="AC91" i="4"/>
  <c r="X92" i="4"/>
  <c r="N87" i="18"/>
  <c r="X92" i="10"/>
  <c r="AC91" i="10"/>
  <c r="AI91" i="9"/>
  <c r="M91" i="12"/>
  <c r="U90" i="12"/>
  <c r="Y90" i="12" s="1"/>
  <c r="AE90" i="12" s="1"/>
  <c r="AK90" i="12" s="1"/>
  <c r="AD90" i="10"/>
  <c r="AI90" i="10"/>
  <c r="U90" i="11"/>
  <c r="Y90" i="11" s="1"/>
  <c r="AE90" i="11" s="1"/>
  <c r="AK90" i="11" s="1"/>
  <c r="I91" i="11"/>
  <c r="E86" i="18"/>
  <c r="Z90" i="11"/>
  <c r="M88" i="18"/>
  <c r="AC92" i="9"/>
  <c r="X93" i="9"/>
  <c r="AB90" i="4"/>
  <c r="AH90" i="4" s="1"/>
  <c r="AN90" i="4" s="1"/>
  <c r="W91" i="4"/>
  <c r="AG88" i="11"/>
  <c r="AK88" i="11"/>
  <c r="AM88" i="11" s="1"/>
  <c r="Z90" i="4"/>
  <c r="AA90" i="4" s="1"/>
  <c r="B86" i="18"/>
  <c r="W91" i="9"/>
  <c r="AB90" i="9"/>
  <c r="AO89" i="4"/>
  <c r="AP89" i="4" s="1"/>
  <c r="AJ89" i="4"/>
  <c r="X92" i="11"/>
  <c r="O87" i="18"/>
  <c r="AC91" i="11"/>
  <c r="AB91" i="10"/>
  <c r="AH91" i="10" s="1"/>
  <c r="AN91" i="10" s="1"/>
  <c r="W92" i="10"/>
  <c r="U90" i="10"/>
  <c r="Y90" i="10" s="1"/>
  <c r="AE90" i="10" s="1"/>
  <c r="AK90" i="10" s="1"/>
  <c r="I91" i="10"/>
  <c r="F86" i="18"/>
  <c r="Z90" i="12"/>
  <c r="AN88" i="9"/>
  <c r="AP88" i="9" s="1"/>
  <c r="AJ88" i="9"/>
  <c r="AO90" i="9"/>
  <c r="AD89" i="4"/>
  <c r="AI90" i="11"/>
  <c r="I93" i="12"/>
  <c r="AA89" i="11"/>
  <c r="AF89" i="11"/>
  <c r="AL88" i="9"/>
  <c r="AM88" i="9" s="1"/>
  <c r="AG88" i="9"/>
  <c r="W91" i="11"/>
  <c r="AB90" i="11"/>
  <c r="AH90" i="11" s="1"/>
  <c r="AN90" i="11" s="1"/>
  <c r="AH89" i="9"/>
  <c r="AD89" i="9"/>
  <c r="AL88" i="12"/>
  <c r="AM88" i="12" s="1"/>
  <c r="AG88" i="12"/>
  <c r="AA89" i="10"/>
  <c r="AF89" i="10"/>
  <c r="AC91" i="12"/>
  <c r="P87" i="18"/>
  <c r="X92" i="12"/>
  <c r="J92" i="9"/>
  <c r="V91" i="9"/>
  <c r="J92" i="10"/>
  <c r="V91" i="10"/>
  <c r="I96" i="4"/>
  <c r="M92" i="4"/>
  <c r="U91" i="4"/>
  <c r="Y91" i="4" s="1"/>
  <c r="AE91" i="4" s="1"/>
  <c r="AK91" i="4" s="1"/>
  <c r="AG89" i="4"/>
  <c r="AL89" i="4"/>
  <c r="AM89" i="4" s="1"/>
  <c r="J92" i="12"/>
  <c r="V91" i="12"/>
  <c r="J92" i="11"/>
  <c r="V91" i="11"/>
  <c r="J96" i="4"/>
  <c r="P92" i="4"/>
  <c r="V91" i="4"/>
  <c r="AF90" i="4" l="1"/>
  <c r="AD90" i="4"/>
  <c r="AA90" i="11"/>
  <c r="AF90" i="11"/>
  <c r="U91" i="11"/>
  <c r="Y91" i="11" s="1"/>
  <c r="I92" i="11"/>
  <c r="E87" i="18"/>
  <c r="Z91" i="11"/>
  <c r="AF91" i="11" s="1"/>
  <c r="W94" i="12"/>
  <c r="AB93" i="12"/>
  <c r="AH93" i="12" s="1"/>
  <c r="AN93" i="12" s="1"/>
  <c r="AA90" i="10"/>
  <c r="AF90" i="10"/>
  <c r="F87" i="18"/>
  <c r="Z91" i="12"/>
  <c r="W92" i="9"/>
  <c r="AB91" i="9"/>
  <c r="W92" i="11"/>
  <c r="AB91" i="11"/>
  <c r="AH91" i="11" s="1"/>
  <c r="AN91" i="11" s="1"/>
  <c r="AJ90" i="4"/>
  <c r="AO90" i="4"/>
  <c r="AP90" i="4" s="1"/>
  <c r="W93" i="10"/>
  <c r="AB92" i="10"/>
  <c r="AH92" i="10" s="1"/>
  <c r="AN92" i="10" s="1"/>
  <c r="AI91" i="11"/>
  <c r="O88" i="18"/>
  <c r="AC92" i="11"/>
  <c r="X93" i="11"/>
  <c r="AL90" i="9"/>
  <c r="AG90" i="9"/>
  <c r="AH90" i="9"/>
  <c r="AD90" i="9"/>
  <c r="M92" i="12"/>
  <c r="U91" i="12"/>
  <c r="Y91" i="12" s="1"/>
  <c r="AE91" i="12" s="1"/>
  <c r="AK91" i="12" s="1"/>
  <c r="AO91" i="9"/>
  <c r="AC92" i="10"/>
  <c r="N88" i="18"/>
  <c r="X93" i="10"/>
  <c r="I94" i="12"/>
  <c r="AI91" i="4"/>
  <c r="AB91" i="4"/>
  <c r="AH91" i="4" s="1"/>
  <c r="AN91" i="4" s="1"/>
  <c r="W92" i="4"/>
  <c r="D87" i="18"/>
  <c r="Z91" i="10"/>
  <c r="C87" i="18"/>
  <c r="Z91" i="9"/>
  <c r="AF91" i="9" s="1"/>
  <c r="AJ90" i="12"/>
  <c r="AO90" i="12"/>
  <c r="AP90" i="12" s="1"/>
  <c r="AL89" i="10"/>
  <c r="AM89" i="10" s="1"/>
  <c r="AG89" i="10"/>
  <c r="Z91" i="4"/>
  <c r="B87" i="18"/>
  <c r="U91" i="10"/>
  <c r="Y91" i="10" s="1"/>
  <c r="AE91" i="10" s="1"/>
  <c r="AK91" i="10" s="1"/>
  <c r="I92" i="10"/>
  <c r="AM90" i="9"/>
  <c r="AA90" i="12"/>
  <c r="AF90" i="12"/>
  <c r="AE91" i="9"/>
  <c r="AK91" i="9" s="1"/>
  <c r="AN89" i="9"/>
  <c r="AP89" i="9" s="1"/>
  <c r="AJ89" i="9"/>
  <c r="AI91" i="10"/>
  <c r="AD91" i="10"/>
  <c r="AL89" i="11"/>
  <c r="AM89" i="11" s="1"/>
  <c r="AG89" i="11"/>
  <c r="AL89" i="9"/>
  <c r="AM89" i="9" s="1"/>
  <c r="AG89" i="9"/>
  <c r="P88" i="18"/>
  <c r="AC92" i="12"/>
  <c r="X93" i="12"/>
  <c r="AI92" i="9"/>
  <c r="AA90" i="9"/>
  <c r="AI91" i="12"/>
  <c r="AD91" i="12"/>
  <c r="U92" i="9"/>
  <c r="Y92" i="9" s="1"/>
  <c r="I93" i="9"/>
  <c r="AO90" i="10"/>
  <c r="AP90" i="10" s="1"/>
  <c r="AJ90" i="10"/>
  <c r="AG89" i="12"/>
  <c r="AL89" i="12"/>
  <c r="AM89" i="12" s="1"/>
  <c r="L88" i="18"/>
  <c r="X93" i="4"/>
  <c r="AC92" i="4"/>
  <c r="AD90" i="11"/>
  <c r="AO90" i="11"/>
  <c r="AP90" i="11" s="1"/>
  <c r="AJ90" i="11"/>
  <c r="AC93" i="9"/>
  <c r="M89" i="18"/>
  <c r="X94" i="9"/>
  <c r="J93" i="11"/>
  <c r="V92" i="11"/>
  <c r="P93" i="4"/>
  <c r="V92" i="4"/>
  <c r="AG90" i="4"/>
  <c r="AL90" i="4"/>
  <c r="AM90" i="4" s="1"/>
  <c r="I97" i="4"/>
  <c r="J93" i="12"/>
  <c r="V92" i="12"/>
  <c r="M93" i="4"/>
  <c r="U92" i="4"/>
  <c r="Y92" i="4" s="1"/>
  <c r="AE92" i="4" s="1"/>
  <c r="AK92" i="4" s="1"/>
  <c r="AA91" i="4"/>
  <c r="AF91" i="4"/>
  <c r="J97" i="4"/>
  <c r="J93" i="10"/>
  <c r="V92" i="10"/>
  <c r="J93" i="9"/>
  <c r="V92" i="9"/>
  <c r="AA91" i="9" l="1"/>
  <c r="AD91" i="11"/>
  <c r="L89" i="18"/>
  <c r="X94" i="4"/>
  <c r="AC93" i="4"/>
  <c r="AB92" i="4"/>
  <c r="AH92" i="4" s="1"/>
  <c r="AN92" i="4" s="1"/>
  <c r="W93" i="4"/>
  <c r="AO91" i="10"/>
  <c r="AP91" i="10" s="1"/>
  <c r="AJ91" i="10"/>
  <c r="AG90" i="10"/>
  <c r="AL90" i="10"/>
  <c r="AM90" i="10" s="1"/>
  <c r="F88" i="18"/>
  <c r="Z92" i="12"/>
  <c r="AA91" i="12"/>
  <c r="AF91" i="12"/>
  <c r="AO91" i="12"/>
  <c r="AP91" i="12" s="1"/>
  <c r="AJ91" i="12"/>
  <c r="M93" i="12"/>
  <c r="U92" i="12"/>
  <c r="Y92" i="12" s="1"/>
  <c r="AE92" i="12" s="1"/>
  <c r="AK92" i="12" s="1"/>
  <c r="AJ91" i="4"/>
  <c r="AO91" i="4"/>
  <c r="AP91" i="4" s="1"/>
  <c r="Z92" i="4"/>
  <c r="AA92" i="4" s="1"/>
  <c r="B88" i="18"/>
  <c r="U92" i="10"/>
  <c r="Y92" i="10" s="1"/>
  <c r="AE92" i="10" s="1"/>
  <c r="AK92" i="10" s="1"/>
  <c r="I93" i="10"/>
  <c r="AB94" i="12"/>
  <c r="AH94" i="12" s="1"/>
  <c r="AN94" i="12" s="1"/>
  <c r="W95" i="12"/>
  <c r="N89" i="18"/>
  <c r="X94" i="10"/>
  <c r="AC93" i="10"/>
  <c r="AO92" i="9"/>
  <c r="AN90" i="9"/>
  <c r="AP90" i="9" s="1"/>
  <c r="AJ90" i="9"/>
  <c r="AL91" i="11"/>
  <c r="AO91" i="11"/>
  <c r="AP91" i="11" s="1"/>
  <c r="AJ91" i="11"/>
  <c r="D88" i="18"/>
  <c r="Z92" i="10"/>
  <c r="AD92" i="10"/>
  <c r="AI92" i="10"/>
  <c r="AE92" i="9"/>
  <c r="AK92" i="9" s="1"/>
  <c r="X94" i="12"/>
  <c r="P89" i="18"/>
  <c r="AC93" i="12"/>
  <c r="AD91" i="4"/>
  <c r="AB92" i="9"/>
  <c r="W93" i="9"/>
  <c r="X95" i="9"/>
  <c r="AC94" i="9"/>
  <c r="M90" i="18"/>
  <c r="AI92" i="12"/>
  <c r="AD92" i="12"/>
  <c r="U92" i="11"/>
  <c r="Y92" i="11" s="1"/>
  <c r="I93" i="11"/>
  <c r="AD92" i="4"/>
  <c r="AI92" i="4"/>
  <c r="AL91" i="9"/>
  <c r="AM91" i="9" s="1"/>
  <c r="AG91" i="9"/>
  <c r="X94" i="11"/>
  <c r="O89" i="18"/>
  <c r="AC93" i="11"/>
  <c r="AA91" i="11"/>
  <c r="AE91" i="11"/>
  <c r="AK91" i="11" s="1"/>
  <c r="AM91" i="11" s="1"/>
  <c r="W94" i="10"/>
  <c r="AB93" i="10"/>
  <c r="AH93" i="10" s="1"/>
  <c r="AN93" i="10" s="1"/>
  <c r="W93" i="11"/>
  <c r="AB92" i="11"/>
  <c r="AH92" i="11" s="1"/>
  <c r="AN92" i="11" s="1"/>
  <c r="AL90" i="12"/>
  <c r="AM90" i="12" s="1"/>
  <c r="AG90" i="12"/>
  <c r="AH91" i="9"/>
  <c r="AD91" i="9"/>
  <c r="U93" i="9"/>
  <c r="Y93" i="9" s="1"/>
  <c r="I94" i="9"/>
  <c r="AI93" i="9"/>
  <c r="AI92" i="11"/>
  <c r="AD92" i="11"/>
  <c r="AL90" i="11"/>
  <c r="AM90" i="11" s="1"/>
  <c r="AG90" i="11"/>
  <c r="C88" i="18"/>
  <c r="Z92" i="9"/>
  <c r="I95" i="12"/>
  <c r="E88" i="18"/>
  <c r="Z92" i="11"/>
  <c r="AA91" i="10"/>
  <c r="AF91" i="10"/>
  <c r="AL91" i="4"/>
  <c r="AM91" i="4" s="1"/>
  <c r="AG91" i="4"/>
  <c r="J94" i="9"/>
  <c r="V93" i="9"/>
  <c r="J98" i="4"/>
  <c r="J94" i="10"/>
  <c r="V93" i="10"/>
  <c r="I98" i="4"/>
  <c r="M94" i="4"/>
  <c r="U93" i="4"/>
  <c r="Y93" i="4" s="1"/>
  <c r="AE93" i="4" s="1"/>
  <c r="AK93" i="4" s="1"/>
  <c r="J94" i="12"/>
  <c r="V93" i="12"/>
  <c r="P94" i="4"/>
  <c r="V93" i="4"/>
  <c r="J94" i="11"/>
  <c r="V93" i="11"/>
  <c r="AB94" i="10" l="1"/>
  <c r="AH94" i="10" s="1"/>
  <c r="AN94" i="10" s="1"/>
  <c r="W95" i="10"/>
  <c r="AC94" i="12"/>
  <c r="X95" i="12"/>
  <c r="P90" i="18"/>
  <c r="U93" i="11"/>
  <c r="Y93" i="11" s="1"/>
  <c r="I94" i="11"/>
  <c r="F89" i="18"/>
  <c r="Z93" i="12"/>
  <c r="AG91" i="12"/>
  <c r="AL91" i="12"/>
  <c r="AM91" i="12" s="1"/>
  <c r="AA92" i="9"/>
  <c r="AF92" i="9"/>
  <c r="AJ92" i="4"/>
  <c r="AO92" i="4"/>
  <c r="AP92" i="4" s="1"/>
  <c r="D89" i="18"/>
  <c r="Z93" i="10"/>
  <c r="E89" i="18"/>
  <c r="Z93" i="11"/>
  <c r="AO92" i="10"/>
  <c r="AP92" i="10" s="1"/>
  <c r="AJ92" i="10"/>
  <c r="M94" i="12"/>
  <c r="U93" i="12"/>
  <c r="Y93" i="12" s="1"/>
  <c r="AE93" i="12" s="1"/>
  <c r="AK93" i="12" s="1"/>
  <c r="AD93" i="10"/>
  <c r="AI93" i="10"/>
  <c r="AA92" i="11"/>
  <c r="AF92" i="11"/>
  <c r="AG91" i="11"/>
  <c r="AJ92" i="12"/>
  <c r="AO92" i="12"/>
  <c r="AP92" i="12" s="1"/>
  <c r="N90" i="18"/>
  <c r="X95" i="10"/>
  <c r="AC94" i="10"/>
  <c r="W94" i="4"/>
  <c r="AB93" i="4"/>
  <c r="AH93" i="4" s="1"/>
  <c r="AN93" i="4" s="1"/>
  <c r="AA92" i="10"/>
  <c r="AF92" i="10"/>
  <c r="AA92" i="12"/>
  <c r="AF92" i="12"/>
  <c r="C89" i="18"/>
  <c r="Z93" i="9"/>
  <c r="I96" i="12"/>
  <c r="Z93" i="4"/>
  <c r="AF93" i="4" s="1"/>
  <c r="B89" i="18"/>
  <c r="O90" i="18"/>
  <c r="X95" i="11"/>
  <c r="AC94" i="11"/>
  <c r="AB93" i="9"/>
  <c r="W94" i="9"/>
  <c r="AB95" i="12"/>
  <c r="AH95" i="12" s="1"/>
  <c r="AN95" i="12" s="1"/>
  <c r="W96" i="12"/>
  <c r="AE92" i="11"/>
  <c r="AK92" i="11" s="1"/>
  <c r="U94" i="9"/>
  <c r="Y94" i="9" s="1"/>
  <c r="I95" i="9"/>
  <c r="AF92" i="4"/>
  <c r="AL92" i="4" s="1"/>
  <c r="AM92" i="4" s="1"/>
  <c r="AN91" i="9"/>
  <c r="AP91" i="9" s="1"/>
  <c r="AJ91" i="9"/>
  <c r="AI94" i="9"/>
  <c r="AH92" i="9"/>
  <c r="AD92" i="9"/>
  <c r="AI93" i="4"/>
  <c r="AD93" i="4"/>
  <c r="AI93" i="11"/>
  <c r="AO93" i="9"/>
  <c r="AC95" i="9"/>
  <c r="X96" i="9"/>
  <c r="M91" i="18"/>
  <c r="AB93" i="11"/>
  <c r="AH93" i="11" s="1"/>
  <c r="AN93" i="11" s="1"/>
  <c r="W94" i="11"/>
  <c r="U93" i="10"/>
  <c r="Y93" i="10" s="1"/>
  <c r="AE93" i="10" s="1"/>
  <c r="AK93" i="10" s="1"/>
  <c r="I94" i="10"/>
  <c r="X95" i="4"/>
  <c r="AC94" i="4"/>
  <c r="L90" i="18"/>
  <c r="AJ92" i="11"/>
  <c r="AO92" i="11"/>
  <c r="AP92" i="11" s="1"/>
  <c r="AE93" i="9"/>
  <c r="AK93" i="9" s="1"/>
  <c r="AG91" i="10"/>
  <c r="AL91" i="10"/>
  <c r="AM91" i="10" s="1"/>
  <c r="AI93" i="12"/>
  <c r="AD93" i="12"/>
  <c r="J95" i="12"/>
  <c r="V94" i="12"/>
  <c r="M95" i="4"/>
  <c r="U94" i="4"/>
  <c r="Y94" i="4" s="1"/>
  <c r="AE94" i="4" s="1"/>
  <c r="AK94" i="4" s="1"/>
  <c r="I99" i="4"/>
  <c r="J95" i="9"/>
  <c r="V94" i="9"/>
  <c r="J95" i="11"/>
  <c r="V94" i="11"/>
  <c r="P95" i="4"/>
  <c r="V94" i="4"/>
  <c r="J95" i="10"/>
  <c r="V94" i="10"/>
  <c r="J99" i="4"/>
  <c r="AA93" i="4" l="1"/>
  <c r="AO93" i="4"/>
  <c r="AP93" i="4" s="1"/>
  <c r="AJ93" i="4"/>
  <c r="AO94" i="9"/>
  <c r="AL92" i="9"/>
  <c r="AM92" i="9" s="1"/>
  <c r="AG92" i="9"/>
  <c r="AE94" i="9"/>
  <c r="AK94" i="9" s="1"/>
  <c r="D90" i="18"/>
  <c r="Z94" i="10"/>
  <c r="AC95" i="10"/>
  <c r="N91" i="18"/>
  <c r="X96" i="10"/>
  <c r="AA93" i="12"/>
  <c r="AF93" i="12"/>
  <c r="AD94" i="10"/>
  <c r="AI94" i="10"/>
  <c r="C90" i="18"/>
  <c r="Z94" i="9"/>
  <c r="W97" i="12"/>
  <c r="AB96" i="12"/>
  <c r="AH96" i="12" s="1"/>
  <c r="AN96" i="12" s="1"/>
  <c r="U94" i="11"/>
  <c r="Y94" i="11" s="1"/>
  <c r="I95" i="11"/>
  <c r="AI94" i="4"/>
  <c r="AG92" i="4"/>
  <c r="AE93" i="11"/>
  <c r="AK93" i="11" s="1"/>
  <c r="AA93" i="9"/>
  <c r="AF93" i="9"/>
  <c r="AA93" i="10"/>
  <c r="AF93" i="10"/>
  <c r="E90" i="18"/>
  <c r="Z94" i="11"/>
  <c r="AC95" i="11"/>
  <c r="O91" i="18"/>
  <c r="X96" i="11"/>
  <c r="AG92" i="12"/>
  <c r="AL92" i="12"/>
  <c r="AM92" i="12" s="1"/>
  <c r="AL92" i="11"/>
  <c r="AM92" i="11" s="1"/>
  <c r="AG92" i="11"/>
  <c r="M92" i="18"/>
  <c r="AC96" i="9"/>
  <c r="X97" i="9"/>
  <c r="AI95" i="9"/>
  <c r="AC95" i="12"/>
  <c r="X96" i="12"/>
  <c r="P91" i="18"/>
  <c r="AJ93" i="12"/>
  <c r="AO93" i="12"/>
  <c r="AP93" i="12" s="1"/>
  <c r="W95" i="9"/>
  <c r="AB94" i="9"/>
  <c r="F90" i="18"/>
  <c r="Z94" i="12"/>
  <c r="AD94" i="12"/>
  <c r="AI94" i="12"/>
  <c r="AA93" i="11"/>
  <c r="AF93" i="11"/>
  <c r="AN92" i="9"/>
  <c r="AP92" i="9" s="1"/>
  <c r="AJ92" i="9"/>
  <c r="AL92" i="10"/>
  <c r="AM92" i="10" s="1"/>
  <c r="AG92" i="10"/>
  <c r="Z94" i="4"/>
  <c r="AF94" i="4" s="1"/>
  <c r="B90" i="18"/>
  <c r="W95" i="4"/>
  <c r="AB94" i="4"/>
  <c r="AH94" i="4" s="1"/>
  <c r="AN94" i="4" s="1"/>
  <c r="AC95" i="4"/>
  <c r="L91" i="18"/>
  <c r="X96" i="4"/>
  <c r="W95" i="11"/>
  <c r="AB94" i="11"/>
  <c r="AH94" i="11" s="1"/>
  <c r="AN94" i="11" s="1"/>
  <c r="AH93" i="9"/>
  <c r="AD93" i="9"/>
  <c r="AI94" i="11"/>
  <c r="AD94" i="11"/>
  <c r="AD93" i="11"/>
  <c r="M95" i="12"/>
  <c r="U94" i="12"/>
  <c r="Y94" i="12" s="1"/>
  <c r="AE94" i="12" s="1"/>
  <c r="AK94" i="12" s="1"/>
  <c r="AB95" i="10"/>
  <c r="AH95" i="10" s="1"/>
  <c r="AN95" i="10" s="1"/>
  <c r="W96" i="10"/>
  <c r="U95" i="9"/>
  <c r="Y95" i="9" s="1"/>
  <c r="AE95" i="9" s="1"/>
  <c r="AK95" i="9" s="1"/>
  <c r="I96" i="9"/>
  <c r="U94" i="10"/>
  <c r="Y94" i="10" s="1"/>
  <c r="AE94" i="10" s="1"/>
  <c r="AK94" i="10" s="1"/>
  <c r="I95" i="10"/>
  <c r="AJ93" i="10"/>
  <c r="AO93" i="10"/>
  <c r="AP93" i="10" s="1"/>
  <c r="AO93" i="11"/>
  <c r="AP93" i="11" s="1"/>
  <c r="AJ93" i="11"/>
  <c r="I97" i="12"/>
  <c r="J100" i="4"/>
  <c r="M96" i="4"/>
  <c r="U95" i="4"/>
  <c r="Y95" i="4" s="1"/>
  <c r="AE95" i="4" s="1"/>
  <c r="AK95" i="4" s="1"/>
  <c r="P96" i="4"/>
  <c r="V95" i="4"/>
  <c r="J96" i="11"/>
  <c r="V95" i="11"/>
  <c r="J96" i="10"/>
  <c r="V95" i="10"/>
  <c r="J96" i="9"/>
  <c r="V95" i="9"/>
  <c r="I100" i="4"/>
  <c r="J96" i="12"/>
  <c r="V95" i="12"/>
  <c r="AL93" i="4"/>
  <c r="AM93" i="4" s="1"/>
  <c r="AG93" i="4"/>
  <c r="AB95" i="4" l="1"/>
  <c r="AH95" i="4" s="1"/>
  <c r="AN95" i="4" s="1"/>
  <c r="W96" i="4"/>
  <c r="AB97" i="12"/>
  <c r="AH97" i="12" s="1"/>
  <c r="AN97" i="12" s="1"/>
  <c r="W98" i="12"/>
  <c r="N92" i="18"/>
  <c r="X97" i="10"/>
  <c r="AC96" i="10"/>
  <c r="M96" i="12"/>
  <c r="U95" i="12"/>
  <c r="Y95" i="12" s="1"/>
  <c r="AE95" i="12" s="1"/>
  <c r="AK95" i="12" s="1"/>
  <c r="AA94" i="12"/>
  <c r="AF94" i="12"/>
  <c r="AD95" i="10"/>
  <c r="AI95" i="10"/>
  <c r="AA94" i="10"/>
  <c r="AF94" i="10"/>
  <c r="X98" i="9"/>
  <c r="M93" i="18"/>
  <c r="AC97" i="9"/>
  <c r="U95" i="10"/>
  <c r="Y95" i="10" s="1"/>
  <c r="I96" i="10"/>
  <c r="D91" i="18"/>
  <c r="Z95" i="10"/>
  <c r="AF95" i="10" s="1"/>
  <c r="AL93" i="11"/>
  <c r="AM93" i="11" s="1"/>
  <c r="AG93" i="11"/>
  <c r="AI96" i="9"/>
  <c r="AA94" i="9"/>
  <c r="AF94" i="9"/>
  <c r="U96" i="9"/>
  <c r="Y96" i="9" s="1"/>
  <c r="AE96" i="9" s="1"/>
  <c r="AK96" i="9" s="1"/>
  <c r="I97" i="9"/>
  <c r="W97" i="10"/>
  <c r="AB96" i="10"/>
  <c r="AH96" i="10" s="1"/>
  <c r="AN96" i="10" s="1"/>
  <c r="AB95" i="9"/>
  <c r="W96" i="9"/>
  <c r="AL93" i="9"/>
  <c r="AM93" i="9" s="1"/>
  <c r="AG93" i="9"/>
  <c r="F91" i="18"/>
  <c r="Z95" i="12"/>
  <c r="Z95" i="4"/>
  <c r="AF95" i="4" s="1"/>
  <c r="B91" i="18"/>
  <c r="AG93" i="10"/>
  <c r="AL93" i="10"/>
  <c r="AM93" i="10" s="1"/>
  <c r="AN93" i="9"/>
  <c r="AP93" i="9" s="1"/>
  <c r="AJ93" i="9"/>
  <c r="O92" i="18"/>
  <c r="AC96" i="11"/>
  <c r="X97" i="11"/>
  <c r="E91" i="18"/>
  <c r="Z95" i="11"/>
  <c r="AJ94" i="11"/>
  <c r="AO94" i="11"/>
  <c r="AP94" i="11" s="1"/>
  <c r="AA94" i="4"/>
  <c r="AB95" i="11"/>
  <c r="AH95" i="11" s="1"/>
  <c r="AN95" i="11" s="1"/>
  <c r="W96" i="11"/>
  <c r="C91" i="18"/>
  <c r="Z95" i="9"/>
  <c r="L92" i="18"/>
  <c r="AC96" i="4"/>
  <c r="X97" i="4"/>
  <c r="AD94" i="4"/>
  <c r="AJ94" i="10"/>
  <c r="AO94" i="10"/>
  <c r="AP94" i="10" s="1"/>
  <c r="AL93" i="12"/>
  <c r="AM93" i="12" s="1"/>
  <c r="AG93" i="12"/>
  <c r="AI95" i="11"/>
  <c r="AI95" i="12"/>
  <c r="AD95" i="12"/>
  <c r="AJ94" i="4"/>
  <c r="AO94" i="4"/>
  <c r="AP94" i="4" s="1"/>
  <c r="AJ94" i="12"/>
  <c r="AO94" i="12"/>
  <c r="AP94" i="12" s="1"/>
  <c r="AA94" i="11"/>
  <c r="AF94" i="11"/>
  <c r="AH94" i="9"/>
  <c r="AD94" i="9"/>
  <c r="I98" i="12"/>
  <c r="X97" i="12"/>
  <c r="P92" i="18"/>
  <c r="AC96" i="12"/>
  <c r="AI95" i="4"/>
  <c r="AD95" i="4"/>
  <c r="AO95" i="9"/>
  <c r="U95" i="11"/>
  <c r="Y95" i="11" s="1"/>
  <c r="I96" i="11"/>
  <c r="AE94" i="11"/>
  <c r="AK94" i="11" s="1"/>
  <c r="I101" i="4"/>
  <c r="J97" i="9"/>
  <c r="V96" i="9"/>
  <c r="J97" i="11"/>
  <c r="V96" i="11"/>
  <c r="M97" i="4"/>
  <c r="U96" i="4"/>
  <c r="Y96" i="4" s="1"/>
  <c r="AE96" i="4" s="1"/>
  <c r="AK96" i="4" s="1"/>
  <c r="J97" i="12"/>
  <c r="V96" i="12"/>
  <c r="J97" i="10"/>
  <c r="V96" i="10"/>
  <c r="J101" i="4"/>
  <c r="P97" i="4"/>
  <c r="V96" i="4"/>
  <c r="AG94" i="4"/>
  <c r="AL94" i="4"/>
  <c r="AM94" i="4" s="1"/>
  <c r="AA95" i="4" l="1"/>
  <c r="AE95" i="11"/>
  <c r="AK95" i="11" s="1"/>
  <c r="AI96" i="12"/>
  <c r="AD96" i="12"/>
  <c r="AN94" i="9"/>
  <c r="AP94" i="9" s="1"/>
  <c r="AJ94" i="9"/>
  <c r="AB96" i="11"/>
  <c r="AH96" i="11" s="1"/>
  <c r="AN96" i="11" s="1"/>
  <c r="W97" i="11"/>
  <c r="AH95" i="9"/>
  <c r="AD95" i="9"/>
  <c r="AG94" i="12"/>
  <c r="AL94" i="12"/>
  <c r="AM94" i="12" s="1"/>
  <c r="AG94" i="10"/>
  <c r="AL94" i="10"/>
  <c r="AM94" i="10" s="1"/>
  <c r="AO95" i="10"/>
  <c r="AP95" i="10" s="1"/>
  <c r="AJ95" i="10"/>
  <c r="F92" i="18"/>
  <c r="Z96" i="12"/>
  <c r="AA95" i="12"/>
  <c r="AF95" i="12"/>
  <c r="AB96" i="9"/>
  <c r="W97" i="9"/>
  <c r="M97" i="12"/>
  <c r="U96" i="12"/>
  <c r="Y96" i="12" s="1"/>
  <c r="AE96" i="12" s="1"/>
  <c r="AK96" i="12" s="1"/>
  <c r="U96" i="10"/>
  <c r="Y96" i="10" s="1"/>
  <c r="I97" i="10"/>
  <c r="D92" i="18"/>
  <c r="Z96" i="10"/>
  <c r="I99" i="12"/>
  <c r="AI96" i="10"/>
  <c r="AD96" i="10"/>
  <c r="P93" i="18"/>
  <c r="AC97" i="12"/>
  <c r="X98" i="12"/>
  <c r="AA95" i="9"/>
  <c r="AF95" i="9"/>
  <c r="E92" i="18"/>
  <c r="Z96" i="11"/>
  <c r="N93" i="18"/>
  <c r="X98" i="10"/>
  <c r="AC97" i="10"/>
  <c r="AG94" i="11"/>
  <c r="AL94" i="11"/>
  <c r="AM94" i="11" s="1"/>
  <c r="C92" i="18"/>
  <c r="Z96" i="9"/>
  <c r="W99" i="12"/>
  <c r="AB98" i="12"/>
  <c r="AH98" i="12" s="1"/>
  <c r="AN98" i="12" s="1"/>
  <c r="Z96" i="4"/>
  <c r="B92" i="18"/>
  <c r="U97" i="9"/>
  <c r="Y97" i="9" s="1"/>
  <c r="AE97" i="9" s="1"/>
  <c r="AK97" i="9" s="1"/>
  <c r="I98" i="9"/>
  <c r="AA95" i="11"/>
  <c r="AF95" i="11"/>
  <c r="AI96" i="11"/>
  <c r="AD96" i="11"/>
  <c r="AO96" i="9"/>
  <c r="AA95" i="10"/>
  <c r="AE95" i="10"/>
  <c r="AK95" i="10" s="1"/>
  <c r="AO95" i="4"/>
  <c r="AP95" i="4" s="1"/>
  <c r="AJ95" i="4"/>
  <c r="L93" i="18"/>
  <c r="X98" i="4"/>
  <c r="AC97" i="4"/>
  <c r="M94" i="18"/>
  <c r="X99" i="9"/>
  <c r="AC98" i="9"/>
  <c r="AL94" i="9"/>
  <c r="AM94" i="9" s="1"/>
  <c r="AG94" i="9"/>
  <c r="O93" i="18"/>
  <c r="AC97" i="11"/>
  <c r="X98" i="11"/>
  <c r="AB96" i="4"/>
  <c r="AH96" i="4" s="1"/>
  <c r="AN96" i="4" s="1"/>
  <c r="W97" i="4"/>
  <c r="AL95" i="10"/>
  <c r="AI97" i="9"/>
  <c r="AD96" i="4"/>
  <c r="AI96" i="4"/>
  <c r="AB97" i="10"/>
  <c r="AH97" i="10" s="1"/>
  <c r="AN97" i="10" s="1"/>
  <c r="W98" i="10"/>
  <c r="AJ95" i="12"/>
  <c r="AO95" i="12"/>
  <c r="AP95" i="12" s="1"/>
  <c r="AD95" i="11"/>
  <c r="U96" i="11"/>
  <c r="I97" i="11"/>
  <c r="AO95" i="11"/>
  <c r="AP95" i="11" s="1"/>
  <c r="AJ95" i="11"/>
  <c r="P98" i="4"/>
  <c r="V97" i="4"/>
  <c r="J98" i="10"/>
  <c r="V97" i="10"/>
  <c r="J98" i="11"/>
  <c r="V97" i="11"/>
  <c r="AG95" i="4"/>
  <c r="AL95" i="4"/>
  <c r="AM95" i="4" s="1"/>
  <c r="M98" i="4"/>
  <c r="U97" i="4"/>
  <c r="Y97" i="4" s="1"/>
  <c r="AE97" i="4" s="1"/>
  <c r="AK97" i="4" s="1"/>
  <c r="AA96" i="4"/>
  <c r="AF96" i="4"/>
  <c r="J102" i="4"/>
  <c r="J98" i="12"/>
  <c r="V97" i="12"/>
  <c r="J98" i="9"/>
  <c r="V97" i="9"/>
  <c r="I102" i="4"/>
  <c r="AG95" i="10" l="1"/>
  <c r="AM95" i="10"/>
  <c r="AI97" i="10"/>
  <c r="AD97" i="10"/>
  <c r="AH96" i="9"/>
  <c r="AD96" i="9"/>
  <c r="X99" i="10"/>
  <c r="N94" i="18"/>
  <c r="AC98" i="10"/>
  <c r="AG95" i="12"/>
  <c r="AL95" i="12"/>
  <c r="AM95" i="12" s="1"/>
  <c r="M98" i="12"/>
  <c r="U97" i="12"/>
  <c r="Y97" i="12" s="1"/>
  <c r="AE97" i="12" s="1"/>
  <c r="AK97" i="12" s="1"/>
  <c r="W99" i="10"/>
  <c r="AB98" i="10"/>
  <c r="AH98" i="10" s="1"/>
  <c r="AN98" i="10" s="1"/>
  <c r="AJ96" i="4"/>
  <c r="AO96" i="4"/>
  <c r="AP96" i="4" s="1"/>
  <c r="AF96" i="11"/>
  <c r="AL96" i="11" s="1"/>
  <c r="AO97" i="9"/>
  <c r="AI97" i="12"/>
  <c r="AD97" i="12"/>
  <c r="AO96" i="10"/>
  <c r="AP96" i="10" s="1"/>
  <c r="AJ96" i="10"/>
  <c r="AJ96" i="11"/>
  <c r="AO96" i="11"/>
  <c r="AP96" i="11" s="1"/>
  <c r="AN95" i="9"/>
  <c r="AP95" i="9" s="1"/>
  <c r="AJ95" i="9"/>
  <c r="F93" i="18"/>
  <c r="Z97" i="12"/>
  <c r="X99" i="12"/>
  <c r="P94" i="18"/>
  <c r="AC98" i="12"/>
  <c r="W98" i="4"/>
  <c r="AB97" i="4"/>
  <c r="AH97" i="4" s="1"/>
  <c r="AN97" i="4" s="1"/>
  <c r="W98" i="11"/>
  <c r="AB97" i="11"/>
  <c r="AH97" i="11" s="1"/>
  <c r="AN97" i="11" s="1"/>
  <c r="X99" i="4"/>
  <c r="L94" i="18"/>
  <c r="AC98" i="4"/>
  <c r="W98" i="9"/>
  <c r="AB97" i="9"/>
  <c r="AL95" i="9"/>
  <c r="AM95" i="9" s="1"/>
  <c r="AG95" i="9"/>
  <c r="AL95" i="11"/>
  <c r="AM95" i="11" s="1"/>
  <c r="AG95" i="11"/>
  <c r="E93" i="18"/>
  <c r="Z97" i="11"/>
  <c r="U98" i="9"/>
  <c r="Y98" i="9" s="1"/>
  <c r="AE98" i="9" s="1"/>
  <c r="AK98" i="9" s="1"/>
  <c r="I99" i="9"/>
  <c r="Z97" i="4"/>
  <c r="B93" i="18"/>
  <c r="AA96" i="12"/>
  <c r="AF96" i="12"/>
  <c r="AB99" i="12"/>
  <c r="AH99" i="12" s="1"/>
  <c r="AN99" i="12" s="1"/>
  <c r="W100" i="12"/>
  <c r="AA96" i="10"/>
  <c r="AF96" i="10"/>
  <c r="C93" i="18"/>
  <c r="Z97" i="9"/>
  <c r="I100" i="12"/>
  <c r="AA96" i="9"/>
  <c r="AF96" i="9"/>
  <c r="X99" i="11"/>
  <c r="O94" i="18"/>
  <c r="AC98" i="11"/>
  <c r="D93" i="18"/>
  <c r="Z97" i="10"/>
  <c r="AI97" i="11"/>
  <c r="AI98" i="9"/>
  <c r="U97" i="11"/>
  <c r="I98" i="11"/>
  <c r="U97" i="10"/>
  <c r="Y97" i="10" s="1"/>
  <c r="I98" i="10"/>
  <c r="M95" i="18"/>
  <c r="AC99" i="9"/>
  <c r="X100" i="9"/>
  <c r="Y97" i="11"/>
  <c r="Y96" i="11"/>
  <c r="AE96" i="11" s="1"/>
  <c r="AI97" i="4"/>
  <c r="AD97" i="4"/>
  <c r="AE96" i="10"/>
  <c r="AK96" i="10" s="1"/>
  <c r="AJ96" i="12"/>
  <c r="AO96" i="12"/>
  <c r="AP96" i="12" s="1"/>
  <c r="J99" i="9"/>
  <c r="V98" i="9"/>
  <c r="J99" i="12"/>
  <c r="V98" i="12"/>
  <c r="M99" i="4"/>
  <c r="U98" i="4"/>
  <c r="Y98" i="4" s="1"/>
  <c r="AE98" i="4" s="1"/>
  <c r="AK98" i="4" s="1"/>
  <c r="AL96" i="4"/>
  <c r="AM96" i="4" s="1"/>
  <c r="AG96" i="4"/>
  <c r="J99" i="11"/>
  <c r="V98" i="11"/>
  <c r="I103" i="4"/>
  <c r="AF97" i="4"/>
  <c r="AA97" i="4"/>
  <c r="J103" i="4"/>
  <c r="J99" i="10"/>
  <c r="V98" i="10"/>
  <c r="P99" i="4"/>
  <c r="V98" i="4"/>
  <c r="AE97" i="11" l="1"/>
  <c r="AK97" i="11" s="1"/>
  <c r="AB98" i="9"/>
  <c r="W99" i="9"/>
  <c r="I101" i="12"/>
  <c r="AB98" i="11"/>
  <c r="AH98" i="11" s="1"/>
  <c r="AN98" i="11" s="1"/>
  <c r="W99" i="11"/>
  <c r="AB99" i="10"/>
  <c r="AH99" i="10" s="1"/>
  <c r="AN99" i="10" s="1"/>
  <c r="W100" i="10"/>
  <c r="E94" i="18"/>
  <c r="Z98" i="11"/>
  <c r="M99" i="12"/>
  <c r="U98" i="12"/>
  <c r="Y98" i="12" s="1"/>
  <c r="AE98" i="12" s="1"/>
  <c r="AK98" i="12" s="1"/>
  <c r="AH97" i="9"/>
  <c r="AD97" i="9"/>
  <c r="AI98" i="4"/>
  <c r="AD98" i="4"/>
  <c r="AA97" i="9"/>
  <c r="AF97" i="9"/>
  <c r="X100" i="11"/>
  <c r="O95" i="18"/>
  <c r="AC99" i="11"/>
  <c r="AB100" i="12"/>
  <c r="AH100" i="12" s="1"/>
  <c r="AN100" i="12" s="1"/>
  <c r="W101" i="12"/>
  <c r="AB98" i="4"/>
  <c r="AH98" i="4" s="1"/>
  <c r="AN98" i="4" s="1"/>
  <c r="W99" i="4"/>
  <c r="AO98" i="9"/>
  <c r="AD98" i="10"/>
  <c r="AI98" i="10"/>
  <c r="AG96" i="12"/>
  <c r="AL96" i="12"/>
  <c r="AM96" i="12" s="1"/>
  <c r="AL96" i="9"/>
  <c r="AM96" i="9" s="1"/>
  <c r="AG96" i="9"/>
  <c r="AG96" i="11"/>
  <c r="AK96" i="11"/>
  <c r="AM96" i="11" s="1"/>
  <c r="AE97" i="10"/>
  <c r="AK97" i="10" s="1"/>
  <c r="AD98" i="12"/>
  <c r="AI98" i="12"/>
  <c r="AD97" i="11"/>
  <c r="N95" i="18"/>
  <c r="AC99" i="10"/>
  <c r="X100" i="10"/>
  <c r="Z98" i="4"/>
  <c r="AF98" i="4" s="1"/>
  <c r="B94" i="18"/>
  <c r="AA96" i="11"/>
  <c r="AG96" i="10"/>
  <c r="AL96" i="10"/>
  <c r="AM96" i="10" s="1"/>
  <c r="P95" i="18"/>
  <c r="X100" i="12"/>
  <c r="AC99" i="12"/>
  <c r="AA97" i="12"/>
  <c r="AF97" i="12"/>
  <c r="F94" i="18"/>
  <c r="Z98" i="12"/>
  <c r="AA97" i="10"/>
  <c r="AF97" i="10"/>
  <c r="AA97" i="11"/>
  <c r="AF97" i="11"/>
  <c r="D94" i="18"/>
  <c r="Z98" i="10"/>
  <c r="AI99" i="9"/>
  <c r="U98" i="11"/>
  <c r="Y98" i="11" s="1"/>
  <c r="AE98" i="11" s="1"/>
  <c r="AK98" i="11" s="1"/>
  <c r="I99" i="11"/>
  <c r="U99" i="9"/>
  <c r="Y99" i="9" s="1"/>
  <c r="AE99" i="9" s="1"/>
  <c r="AK99" i="9" s="1"/>
  <c r="I100" i="9"/>
  <c r="AN96" i="9"/>
  <c r="AP96" i="9" s="1"/>
  <c r="AJ96" i="9"/>
  <c r="AO97" i="4"/>
  <c r="AP97" i="4" s="1"/>
  <c r="AJ97" i="4"/>
  <c r="X100" i="4"/>
  <c r="L95" i="18"/>
  <c r="AC99" i="4"/>
  <c r="AC100" i="9"/>
  <c r="X101" i="9"/>
  <c r="M96" i="18"/>
  <c r="U98" i="10"/>
  <c r="I99" i="10"/>
  <c r="C94" i="18"/>
  <c r="Z98" i="9"/>
  <c r="AI98" i="11"/>
  <c r="AD98" i="11"/>
  <c r="AO97" i="12"/>
  <c r="AP97" i="12" s="1"/>
  <c r="AJ97" i="12"/>
  <c r="AJ97" i="11"/>
  <c r="AO97" i="11"/>
  <c r="AP97" i="11" s="1"/>
  <c r="AJ97" i="10"/>
  <c r="AO97" i="10"/>
  <c r="AP97" i="10" s="1"/>
  <c r="AL97" i="4"/>
  <c r="AM97" i="4" s="1"/>
  <c r="AG97" i="4"/>
  <c r="J100" i="10"/>
  <c r="V99" i="10"/>
  <c r="M100" i="4"/>
  <c r="U99" i="4"/>
  <c r="Y99" i="4" s="1"/>
  <c r="AE99" i="4" s="1"/>
  <c r="AK99" i="4" s="1"/>
  <c r="J100" i="11"/>
  <c r="V99" i="11"/>
  <c r="P100" i="4"/>
  <c r="V99" i="4"/>
  <c r="J104" i="4"/>
  <c r="I104" i="4"/>
  <c r="J100" i="12"/>
  <c r="V99" i="12"/>
  <c r="J100" i="9"/>
  <c r="V99" i="9"/>
  <c r="AA98" i="4" l="1"/>
  <c r="AD99" i="10"/>
  <c r="AI99" i="10"/>
  <c r="AJ98" i="11"/>
  <c r="AO98" i="11"/>
  <c r="AP98" i="11" s="1"/>
  <c r="AJ98" i="12"/>
  <c r="AO98" i="12"/>
  <c r="AP98" i="12" s="1"/>
  <c r="M100" i="12"/>
  <c r="U99" i="12"/>
  <c r="Y99" i="12" s="1"/>
  <c r="AE99" i="12" s="1"/>
  <c r="AK99" i="12" s="1"/>
  <c r="AA98" i="11"/>
  <c r="AF98" i="11"/>
  <c r="O96" i="18"/>
  <c r="X101" i="11"/>
  <c r="AC100" i="11"/>
  <c r="AA98" i="9"/>
  <c r="AF98" i="9"/>
  <c r="AI99" i="12"/>
  <c r="AD99" i="12"/>
  <c r="Z99" i="4"/>
  <c r="AF99" i="4" s="1"/>
  <c r="B95" i="18"/>
  <c r="AC100" i="12"/>
  <c r="P96" i="18"/>
  <c r="X101" i="12"/>
  <c r="AJ98" i="10"/>
  <c r="AO98" i="10"/>
  <c r="AP98" i="10" s="1"/>
  <c r="W101" i="10"/>
  <c r="AB100" i="10"/>
  <c r="AH100" i="10" s="1"/>
  <c r="AN100" i="10" s="1"/>
  <c r="AI99" i="11"/>
  <c r="AL97" i="9"/>
  <c r="AM97" i="9" s="1"/>
  <c r="AG97" i="9"/>
  <c r="U99" i="10"/>
  <c r="Y99" i="10" s="1"/>
  <c r="I100" i="10"/>
  <c r="X102" i="9"/>
  <c r="AC101" i="9"/>
  <c r="M97" i="18"/>
  <c r="AL97" i="11"/>
  <c r="AM97" i="11" s="1"/>
  <c r="AG97" i="11"/>
  <c r="E95" i="18"/>
  <c r="Z99" i="11"/>
  <c r="AG97" i="12"/>
  <c r="AL97" i="12"/>
  <c r="AM97" i="12" s="1"/>
  <c r="AB99" i="11"/>
  <c r="AH99" i="11" s="1"/>
  <c r="AN99" i="11" s="1"/>
  <c r="W100" i="11"/>
  <c r="C95" i="18"/>
  <c r="Z99" i="9"/>
  <c r="AO99" i="9"/>
  <c r="F95" i="18"/>
  <c r="Z99" i="12"/>
  <c r="W100" i="4"/>
  <c r="AB99" i="4"/>
  <c r="AH99" i="4" s="1"/>
  <c r="AN99" i="4" s="1"/>
  <c r="I102" i="12"/>
  <c r="D95" i="18"/>
  <c r="Z99" i="10"/>
  <c r="AL97" i="10"/>
  <c r="AM97" i="10" s="1"/>
  <c r="AG97" i="10"/>
  <c r="AA98" i="12"/>
  <c r="AF98" i="12"/>
  <c r="AB101" i="12"/>
  <c r="AH101" i="12" s="1"/>
  <c r="AN101" i="12" s="1"/>
  <c r="W102" i="12"/>
  <c r="AB99" i="9"/>
  <c r="W100" i="9"/>
  <c r="AF98" i="10"/>
  <c r="AO98" i="4"/>
  <c r="AP98" i="4" s="1"/>
  <c r="AJ98" i="4"/>
  <c r="Y98" i="10"/>
  <c r="AE98" i="10" s="1"/>
  <c r="AK98" i="10" s="1"/>
  <c r="AN97" i="9"/>
  <c r="AP97" i="9" s="1"/>
  <c r="AJ97" i="9"/>
  <c r="AI100" i="9"/>
  <c r="AI99" i="4"/>
  <c r="L96" i="18"/>
  <c r="X101" i="4"/>
  <c r="AC100" i="4"/>
  <c r="U100" i="9"/>
  <c r="I101" i="9"/>
  <c r="U99" i="11"/>
  <c r="Y99" i="11" s="1"/>
  <c r="AE99" i="11" s="1"/>
  <c r="AK99" i="11" s="1"/>
  <c r="I100" i="11"/>
  <c r="N96" i="18"/>
  <c r="X101" i="10"/>
  <c r="AC100" i="10"/>
  <c r="AH98" i="9"/>
  <c r="AD98" i="9"/>
  <c r="I105" i="4"/>
  <c r="J101" i="9"/>
  <c r="V100" i="9"/>
  <c r="M101" i="4"/>
  <c r="U100" i="4"/>
  <c r="Y100" i="4" s="1"/>
  <c r="AE100" i="4" s="1"/>
  <c r="AK100" i="4" s="1"/>
  <c r="AL98" i="4"/>
  <c r="AM98" i="4" s="1"/>
  <c r="AG98" i="4"/>
  <c r="J101" i="12"/>
  <c r="V100" i="12"/>
  <c r="J105" i="4"/>
  <c r="P101" i="4"/>
  <c r="V100" i="4"/>
  <c r="J101" i="11"/>
  <c r="V100" i="11"/>
  <c r="J101" i="10"/>
  <c r="V100" i="10"/>
  <c r="AA98" i="10" l="1"/>
  <c r="AE99" i="10"/>
  <c r="AK99" i="10" s="1"/>
  <c r="AD99" i="4"/>
  <c r="AI100" i="10"/>
  <c r="AD100" i="10"/>
  <c r="U101" i="9"/>
  <c r="I102" i="9"/>
  <c r="AO99" i="12"/>
  <c r="AP99" i="12" s="1"/>
  <c r="AJ99" i="12"/>
  <c r="M101" i="12"/>
  <c r="U100" i="12"/>
  <c r="Y100" i="12" s="1"/>
  <c r="AE100" i="12" s="1"/>
  <c r="AK100" i="12" s="1"/>
  <c r="P97" i="18"/>
  <c r="AC101" i="12"/>
  <c r="X102" i="12"/>
  <c r="U100" i="11"/>
  <c r="Y100" i="11" s="1"/>
  <c r="AE100" i="11" s="1"/>
  <c r="AK100" i="11" s="1"/>
  <c r="I101" i="11"/>
  <c r="Z100" i="4"/>
  <c r="AF100" i="4" s="1"/>
  <c r="B96" i="18"/>
  <c r="AL98" i="11"/>
  <c r="AM98" i="11" s="1"/>
  <c r="AG98" i="11"/>
  <c r="I103" i="12"/>
  <c r="AG98" i="12"/>
  <c r="AL98" i="12"/>
  <c r="AM98" i="12" s="1"/>
  <c r="U100" i="10"/>
  <c r="Y100" i="10" s="1"/>
  <c r="AE100" i="10" s="1"/>
  <c r="AK100" i="10" s="1"/>
  <c r="I101" i="10"/>
  <c r="AA99" i="4"/>
  <c r="AN98" i="9"/>
  <c r="AP98" i="9" s="1"/>
  <c r="AJ98" i="9"/>
  <c r="X102" i="10"/>
  <c r="N97" i="18"/>
  <c r="AC101" i="10"/>
  <c r="AC102" i="9"/>
  <c r="M98" i="18"/>
  <c r="X103" i="9"/>
  <c r="AO99" i="4"/>
  <c r="AP99" i="4" s="1"/>
  <c r="AJ99" i="4"/>
  <c r="W101" i="4"/>
  <c r="AB100" i="4"/>
  <c r="AH100" i="4" s="1"/>
  <c r="AN100" i="4" s="1"/>
  <c r="D96" i="18"/>
  <c r="Z100" i="10"/>
  <c r="E96" i="18"/>
  <c r="Z100" i="11"/>
  <c r="Y101" i="9"/>
  <c r="Y100" i="9"/>
  <c r="AE100" i="9" s="1"/>
  <c r="AK100" i="9" s="1"/>
  <c r="F96" i="18"/>
  <c r="Z100" i="12"/>
  <c r="AJ99" i="11"/>
  <c r="AO99" i="11"/>
  <c r="AP99" i="11" s="1"/>
  <c r="W102" i="10"/>
  <c r="AB101" i="10"/>
  <c r="AH101" i="10" s="1"/>
  <c r="AN101" i="10" s="1"/>
  <c r="AB100" i="11"/>
  <c r="AH100" i="11" s="1"/>
  <c r="AN100" i="11" s="1"/>
  <c r="W101" i="11"/>
  <c r="AH99" i="9"/>
  <c r="AD99" i="9"/>
  <c r="W103" i="12"/>
  <c r="AB102" i="12"/>
  <c r="AH102" i="12" s="1"/>
  <c r="AN102" i="12" s="1"/>
  <c r="O97" i="18"/>
  <c r="X102" i="11"/>
  <c r="AC101" i="11"/>
  <c r="AO100" i="9"/>
  <c r="AD99" i="11"/>
  <c r="C96" i="18"/>
  <c r="Z100" i="9"/>
  <c r="AO99" i="10"/>
  <c r="AP99" i="10" s="1"/>
  <c r="AJ99" i="10"/>
  <c r="W101" i="9"/>
  <c r="AB100" i="9"/>
  <c r="AD100" i="12"/>
  <c r="AI100" i="12"/>
  <c r="AA99" i="11"/>
  <c r="AF99" i="11"/>
  <c r="AL98" i="9"/>
  <c r="AM98" i="9" s="1"/>
  <c r="AG98" i="9"/>
  <c r="AI100" i="4"/>
  <c r="L97" i="18"/>
  <c r="X102" i="4"/>
  <c r="AC101" i="4"/>
  <c r="AI100" i="11"/>
  <c r="AD100" i="11"/>
  <c r="AI101" i="9"/>
  <c r="AA99" i="10"/>
  <c r="AF99" i="10"/>
  <c r="AA99" i="12"/>
  <c r="AF99" i="12"/>
  <c r="AL98" i="10"/>
  <c r="AM98" i="10" s="1"/>
  <c r="AG98" i="10"/>
  <c r="AA99" i="9"/>
  <c r="AF99" i="9"/>
  <c r="J102" i="11"/>
  <c r="V101" i="11"/>
  <c r="J102" i="12"/>
  <c r="V101" i="12"/>
  <c r="J102" i="10"/>
  <c r="V101" i="10"/>
  <c r="P102" i="4"/>
  <c r="V101" i="4"/>
  <c r="AL99" i="4"/>
  <c r="AM99" i="4" s="1"/>
  <c r="AG99" i="4"/>
  <c r="J106" i="4"/>
  <c r="M102" i="4"/>
  <c r="U101" i="4"/>
  <c r="Y101" i="4" s="1"/>
  <c r="AE101" i="4" s="1"/>
  <c r="AK101" i="4" s="1"/>
  <c r="J102" i="9"/>
  <c r="V101" i="9"/>
  <c r="I106" i="4"/>
  <c r="AA100" i="4" l="1"/>
  <c r="W102" i="9"/>
  <c r="AB101" i="9"/>
  <c r="AG99" i="10"/>
  <c r="AL99" i="10"/>
  <c r="AM99" i="10" s="1"/>
  <c r="AO101" i="9"/>
  <c r="AI101" i="4"/>
  <c r="X103" i="12"/>
  <c r="P98" i="18"/>
  <c r="AC102" i="12"/>
  <c r="AJ100" i="11"/>
  <c r="AO100" i="11"/>
  <c r="AP100" i="11" s="1"/>
  <c r="L98" i="18"/>
  <c r="AC102" i="4"/>
  <c r="X103" i="4"/>
  <c r="W104" i="12"/>
  <c r="AB103" i="12"/>
  <c r="AH103" i="12" s="1"/>
  <c r="AN103" i="12" s="1"/>
  <c r="AI102" i="9"/>
  <c r="M102" i="12"/>
  <c r="U101" i="12"/>
  <c r="Y101" i="12" s="1"/>
  <c r="AE101" i="12" s="1"/>
  <c r="AK101" i="12" s="1"/>
  <c r="U101" i="11"/>
  <c r="Y101" i="11" s="1"/>
  <c r="AE101" i="11" s="1"/>
  <c r="AK101" i="11" s="1"/>
  <c r="I102" i="11"/>
  <c r="M99" i="18"/>
  <c r="AC103" i="9"/>
  <c r="X104" i="9"/>
  <c r="AI101" i="11"/>
  <c r="W102" i="4"/>
  <c r="AB101" i="4"/>
  <c r="AH101" i="4" s="1"/>
  <c r="AN101" i="4" s="1"/>
  <c r="AJ100" i="4"/>
  <c r="AO100" i="4"/>
  <c r="AP100" i="4" s="1"/>
  <c r="AI101" i="10"/>
  <c r="AD101" i="10"/>
  <c r="N98" i="18"/>
  <c r="AC102" i="10"/>
  <c r="X103" i="10"/>
  <c r="AA100" i="12"/>
  <c r="AF100" i="12"/>
  <c r="I104" i="12"/>
  <c r="AA100" i="11"/>
  <c r="AF100" i="11"/>
  <c r="AA100" i="10"/>
  <c r="AF100" i="10"/>
  <c r="U102" i="9"/>
  <c r="Y102" i="9" s="1"/>
  <c r="I103" i="9"/>
  <c r="O98" i="18"/>
  <c r="X103" i="11"/>
  <c r="AC102" i="11"/>
  <c r="Z101" i="4"/>
  <c r="B97" i="18"/>
  <c r="D97" i="18"/>
  <c r="Z101" i="10"/>
  <c r="W102" i="11"/>
  <c r="AB101" i="11"/>
  <c r="AH101" i="11" s="1"/>
  <c r="AN101" i="11" s="1"/>
  <c r="AG99" i="12"/>
  <c r="AL99" i="12"/>
  <c r="AM99" i="12" s="1"/>
  <c r="C97" i="18"/>
  <c r="Z101" i="9"/>
  <c r="AE101" i="9"/>
  <c r="AK101" i="9" s="1"/>
  <c r="AA100" i="9"/>
  <c r="AF100" i="9"/>
  <c r="F97" i="18"/>
  <c r="Z101" i="12"/>
  <c r="E97" i="18"/>
  <c r="Z101" i="11"/>
  <c r="AL99" i="9"/>
  <c r="AM99" i="9" s="1"/>
  <c r="AG99" i="9"/>
  <c r="AI101" i="12"/>
  <c r="AD101" i="12"/>
  <c r="AD100" i="4"/>
  <c r="AN99" i="9"/>
  <c r="AP99" i="9" s="1"/>
  <c r="AJ99" i="9"/>
  <c r="AL99" i="11"/>
  <c r="AM99" i="11" s="1"/>
  <c r="AG99" i="11"/>
  <c r="AO100" i="12"/>
  <c r="AP100" i="12" s="1"/>
  <c r="AJ100" i="12"/>
  <c r="W103" i="10"/>
  <c r="AB102" i="10"/>
  <c r="AH102" i="10" s="1"/>
  <c r="AN102" i="10" s="1"/>
  <c r="AH100" i="9"/>
  <c r="AD100" i="9"/>
  <c r="U101" i="10"/>
  <c r="Y101" i="10" s="1"/>
  <c r="AE101" i="10" s="1"/>
  <c r="AK101" i="10" s="1"/>
  <c r="I102" i="10"/>
  <c r="AO100" i="10"/>
  <c r="AP100" i="10" s="1"/>
  <c r="AJ100" i="10"/>
  <c r="I107" i="4"/>
  <c r="AL100" i="4"/>
  <c r="AM100" i="4" s="1"/>
  <c r="AG100" i="4"/>
  <c r="J103" i="10"/>
  <c r="V102" i="10"/>
  <c r="M103" i="4"/>
  <c r="U102" i="4"/>
  <c r="Y102" i="4" s="1"/>
  <c r="AE102" i="4" s="1"/>
  <c r="AK102" i="4" s="1"/>
  <c r="J107" i="4"/>
  <c r="P103" i="4"/>
  <c r="V102" i="4"/>
  <c r="J103" i="9"/>
  <c r="V102" i="9"/>
  <c r="AF101" i="4"/>
  <c r="AA101" i="4"/>
  <c r="J103" i="12"/>
  <c r="V102" i="12"/>
  <c r="J103" i="11"/>
  <c r="V102" i="11"/>
  <c r="AO102" i="9" l="1"/>
  <c r="AD102" i="12"/>
  <c r="AI102" i="12"/>
  <c r="E98" i="18"/>
  <c r="Z102" i="11"/>
  <c r="AN100" i="9"/>
  <c r="AP100" i="9" s="1"/>
  <c r="AJ100" i="9"/>
  <c r="W105" i="12"/>
  <c r="AB104" i="12"/>
  <c r="AH104" i="12" s="1"/>
  <c r="AN104" i="12" s="1"/>
  <c r="AB103" i="10"/>
  <c r="AH103" i="10" s="1"/>
  <c r="AN103" i="10" s="1"/>
  <c r="W104" i="10"/>
  <c r="AI102" i="10"/>
  <c r="AD102" i="10"/>
  <c r="AD102" i="4"/>
  <c r="AI102" i="4"/>
  <c r="AC103" i="12"/>
  <c r="X104" i="12"/>
  <c r="P99" i="18"/>
  <c r="AJ101" i="4"/>
  <c r="AO101" i="4"/>
  <c r="AP101" i="4" s="1"/>
  <c r="X105" i="9"/>
  <c r="AC104" i="9"/>
  <c r="M100" i="18"/>
  <c r="AD101" i="4"/>
  <c r="Z102" i="4"/>
  <c r="AA102" i="4" s="1"/>
  <c r="B98" i="18"/>
  <c r="D98" i="18"/>
  <c r="Z102" i="10"/>
  <c r="U103" i="9"/>
  <c r="Y103" i="9" s="1"/>
  <c r="I104" i="9"/>
  <c r="AI103" i="9"/>
  <c r="I105" i="12"/>
  <c r="AJ101" i="10"/>
  <c r="AO101" i="10"/>
  <c r="AP101" i="10" s="1"/>
  <c r="AA101" i="11"/>
  <c r="AF101" i="11"/>
  <c r="AE102" i="9"/>
  <c r="AK102" i="9" s="1"/>
  <c r="AL100" i="12"/>
  <c r="AM100" i="12" s="1"/>
  <c r="AG100" i="12"/>
  <c r="F98" i="18"/>
  <c r="Z102" i="12"/>
  <c r="W103" i="11"/>
  <c r="AB102" i="11"/>
  <c r="AH102" i="11" s="1"/>
  <c r="AN102" i="11" s="1"/>
  <c r="AI102" i="11"/>
  <c r="U102" i="11"/>
  <c r="Y102" i="11" s="1"/>
  <c r="AE102" i="11" s="1"/>
  <c r="AK102" i="11" s="1"/>
  <c r="I103" i="11"/>
  <c r="U102" i="10"/>
  <c r="Y102" i="10" s="1"/>
  <c r="AE102" i="10" s="1"/>
  <c r="AK102" i="10" s="1"/>
  <c r="I103" i="10"/>
  <c r="AA101" i="9"/>
  <c r="AF101" i="9"/>
  <c r="AB102" i="4"/>
  <c r="AH102" i="4" s="1"/>
  <c r="AN102" i="4" s="1"/>
  <c r="W103" i="4"/>
  <c r="AL100" i="10"/>
  <c r="AM100" i="10" s="1"/>
  <c r="AG100" i="10"/>
  <c r="AA101" i="12"/>
  <c r="AF101" i="12"/>
  <c r="C98" i="18"/>
  <c r="Z102" i="9"/>
  <c r="AD101" i="11"/>
  <c r="AO101" i="12"/>
  <c r="AP101" i="12" s="1"/>
  <c r="AJ101" i="12"/>
  <c r="AO101" i="11"/>
  <c r="AP101" i="11" s="1"/>
  <c r="AJ101" i="11"/>
  <c r="AH101" i="9"/>
  <c r="AD101" i="9"/>
  <c r="N99" i="18"/>
  <c r="AC103" i="10"/>
  <c r="X104" i="10"/>
  <c r="AC103" i="4"/>
  <c r="L99" i="18"/>
  <c r="X104" i="4"/>
  <c r="AA101" i="10"/>
  <c r="AF101" i="10"/>
  <c r="AC103" i="11"/>
  <c r="X104" i="11"/>
  <c r="O99" i="18"/>
  <c r="AL100" i="11"/>
  <c r="AM100" i="11" s="1"/>
  <c r="AG100" i="11"/>
  <c r="AL100" i="9"/>
  <c r="AM100" i="9" s="1"/>
  <c r="AG100" i="9"/>
  <c r="M103" i="12"/>
  <c r="U102" i="12"/>
  <c r="Y102" i="12" s="1"/>
  <c r="AE102" i="12" s="1"/>
  <c r="AK102" i="12" s="1"/>
  <c r="W103" i="9"/>
  <c r="AB102" i="9"/>
  <c r="J108" i="4"/>
  <c r="J104" i="11"/>
  <c r="V103" i="11"/>
  <c r="J104" i="10"/>
  <c r="V103" i="10"/>
  <c r="J104" i="9"/>
  <c r="V103" i="9"/>
  <c r="P104" i="4"/>
  <c r="V103" i="4"/>
  <c r="M104" i="4"/>
  <c r="U103" i="4"/>
  <c r="Y103" i="4" s="1"/>
  <c r="AE103" i="4" s="1"/>
  <c r="AK103" i="4" s="1"/>
  <c r="J104" i="12"/>
  <c r="V103" i="12"/>
  <c r="AG101" i="4"/>
  <c r="AL101" i="4"/>
  <c r="AM101" i="4" s="1"/>
  <c r="I108" i="4"/>
  <c r="AF102" i="4" l="1"/>
  <c r="AD102" i="11"/>
  <c r="AD103" i="12"/>
  <c r="AI103" i="12"/>
  <c r="AO102" i="10"/>
  <c r="AP102" i="10" s="1"/>
  <c r="AJ102" i="10"/>
  <c r="AB105" i="12"/>
  <c r="AH105" i="12" s="1"/>
  <c r="AN105" i="12" s="1"/>
  <c r="W106" i="12"/>
  <c r="AJ102" i="4"/>
  <c r="AO102" i="4"/>
  <c r="AP102" i="4" s="1"/>
  <c r="L100" i="18"/>
  <c r="AC104" i="4"/>
  <c r="X105" i="4"/>
  <c r="AC104" i="12"/>
  <c r="P100" i="18"/>
  <c r="X105" i="12"/>
  <c r="Z103" i="4"/>
  <c r="AA103" i="4" s="1"/>
  <c r="B99" i="18"/>
  <c r="N100" i="18"/>
  <c r="X105" i="10"/>
  <c r="AC104" i="10"/>
  <c r="AA102" i="9"/>
  <c r="AF102" i="9"/>
  <c r="AL101" i="12"/>
  <c r="AM101" i="12" s="1"/>
  <c r="AG101" i="12"/>
  <c r="AI103" i="11"/>
  <c r="AB104" i="10"/>
  <c r="AH104" i="10" s="1"/>
  <c r="AN104" i="10" s="1"/>
  <c r="W105" i="10"/>
  <c r="AA102" i="11"/>
  <c r="AF102" i="11"/>
  <c r="AL101" i="9"/>
  <c r="AM101" i="9" s="1"/>
  <c r="AG101" i="9"/>
  <c r="U103" i="11"/>
  <c r="Y103" i="11" s="1"/>
  <c r="I104" i="11"/>
  <c r="AL101" i="10"/>
  <c r="AM101" i="10" s="1"/>
  <c r="AG101" i="10"/>
  <c r="AO103" i="9"/>
  <c r="AD103" i="10"/>
  <c r="AI103" i="10"/>
  <c r="E99" i="18"/>
  <c r="Z103" i="11"/>
  <c r="AF103" i="11" s="1"/>
  <c r="AO102" i="12"/>
  <c r="AP102" i="12" s="1"/>
  <c r="AJ102" i="12"/>
  <c r="F99" i="18"/>
  <c r="Z103" i="12"/>
  <c r="AL101" i="11"/>
  <c r="AM101" i="11" s="1"/>
  <c r="AG101" i="11"/>
  <c r="O100" i="18"/>
  <c r="X105" i="11"/>
  <c r="AC104" i="11"/>
  <c r="AB103" i="4"/>
  <c r="AH103" i="4" s="1"/>
  <c r="AN103" i="4" s="1"/>
  <c r="W104" i="4"/>
  <c r="C99" i="18"/>
  <c r="Z103" i="9"/>
  <c r="D99" i="18"/>
  <c r="Z103" i="10"/>
  <c r="U103" i="10"/>
  <c r="Y103" i="10" s="1"/>
  <c r="AE103" i="10" s="1"/>
  <c r="AK103" i="10" s="1"/>
  <c r="I104" i="10"/>
  <c r="U104" i="9"/>
  <c r="Y104" i="9" s="1"/>
  <c r="I105" i="9"/>
  <c r="AE103" i="9"/>
  <c r="AK103" i="9" s="1"/>
  <c r="AH102" i="9"/>
  <c r="AD102" i="9"/>
  <c r="M104" i="12"/>
  <c r="U103" i="12"/>
  <c r="Y103" i="12" s="1"/>
  <c r="AE103" i="12" s="1"/>
  <c r="AK103" i="12" s="1"/>
  <c r="AC105" i="9"/>
  <c r="M101" i="18"/>
  <c r="X106" i="9"/>
  <c r="AI103" i="4"/>
  <c r="AN101" i="9"/>
  <c r="AP101" i="9" s="1"/>
  <c r="AJ101" i="9"/>
  <c r="AO102" i="11"/>
  <c r="AP102" i="11" s="1"/>
  <c r="AJ102" i="11"/>
  <c r="W104" i="9"/>
  <c r="AB103" i="9"/>
  <c r="AB103" i="11"/>
  <c r="AH103" i="11" s="1"/>
  <c r="AN103" i="11" s="1"/>
  <c r="W104" i="11"/>
  <c r="I106" i="12"/>
  <c r="AA102" i="10"/>
  <c r="AF102" i="10"/>
  <c r="AA102" i="12"/>
  <c r="AF102" i="12"/>
  <c r="AI104" i="9"/>
  <c r="J105" i="12"/>
  <c r="V104" i="12"/>
  <c r="M105" i="4"/>
  <c r="U104" i="4"/>
  <c r="Y104" i="4" s="1"/>
  <c r="AE104" i="4" s="1"/>
  <c r="AK104" i="4" s="1"/>
  <c r="J105" i="9"/>
  <c r="V104" i="9"/>
  <c r="I109" i="4"/>
  <c r="P105" i="4"/>
  <c r="V104" i="4"/>
  <c r="J105" i="10"/>
  <c r="V104" i="10"/>
  <c r="J109" i="4"/>
  <c r="AL102" i="4"/>
  <c r="AM102" i="4" s="1"/>
  <c r="AG102" i="4"/>
  <c r="J105" i="11"/>
  <c r="V104" i="11"/>
  <c r="AF103" i="4" l="1"/>
  <c r="AA103" i="10"/>
  <c r="AF103" i="10"/>
  <c r="AL103" i="11"/>
  <c r="D100" i="18"/>
  <c r="Z104" i="10"/>
  <c r="AI104" i="4"/>
  <c r="AN102" i="9"/>
  <c r="AP102" i="9" s="1"/>
  <c r="AJ102" i="9"/>
  <c r="AD104" i="10"/>
  <c r="AI104" i="10"/>
  <c r="W105" i="11"/>
  <c r="AB104" i="11"/>
  <c r="AH104" i="11" s="1"/>
  <c r="AN104" i="11" s="1"/>
  <c r="W105" i="9"/>
  <c r="AB104" i="9"/>
  <c r="AL102" i="11"/>
  <c r="AM102" i="11" s="1"/>
  <c r="AG102" i="11"/>
  <c r="U104" i="10"/>
  <c r="Y104" i="10" s="1"/>
  <c r="AE104" i="10" s="1"/>
  <c r="AK104" i="10" s="1"/>
  <c r="I105" i="10"/>
  <c r="W107" i="12"/>
  <c r="AB106" i="12"/>
  <c r="AH106" i="12" s="1"/>
  <c r="AN106" i="12" s="1"/>
  <c r="X106" i="4"/>
  <c r="L101" i="18"/>
  <c r="AC105" i="4"/>
  <c r="X106" i="12"/>
  <c r="AC105" i="12"/>
  <c r="P101" i="18"/>
  <c r="AH103" i="9"/>
  <c r="AD103" i="9"/>
  <c r="C100" i="18"/>
  <c r="Z104" i="9"/>
  <c r="I107" i="12"/>
  <c r="AA103" i="9"/>
  <c r="AF103" i="9"/>
  <c r="AD103" i="11"/>
  <c r="M105" i="12"/>
  <c r="U104" i="12"/>
  <c r="Y104" i="12" s="1"/>
  <c r="AE104" i="12" s="1"/>
  <c r="AK104" i="12" s="1"/>
  <c r="AG102" i="12"/>
  <c r="AL102" i="12"/>
  <c r="AM102" i="12" s="1"/>
  <c r="E100" i="18"/>
  <c r="Z104" i="11"/>
  <c r="AO103" i="10"/>
  <c r="AP103" i="10" s="1"/>
  <c r="AJ103" i="10"/>
  <c r="AI104" i="12"/>
  <c r="AD104" i="12"/>
  <c r="Z104" i="4"/>
  <c r="B100" i="18"/>
  <c r="AA103" i="11"/>
  <c r="AE103" i="11"/>
  <c r="AK103" i="11" s="1"/>
  <c r="AM103" i="11" s="1"/>
  <c r="AI104" i="11"/>
  <c r="AJ103" i="4"/>
  <c r="AO103" i="4"/>
  <c r="AP103" i="4" s="1"/>
  <c r="M102" i="18"/>
  <c r="X107" i="9"/>
  <c r="AC106" i="9"/>
  <c r="F100" i="18"/>
  <c r="Z104" i="12"/>
  <c r="AI105" i="9"/>
  <c r="AA103" i="12"/>
  <c r="AF103" i="12"/>
  <c r="AO103" i="11"/>
  <c r="AP103" i="11" s="1"/>
  <c r="AJ103" i="11"/>
  <c r="AJ103" i="12"/>
  <c r="AO103" i="12"/>
  <c r="AP103" i="12" s="1"/>
  <c r="AL102" i="9"/>
  <c r="AM102" i="9" s="1"/>
  <c r="AG102" i="9"/>
  <c r="AG102" i="10"/>
  <c r="AL102" i="10"/>
  <c r="AM102" i="10" s="1"/>
  <c r="N101" i="18"/>
  <c r="AC105" i="10"/>
  <c r="X106" i="10"/>
  <c r="U105" i="9"/>
  <c r="Y105" i="9" s="1"/>
  <c r="I106" i="9"/>
  <c r="AE104" i="9"/>
  <c r="AK104" i="9" s="1"/>
  <c r="U104" i="11"/>
  <c r="Y104" i="11" s="1"/>
  <c r="AE104" i="11" s="1"/>
  <c r="AK104" i="11" s="1"/>
  <c r="I105" i="11"/>
  <c r="AB104" i="4"/>
  <c r="AH104" i="4" s="1"/>
  <c r="AN104" i="4" s="1"/>
  <c r="W105" i="4"/>
  <c r="X106" i="11"/>
  <c r="AC105" i="11"/>
  <c r="O101" i="18"/>
  <c r="AD103" i="4"/>
  <c r="W106" i="10"/>
  <c r="AB105" i="10"/>
  <c r="AH105" i="10" s="1"/>
  <c r="AN105" i="10" s="1"/>
  <c r="AO104" i="9"/>
  <c r="J106" i="11"/>
  <c r="V105" i="11"/>
  <c r="AL103" i="4"/>
  <c r="AM103" i="4" s="1"/>
  <c r="AG103" i="4"/>
  <c r="J106" i="9"/>
  <c r="V105" i="9"/>
  <c r="AF104" i="4"/>
  <c r="AA104" i="4"/>
  <c r="J106" i="10"/>
  <c r="V105" i="10"/>
  <c r="P106" i="4"/>
  <c r="V105" i="4"/>
  <c r="M106" i="4"/>
  <c r="U105" i="4"/>
  <c r="Y105" i="4" s="1"/>
  <c r="AE105" i="4" s="1"/>
  <c r="AK105" i="4" s="1"/>
  <c r="J106" i="12"/>
  <c r="V105" i="12"/>
  <c r="AL103" i="12" l="1"/>
  <c r="AM103" i="12" s="1"/>
  <c r="AG103" i="12"/>
  <c r="W106" i="11"/>
  <c r="AB105" i="11"/>
  <c r="AH105" i="11" s="1"/>
  <c r="AN105" i="11" s="1"/>
  <c r="AD104" i="11"/>
  <c r="C101" i="18"/>
  <c r="Z105" i="9"/>
  <c r="AN103" i="9"/>
  <c r="AP103" i="9" s="1"/>
  <c r="AJ103" i="9"/>
  <c r="O102" i="18"/>
  <c r="X107" i="11"/>
  <c r="AC106" i="11"/>
  <c r="AD104" i="4"/>
  <c r="W108" i="12"/>
  <c r="AB107" i="12"/>
  <c r="AH107" i="12" s="1"/>
  <c r="AN107" i="12" s="1"/>
  <c r="U105" i="11"/>
  <c r="Y105" i="11" s="1"/>
  <c r="AE105" i="11" s="1"/>
  <c r="AK105" i="11" s="1"/>
  <c r="I106" i="11"/>
  <c r="AH104" i="9"/>
  <c r="AD104" i="9"/>
  <c r="AB105" i="9"/>
  <c r="W106" i="9"/>
  <c r="I108" i="12"/>
  <c r="AD105" i="10"/>
  <c r="AI105" i="10"/>
  <c r="AJ104" i="4"/>
  <c r="AO104" i="4"/>
  <c r="AP104" i="4" s="1"/>
  <c r="AO105" i="9"/>
  <c r="Z105" i="4"/>
  <c r="AA105" i="4" s="1"/>
  <c r="B101" i="18"/>
  <c r="AI106" i="9"/>
  <c r="M103" i="18"/>
  <c r="X108" i="9"/>
  <c r="AC107" i="9"/>
  <c r="AA104" i="9"/>
  <c r="AF104" i="9"/>
  <c r="AD105" i="12"/>
  <c r="AI105" i="12"/>
  <c r="P102" i="18"/>
  <c r="X107" i="12"/>
  <c r="AC106" i="12"/>
  <c r="AA104" i="10"/>
  <c r="AF104" i="10"/>
  <c r="F101" i="18"/>
  <c r="Z105" i="12"/>
  <c r="M106" i="12"/>
  <c r="U105" i="12"/>
  <c r="Y105" i="12" s="1"/>
  <c r="AE105" i="12" s="1"/>
  <c r="AK105" i="12" s="1"/>
  <c r="AL103" i="9"/>
  <c r="AM103" i="9" s="1"/>
  <c r="AG103" i="9"/>
  <c r="D101" i="18"/>
  <c r="Z105" i="10"/>
  <c r="U106" i="9"/>
  <c r="I107" i="9"/>
  <c r="N102" i="18"/>
  <c r="AC106" i="10"/>
  <c r="X107" i="10"/>
  <c r="AE105" i="9"/>
  <c r="AK105" i="9" s="1"/>
  <c r="AA104" i="12"/>
  <c r="AF104" i="12"/>
  <c r="AO104" i="10"/>
  <c r="AP104" i="10" s="1"/>
  <c r="AJ104" i="10"/>
  <c r="E101" i="18"/>
  <c r="Z105" i="11"/>
  <c r="AJ104" i="12"/>
  <c r="AO104" i="12"/>
  <c r="AP104" i="12" s="1"/>
  <c r="AI105" i="11"/>
  <c r="U105" i="10"/>
  <c r="Y105" i="10" s="1"/>
  <c r="AE105" i="10" s="1"/>
  <c r="AK105" i="10" s="1"/>
  <c r="I106" i="10"/>
  <c r="AO104" i="11"/>
  <c r="AP104" i="11" s="1"/>
  <c r="AJ104" i="11"/>
  <c r="AI105" i="4"/>
  <c r="AC106" i="4"/>
  <c r="X107" i="4"/>
  <c r="L102" i="18"/>
  <c r="AL103" i="10"/>
  <c r="AM103" i="10" s="1"/>
  <c r="AG103" i="10"/>
  <c r="AB105" i="4"/>
  <c r="AH105" i="4" s="1"/>
  <c r="AN105" i="4" s="1"/>
  <c r="W106" i="4"/>
  <c r="AG103" i="11"/>
  <c r="W107" i="10"/>
  <c r="AB106" i="10"/>
  <c r="AH106" i="10" s="1"/>
  <c r="AN106" i="10" s="1"/>
  <c r="AA104" i="11"/>
  <c r="AF104" i="11"/>
  <c r="M107" i="4"/>
  <c r="U106" i="4"/>
  <c r="Y106" i="4" s="1"/>
  <c r="AE106" i="4" s="1"/>
  <c r="AK106" i="4" s="1"/>
  <c r="J107" i="12"/>
  <c r="V106" i="12"/>
  <c r="AL104" i="4"/>
  <c r="AM104" i="4" s="1"/>
  <c r="AG104" i="4"/>
  <c r="P107" i="4"/>
  <c r="V106" i="4"/>
  <c r="J107" i="9"/>
  <c r="V106" i="9"/>
  <c r="AF105" i="4"/>
  <c r="J107" i="10"/>
  <c r="V106" i="10"/>
  <c r="J107" i="11"/>
  <c r="V106" i="11"/>
  <c r="AN104" i="9" l="1"/>
  <c r="AP104" i="9" s="1"/>
  <c r="AJ104" i="9"/>
  <c r="AI106" i="12"/>
  <c r="AD106" i="12"/>
  <c r="W107" i="9"/>
  <c r="AB106" i="9"/>
  <c r="U106" i="11"/>
  <c r="Y106" i="11" s="1"/>
  <c r="AE106" i="11" s="1"/>
  <c r="AK106" i="11" s="1"/>
  <c r="I107" i="11"/>
  <c r="N103" i="18"/>
  <c r="X108" i="10"/>
  <c r="AC107" i="10"/>
  <c r="M104" i="18"/>
  <c r="X109" i="9"/>
  <c r="D22" i="9" s="1"/>
  <c r="Z5" i="2" s="1"/>
  <c r="D11" i="15" s="1"/>
  <c r="AC108" i="9"/>
  <c r="Y106" i="9"/>
  <c r="AE106" i="9" s="1"/>
  <c r="AK106" i="9" s="1"/>
  <c r="AG104" i="12"/>
  <c r="AL104" i="12"/>
  <c r="AM104" i="12" s="1"/>
  <c r="AB108" i="12"/>
  <c r="AH108" i="12" s="1"/>
  <c r="AN108" i="12" s="1"/>
  <c r="W109" i="12"/>
  <c r="AB109" i="12" s="1"/>
  <c r="AB106" i="4"/>
  <c r="AH106" i="4" s="1"/>
  <c r="AN106" i="4" s="1"/>
  <c r="W107" i="4"/>
  <c r="AC107" i="11"/>
  <c r="X108" i="11"/>
  <c r="O103" i="18"/>
  <c r="AC107" i="12"/>
  <c r="P103" i="18"/>
  <c r="X108" i="12"/>
  <c r="E102" i="18"/>
  <c r="Z106" i="11"/>
  <c r="AJ105" i="4"/>
  <c r="AO105" i="4"/>
  <c r="AP105" i="4" s="1"/>
  <c r="AA105" i="9"/>
  <c r="AF105" i="9"/>
  <c r="C102" i="18"/>
  <c r="Z106" i="9"/>
  <c r="AI106" i="11"/>
  <c r="AA105" i="11"/>
  <c r="AF105" i="11"/>
  <c r="W108" i="10"/>
  <c r="AB107" i="10"/>
  <c r="AH107" i="10" s="1"/>
  <c r="AN107" i="10" s="1"/>
  <c r="AH105" i="9"/>
  <c r="AD105" i="9"/>
  <c r="AL104" i="9"/>
  <c r="AM104" i="9" s="1"/>
  <c r="AG104" i="9"/>
  <c r="AD106" i="10"/>
  <c r="AI106" i="10"/>
  <c r="AI106" i="4"/>
  <c r="L103" i="18"/>
  <c r="X108" i="4"/>
  <c r="AC107" i="4"/>
  <c r="Z106" i="4"/>
  <c r="AF106" i="4" s="1"/>
  <c r="B102" i="18"/>
  <c r="AO106" i="9"/>
  <c r="AA105" i="10"/>
  <c r="AF105" i="10"/>
  <c r="AJ105" i="12"/>
  <c r="AO105" i="12"/>
  <c r="AP105" i="12" s="1"/>
  <c r="U107" i="9"/>
  <c r="Y107" i="9" s="1"/>
  <c r="I108" i="9"/>
  <c r="U106" i="10"/>
  <c r="Y106" i="10" s="1"/>
  <c r="AE106" i="10" s="1"/>
  <c r="AK106" i="10" s="1"/>
  <c r="I107" i="10"/>
  <c r="AJ105" i="10"/>
  <c r="AO105" i="10"/>
  <c r="AP105" i="10" s="1"/>
  <c r="W107" i="11"/>
  <c r="AB106" i="11"/>
  <c r="AH106" i="11" s="1"/>
  <c r="AN106" i="11" s="1"/>
  <c r="AI107" i="9"/>
  <c r="AD105" i="4"/>
  <c r="F102" i="18"/>
  <c r="Z106" i="12"/>
  <c r="M107" i="12"/>
  <c r="U106" i="12"/>
  <c r="Y106" i="12" s="1"/>
  <c r="AL104" i="11"/>
  <c r="AM104" i="11" s="1"/>
  <c r="AG104" i="11"/>
  <c r="D102" i="18"/>
  <c r="Z106" i="10"/>
  <c r="AJ105" i="11"/>
  <c r="AO105" i="11"/>
  <c r="AP105" i="11" s="1"/>
  <c r="AD105" i="11"/>
  <c r="AA105" i="12"/>
  <c r="AF105" i="12"/>
  <c r="AL104" i="10"/>
  <c r="AM104" i="10" s="1"/>
  <c r="AG104" i="10"/>
  <c r="I109" i="12"/>
  <c r="AG105" i="4"/>
  <c r="AL105" i="4"/>
  <c r="AM105" i="4" s="1"/>
  <c r="J108" i="11"/>
  <c r="V107" i="11"/>
  <c r="J108" i="10"/>
  <c r="V107" i="10"/>
  <c r="J108" i="9"/>
  <c r="V107" i="9"/>
  <c r="P108" i="4"/>
  <c r="V107" i="4"/>
  <c r="J108" i="12"/>
  <c r="V107" i="12"/>
  <c r="M108" i="4"/>
  <c r="U107" i="4"/>
  <c r="Y107" i="4" s="1"/>
  <c r="AE107" i="4" s="1"/>
  <c r="AK107" i="4" s="1"/>
  <c r="AE107" i="9" l="1"/>
  <c r="AK107" i="9" s="1"/>
  <c r="AD106" i="11"/>
  <c r="AA106" i="4"/>
  <c r="AL105" i="10"/>
  <c r="AM105" i="10" s="1"/>
  <c r="AG105" i="10"/>
  <c r="AA106" i="9"/>
  <c r="AF106" i="9"/>
  <c r="AL105" i="9"/>
  <c r="AM105" i="9" s="1"/>
  <c r="AG105" i="9"/>
  <c r="M105" i="18"/>
  <c r="AC109" i="9"/>
  <c r="X109" i="10"/>
  <c r="D22" i="10" s="1"/>
  <c r="AC5" i="2" s="1"/>
  <c r="D12" i="15" s="1"/>
  <c r="N104" i="18"/>
  <c r="AC108" i="10"/>
  <c r="AB108" i="10"/>
  <c r="AH108" i="10" s="1"/>
  <c r="AN108" i="10" s="1"/>
  <c r="W109" i="10"/>
  <c r="AB109" i="10" s="1"/>
  <c r="AI108" i="9"/>
  <c r="AA106" i="12"/>
  <c r="AE106" i="12"/>
  <c r="AK106" i="12" s="1"/>
  <c r="M108" i="12"/>
  <c r="U107" i="12"/>
  <c r="Y107" i="12" s="1"/>
  <c r="AA106" i="11"/>
  <c r="AF106" i="11"/>
  <c r="U107" i="11"/>
  <c r="Y107" i="11" s="1"/>
  <c r="AE107" i="11" s="1"/>
  <c r="AK107" i="11" s="1"/>
  <c r="I108" i="11"/>
  <c r="L104" i="18"/>
  <c r="X109" i="4"/>
  <c r="D22" i="4" s="1"/>
  <c r="W5" i="2" s="1"/>
  <c r="D10" i="15" s="1"/>
  <c r="AC108" i="4"/>
  <c r="AF106" i="12"/>
  <c r="AH106" i="9"/>
  <c r="AD106" i="9"/>
  <c r="U108" i="9"/>
  <c r="Y108" i="9" s="1"/>
  <c r="AE108" i="9" s="1"/>
  <c r="AK108" i="9" s="1"/>
  <c r="I109" i="9"/>
  <c r="U109" i="9" s="1"/>
  <c r="F103" i="18"/>
  <c r="Z107" i="12"/>
  <c r="AA106" i="10"/>
  <c r="AF106" i="10"/>
  <c r="AD107" i="12"/>
  <c r="AI107" i="12"/>
  <c r="W108" i="9"/>
  <c r="AB107" i="9"/>
  <c r="AO106" i="11"/>
  <c r="AP106" i="11" s="1"/>
  <c r="AJ106" i="11"/>
  <c r="AI107" i="10"/>
  <c r="AD107" i="10"/>
  <c r="AI107" i="4"/>
  <c r="AO106" i="4"/>
  <c r="AP106" i="4" s="1"/>
  <c r="AJ106" i="4"/>
  <c r="AB107" i="11"/>
  <c r="AH107" i="11" s="1"/>
  <c r="AN107" i="11" s="1"/>
  <c r="W108" i="11"/>
  <c r="AH109" i="12"/>
  <c r="AL105" i="11"/>
  <c r="AM105" i="11" s="1"/>
  <c r="AG105" i="11"/>
  <c r="AO107" i="9"/>
  <c r="AO106" i="10"/>
  <c r="AP106" i="10" s="1"/>
  <c r="AJ106" i="10"/>
  <c r="O104" i="18"/>
  <c r="AC108" i="11"/>
  <c r="X109" i="11"/>
  <c r="D22" i="11" s="1"/>
  <c r="AF5" i="2" s="1"/>
  <c r="D13" i="15" s="1"/>
  <c r="AO106" i="12"/>
  <c r="AP106" i="12" s="1"/>
  <c r="AJ106" i="12"/>
  <c r="AL105" i="12"/>
  <c r="AM105" i="12" s="1"/>
  <c r="AG105" i="12"/>
  <c r="Z107" i="4"/>
  <c r="AF107" i="4" s="1"/>
  <c r="B103" i="18"/>
  <c r="C103" i="18"/>
  <c r="Z107" i="9"/>
  <c r="AD106" i="4"/>
  <c r="E103" i="18"/>
  <c r="Z107" i="11"/>
  <c r="AI107" i="11"/>
  <c r="D103" i="18"/>
  <c r="Z107" i="10"/>
  <c r="P104" i="18"/>
  <c r="X109" i="12"/>
  <c r="D22" i="12" s="1"/>
  <c r="AI5" i="2" s="1"/>
  <c r="D14" i="15" s="1"/>
  <c r="AC108" i="12"/>
  <c r="U107" i="10"/>
  <c r="Y107" i="10" s="1"/>
  <c r="AE107" i="10" s="1"/>
  <c r="AK107" i="10" s="1"/>
  <c r="I108" i="10"/>
  <c r="AN105" i="9"/>
  <c r="AP105" i="9" s="1"/>
  <c r="AJ105" i="9"/>
  <c r="AB107" i="4"/>
  <c r="AH107" i="4" s="1"/>
  <c r="AN107" i="4" s="1"/>
  <c r="W108" i="4"/>
  <c r="P109" i="4"/>
  <c r="V109" i="4" s="1"/>
  <c r="B105" i="18" s="1"/>
  <c r="V108" i="4"/>
  <c r="J109" i="10"/>
  <c r="V109" i="10" s="1"/>
  <c r="V108" i="10"/>
  <c r="M109" i="4"/>
  <c r="U109" i="4" s="1"/>
  <c r="U108" i="4"/>
  <c r="Y108" i="4" s="1"/>
  <c r="AE108" i="4" s="1"/>
  <c r="AK108" i="4" s="1"/>
  <c r="J109" i="9"/>
  <c r="V109" i="9" s="1"/>
  <c r="V108" i="9"/>
  <c r="J109" i="12"/>
  <c r="V109" i="12" s="1"/>
  <c r="V108" i="12"/>
  <c r="AG106" i="4"/>
  <c r="AL106" i="4"/>
  <c r="AM106" i="4" s="1"/>
  <c r="J109" i="11"/>
  <c r="V109" i="11" s="1"/>
  <c r="V108" i="11"/>
  <c r="F13" i="15" l="1"/>
  <c r="G13" i="15" s="1"/>
  <c r="Y109" i="9"/>
  <c r="AE109" i="9" s="1"/>
  <c r="AH109" i="10"/>
  <c r="F12" i="15"/>
  <c r="G12" i="15" s="1"/>
  <c r="F11" i="15"/>
  <c r="G11" i="15" s="1"/>
  <c r="F14" i="15"/>
  <c r="G14" i="15" s="1"/>
  <c r="AN109" i="10"/>
  <c r="D28" i="10" s="1"/>
  <c r="AC13" i="2" s="1"/>
  <c r="D24" i="10"/>
  <c r="AC8" i="2" s="1"/>
  <c r="AK109" i="9"/>
  <c r="C28" i="9" s="1"/>
  <c r="K13" i="2" s="1"/>
  <c r="C24" i="9"/>
  <c r="K8" i="2" s="1"/>
  <c r="AN109" i="12"/>
  <c r="D28" i="12" s="1"/>
  <c r="AI13" i="2" s="1"/>
  <c r="D24" i="12"/>
  <c r="AI8" i="2" s="1"/>
  <c r="AE107" i="12"/>
  <c r="AK107" i="12" s="1"/>
  <c r="F10" i="15"/>
  <c r="G10" i="15" s="1"/>
  <c r="AA107" i="4"/>
  <c r="AO107" i="12"/>
  <c r="AP107" i="12" s="1"/>
  <c r="AJ107" i="12"/>
  <c r="M109" i="12"/>
  <c r="U109" i="12" s="1"/>
  <c r="U108" i="12"/>
  <c r="Y108" i="12" s="1"/>
  <c r="AE108" i="12" s="1"/>
  <c r="AK108" i="12" s="1"/>
  <c r="AO108" i="9"/>
  <c r="AA107" i="10"/>
  <c r="AF107" i="10"/>
  <c r="AJ107" i="11"/>
  <c r="AO107" i="11"/>
  <c r="AP107" i="11" s="1"/>
  <c r="AN106" i="9"/>
  <c r="AP106" i="9" s="1"/>
  <c r="AJ106" i="9"/>
  <c r="N105" i="18"/>
  <c r="AC109" i="10"/>
  <c r="AH107" i="9"/>
  <c r="AD107" i="9"/>
  <c r="AI108" i="11"/>
  <c r="E104" i="18"/>
  <c r="Z108" i="11"/>
  <c r="AG106" i="12"/>
  <c r="AL106" i="12"/>
  <c r="AM106" i="12" s="1"/>
  <c r="AI109" i="9"/>
  <c r="D25" i="9" s="1"/>
  <c r="Z9" i="2" s="1"/>
  <c r="AG106" i="11"/>
  <c r="AL106" i="11"/>
  <c r="AM106" i="11" s="1"/>
  <c r="O105" i="18"/>
  <c r="AC109" i="11"/>
  <c r="U108" i="10"/>
  <c r="Y108" i="10" s="1"/>
  <c r="AE108" i="10" s="1"/>
  <c r="AK108" i="10" s="1"/>
  <c r="I109" i="10"/>
  <c r="U109" i="10" s="1"/>
  <c r="F104" i="18"/>
  <c r="Z108" i="12"/>
  <c r="AD107" i="11"/>
  <c r="C22" i="11"/>
  <c r="Q5" i="2" s="1"/>
  <c r="D5" i="15" s="1"/>
  <c r="E105" i="18"/>
  <c r="Z109" i="11"/>
  <c r="C22" i="12"/>
  <c r="T5" i="2" s="1"/>
  <c r="D6" i="15" s="1"/>
  <c r="F105" i="18"/>
  <c r="Z109" i="12"/>
  <c r="AI108" i="4"/>
  <c r="AA107" i="9"/>
  <c r="AF107" i="9"/>
  <c r="AO107" i="4"/>
  <c r="AP107" i="4" s="1"/>
  <c r="AJ107" i="4"/>
  <c r="AC109" i="4"/>
  <c r="L105" i="18"/>
  <c r="AL106" i="9"/>
  <c r="AM106" i="9" s="1"/>
  <c r="AG106" i="9"/>
  <c r="W109" i="4"/>
  <c r="AB109" i="4" s="1"/>
  <c r="AB108" i="4"/>
  <c r="AH108" i="4" s="1"/>
  <c r="AN108" i="4" s="1"/>
  <c r="AL106" i="10"/>
  <c r="AM106" i="10" s="1"/>
  <c r="AG106" i="10"/>
  <c r="AA107" i="12"/>
  <c r="AF107" i="12"/>
  <c r="AD107" i="4"/>
  <c r="W109" i="9"/>
  <c r="AB109" i="9" s="1"/>
  <c r="AB108" i="9"/>
  <c r="P105" i="18"/>
  <c r="AC109" i="12"/>
  <c r="AI108" i="12"/>
  <c r="AD108" i="12"/>
  <c r="C104" i="18"/>
  <c r="Z108" i="9"/>
  <c r="Y109" i="4"/>
  <c r="AE109" i="4" s="1"/>
  <c r="AK109" i="4" s="1"/>
  <c r="C28" i="4" s="1"/>
  <c r="H13" i="2" s="1"/>
  <c r="D104" i="18"/>
  <c r="Z108" i="10"/>
  <c r="C22" i="10"/>
  <c r="N5" i="2" s="1"/>
  <c r="D4" i="15" s="1"/>
  <c r="D105" i="18"/>
  <c r="Z109" i="10"/>
  <c r="Z108" i="4"/>
  <c r="AF108" i="4" s="1"/>
  <c r="B104" i="18"/>
  <c r="AO107" i="10"/>
  <c r="AP107" i="10" s="1"/>
  <c r="AJ107" i="10"/>
  <c r="U108" i="11"/>
  <c r="Y108" i="11" s="1"/>
  <c r="AE108" i="11" s="1"/>
  <c r="AK108" i="11" s="1"/>
  <c r="I109" i="11"/>
  <c r="U109" i="11" s="1"/>
  <c r="Y109" i="11" s="1"/>
  <c r="AE109" i="11" s="1"/>
  <c r="AI108" i="10"/>
  <c r="AD108" i="10"/>
  <c r="C22" i="9"/>
  <c r="K5" i="2" s="1"/>
  <c r="D3" i="15" s="1"/>
  <c r="C105" i="18"/>
  <c r="Z109" i="9"/>
  <c r="W109" i="11"/>
  <c r="AB109" i="11" s="1"/>
  <c r="AB108" i="11"/>
  <c r="AH108" i="11" s="1"/>
  <c r="AN108" i="11" s="1"/>
  <c r="AA107" i="11"/>
  <c r="AF107" i="11"/>
  <c r="AL107" i="4"/>
  <c r="AM107" i="4" s="1"/>
  <c r="AG107" i="4"/>
  <c r="C24" i="4"/>
  <c r="H8" i="2" s="1"/>
  <c r="Z109" i="4"/>
  <c r="C22" i="4"/>
  <c r="H5" i="2" s="1"/>
  <c r="D2" i="15" s="1"/>
  <c r="AK109" i="11" l="1"/>
  <c r="C28" i="11" s="1"/>
  <c r="Q13" i="2" s="1"/>
  <c r="C24" i="11"/>
  <c r="Q8" i="2" s="1"/>
  <c r="AD108" i="4"/>
  <c r="Y109" i="12"/>
  <c r="AE109" i="12" s="1"/>
  <c r="AL107" i="11"/>
  <c r="AM107" i="11" s="1"/>
  <c r="AG107" i="11"/>
  <c r="AL107" i="9"/>
  <c r="AM107" i="9" s="1"/>
  <c r="AG107" i="9"/>
  <c r="AO108" i="11"/>
  <c r="AP108" i="11" s="1"/>
  <c r="AJ108" i="11"/>
  <c r="AA109" i="12"/>
  <c r="AF109" i="12"/>
  <c r="C25" i="12" s="1"/>
  <c r="T9" i="2" s="1"/>
  <c r="AD109" i="10"/>
  <c r="AI109" i="10"/>
  <c r="D25" i="10" s="1"/>
  <c r="AC9" i="2" s="1"/>
  <c r="AL107" i="12"/>
  <c r="AM107" i="12" s="1"/>
  <c r="AG107" i="12"/>
  <c r="AO108" i="12"/>
  <c r="AP108" i="12" s="1"/>
  <c r="AJ108" i="12"/>
  <c r="AN107" i="9"/>
  <c r="AP107" i="9" s="1"/>
  <c r="AJ107" i="9"/>
  <c r="F6" i="15"/>
  <c r="G6" i="15" s="1"/>
  <c r="Y109" i="10"/>
  <c r="AE109" i="10" s="1"/>
  <c r="AL107" i="10"/>
  <c r="AM107" i="10" s="1"/>
  <c r="AG107" i="10"/>
  <c r="AJ108" i="4"/>
  <c r="AO108" i="4"/>
  <c r="AP108" i="4" s="1"/>
  <c r="AI109" i="11"/>
  <c r="D25" i="11" s="1"/>
  <c r="AF9" i="2" s="1"/>
  <c r="AD109" i="11"/>
  <c r="AO108" i="10"/>
  <c r="AP108" i="10" s="1"/>
  <c r="AJ108" i="10"/>
  <c r="AA108" i="12"/>
  <c r="AF108" i="12"/>
  <c r="AA109" i="9"/>
  <c r="AA109" i="11"/>
  <c r="AF109" i="11"/>
  <c r="C25" i="11" s="1"/>
  <c r="Q9" i="2" s="1"/>
  <c r="AH109" i="4"/>
  <c r="AA108" i="9"/>
  <c r="AF108" i="9"/>
  <c r="AF109" i="9" s="1"/>
  <c r="C25" i="9" s="1"/>
  <c r="K9" i="2" s="1"/>
  <c r="AA108" i="4"/>
  <c r="AA108" i="10"/>
  <c r="AF108" i="10"/>
  <c r="AD109" i="4"/>
  <c r="AI109" i="4"/>
  <c r="D25" i="4" s="1"/>
  <c r="W9" i="2" s="1"/>
  <c r="AO109" i="9"/>
  <c r="D29" i="9" s="1"/>
  <c r="Z14" i="2" s="1"/>
  <c r="E11" i="15" s="1"/>
  <c r="AA108" i="11"/>
  <c r="AF108" i="11"/>
  <c r="AH109" i="11"/>
  <c r="AD108" i="11"/>
  <c r="AD109" i="12"/>
  <c r="AI109" i="12"/>
  <c r="D25" i="12" s="1"/>
  <c r="AI9" i="2" s="1"/>
  <c r="AH108" i="9"/>
  <c r="AH109" i="9" s="1"/>
  <c r="D24" i="9" s="1"/>
  <c r="Z8" i="2" s="1"/>
  <c r="AD108" i="9"/>
  <c r="AD109" i="9"/>
  <c r="AF109" i="4"/>
  <c r="AA109" i="4"/>
  <c r="AG108" i="4"/>
  <c r="AL108" i="4"/>
  <c r="AM108" i="4" s="1"/>
  <c r="F2" i="15"/>
  <c r="G2" i="15" s="1"/>
  <c r="F3" i="15"/>
  <c r="G3" i="15" s="1"/>
  <c r="F4" i="15"/>
  <c r="G4" i="15" s="1"/>
  <c r="F5" i="15"/>
  <c r="G5" i="15" s="1"/>
  <c r="AK109" i="10" l="1"/>
  <c r="C28" i="10" s="1"/>
  <c r="N13" i="2" s="1"/>
  <c r="C24" i="10"/>
  <c r="N8" i="2" s="1"/>
  <c r="AN109" i="4"/>
  <c r="D28" i="4" s="1"/>
  <c r="W13" i="2" s="1"/>
  <c r="D24" i="4"/>
  <c r="W8" i="2" s="1"/>
  <c r="AK109" i="12"/>
  <c r="C28" i="12" s="1"/>
  <c r="T13" i="2" s="1"/>
  <c r="C24" i="12"/>
  <c r="T8" i="2" s="1"/>
  <c r="AN109" i="11"/>
  <c r="D28" i="11" s="1"/>
  <c r="AF13" i="2" s="1"/>
  <c r="D24" i="11"/>
  <c r="AF8" i="2" s="1"/>
  <c r="AL109" i="9"/>
  <c r="AG109" i="9"/>
  <c r="C26" i="9" s="1"/>
  <c r="K10" i="2" s="1"/>
  <c r="AN109" i="9"/>
  <c r="D28" i="9" s="1"/>
  <c r="Z13" i="2" s="1"/>
  <c r="AJ109" i="9"/>
  <c r="D26" i="9" s="1"/>
  <c r="Z10" i="2" s="1"/>
  <c r="AG108" i="10"/>
  <c r="AL108" i="10"/>
  <c r="AM108" i="10" s="1"/>
  <c r="AL108" i="9"/>
  <c r="AM108" i="9" s="1"/>
  <c r="AG108" i="9"/>
  <c r="AL109" i="11"/>
  <c r="AG109" i="11"/>
  <c r="C26" i="11" s="1"/>
  <c r="Q10" i="2" s="1"/>
  <c r="AJ109" i="12"/>
  <c r="D26" i="12" s="1"/>
  <c r="AI10" i="2" s="1"/>
  <c r="AO109" i="12"/>
  <c r="AA109" i="10"/>
  <c r="AF109" i="10"/>
  <c r="C25" i="10" s="1"/>
  <c r="N9" i="2" s="1"/>
  <c r="AL109" i="12"/>
  <c r="AG109" i="12"/>
  <c r="C26" i="12" s="1"/>
  <c r="T10" i="2" s="1"/>
  <c r="AG108" i="12"/>
  <c r="AL108" i="12"/>
  <c r="AM108" i="12" s="1"/>
  <c r="AL108" i="11"/>
  <c r="AM108" i="11" s="1"/>
  <c r="AG108" i="11"/>
  <c r="AN108" i="9"/>
  <c r="AP108" i="9" s="1"/>
  <c r="AJ108" i="9"/>
  <c r="AJ109" i="10"/>
  <c r="D26" i="10" s="1"/>
  <c r="AC10" i="2" s="1"/>
  <c r="AO109" i="10"/>
  <c r="AO109" i="4"/>
  <c r="AJ109" i="4"/>
  <c r="D26" i="4" s="1"/>
  <c r="W10" i="2" s="1"/>
  <c r="AO109" i="11"/>
  <c r="AJ109" i="11"/>
  <c r="D26" i="11" s="1"/>
  <c r="AF10" i="2" s="1"/>
  <c r="C25" i="4"/>
  <c r="H9" i="2" s="1"/>
  <c r="AG109" i="4"/>
  <c r="C26" i="4" s="1"/>
  <c r="H10" i="2" s="1"/>
  <c r="AL109" i="4"/>
  <c r="AP109" i="9" l="1"/>
  <c r="D30" i="9" s="1"/>
  <c r="Z15" i="2" s="1"/>
  <c r="AP109" i="4"/>
  <c r="D30" i="4" s="1"/>
  <c r="W15" i="2" s="1"/>
  <c r="D29" i="4"/>
  <c r="W14" i="2" s="1"/>
  <c r="E10" i="15" s="1"/>
  <c r="AP109" i="12"/>
  <c r="D30" i="12" s="1"/>
  <c r="AI15" i="2" s="1"/>
  <c r="D29" i="12"/>
  <c r="AI14" i="2" s="1"/>
  <c r="E14" i="15" s="1"/>
  <c r="AM109" i="11"/>
  <c r="C30" i="11" s="1"/>
  <c r="Q15" i="2" s="1"/>
  <c r="C29" i="11"/>
  <c r="Q14" i="2" s="1"/>
  <c r="E5" i="15" s="1"/>
  <c r="AP109" i="10"/>
  <c r="D30" i="10" s="1"/>
  <c r="AC15" i="2" s="1"/>
  <c r="D29" i="10"/>
  <c r="AC14" i="2" s="1"/>
  <c r="E12" i="15" s="1"/>
  <c r="AM109" i="9"/>
  <c r="C30" i="9" s="1"/>
  <c r="K15" i="2" s="1"/>
  <c r="C29" i="9"/>
  <c r="K14" i="2" s="1"/>
  <c r="E3" i="15" s="1"/>
  <c r="AP109" i="11"/>
  <c r="D30" i="11" s="1"/>
  <c r="AF15" i="2" s="1"/>
  <c r="D29" i="11"/>
  <c r="AF14" i="2" s="1"/>
  <c r="E13" i="15" s="1"/>
  <c r="AM109" i="12"/>
  <c r="C30" i="12" s="1"/>
  <c r="T15" i="2" s="1"/>
  <c r="C29" i="12"/>
  <c r="T14" i="2" s="1"/>
  <c r="E6" i="15" s="1"/>
  <c r="AG109" i="10"/>
  <c r="C26" i="10" s="1"/>
  <c r="N10" i="2" s="1"/>
  <c r="AL109" i="10"/>
  <c r="AM109" i="4"/>
  <c r="C30" i="4" s="1"/>
  <c r="H15" i="2" s="1"/>
  <c r="C29" i="4"/>
  <c r="H14" i="2" s="1"/>
  <c r="E2" i="15" s="1"/>
  <c r="AM109" i="10" l="1"/>
  <c r="C30" i="10" s="1"/>
  <c r="N15" i="2" s="1"/>
  <c r="C29" i="10"/>
  <c r="N14" i="2" s="1"/>
  <c r="E4" i="15" s="1"/>
  <c r="I2" i="15" s="1" a="1"/>
  <c r="I10" i="15" a="1"/>
  <c r="M58" i="2" l="1"/>
  <c r="R49" i="2"/>
  <c r="R55" i="2"/>
  <c r="N52" i="2"/>
  <c r="P61" i="2"/>
  <c r="Q61" i="2" s="1"/>
  <c r="M61" i="2"/>
  <c r="R58" i="2"/>
  <c r="N61" i="2"/>
  <c r="N55" i="2"/>
  <c r="R52" i="2"/>
  <c r="M55" i="2"/>
  <c r="P58" i="2"/>
  <c r="Q58" i="2" s="1"/>
  <c r="R61" i="2"/>
  <c r="T61" i="2" s="1"/>
  <c r="P52" i="2"/>
  <c r="Q52" i="2" s="1"/>
  <c r="I2" i="15"/>
  <c r="N49" i="2" s="1"/>
  <c r="M49" i="2"/>
  <c r="M52" i="2"/>
  <c r="N58" i="2"/>
  <c r="P55" i="2"/>
  <c r="P49" i="2"/>
  <c r="Q49" i="2" s="1"/>
  <c r="AE52" i="2"/>
  <c r="AF52" i="2" s="1"/>
  <c r="AB55" i="2"/>
  <c r="AB52" i="2"/>
  <c r="AG61" i="2"/>
  <c r="AI61" i="2" s="1"/>
  <c r="AE61" i="2"/>
  <c r="AF61" i="2" s="1"/>
  <c r="AG49" i="2"/>
  <c r="AI49" i="2" s="1"/>
  <c r="AG55" i="2"/>
  <c r="AI55" i="2" s="1"/>
  <c r="AB61" i="2"/>
  <c r="AE58" i="2"/>
  <c r="AF58" i="2" s="1"/>
  <c r="AG58" i="2"/>
  <c r="AI58" i="2" s="1"/>
  <c r="AE55" i="2"/>
  <c r="AF55" i="2" s="1"/>
  <c r="AC61" i="2"/>
  <c r="AG52" i="2"/>
  <c r="AI52" i="2" s="1"/>
  <c r="AE49" i="2"/>
  <c r="AF49" i="2" s="1"/>
  <c r="AB49" i="2"/>
  <c r="AC52" i="2"/>
  <c r="AC55" i="2"/>
  <c r="AC58" i="2"/>
  <c r="AB58" i="2"/>
  <c r="I10" i="15"/>
  <c r="AC49" i="2" s="1"/>
  <c r="T55" i="2"/>
  <c r="Q55" i="2"/>
  <c r="T49" i="2"/>
  <c r="T52" i="2"/>
  <c r="T58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<sst xmlns="http://schemas.openxmlformats.org/spreadsheetml/2006/main" count="758" uniqueCount="80">
  <si>
    <t>Stocks</t>
  </si>
  <si>
    <t>Bonds</t>
  </si>
  <si>
    <t>Alternatives</t>
  </si>
  <si>
    <t>Time Horizon (Years)</t>
  </si>
  <si>
    <t>Initial Capital ($)</t>
  </si>
  <si>
    <t>PPLI Policy Costs</t>
  </si>
  <si>
    <t>PPLI Start Up Costs</t>
  </si>
  <si>
    <t>Federal Income Tax</t>
  </si>
  <si>
    <t>Capital Gains Tax</t>
  </si>
  <si>
    <t>Net Investment Income Tax</t>
  </si>
  <si>
    <t>State Income Tax</t>
  </si>
  <si>
    <t>Total</t>
  </si>
  <si>
    <t>Weight</t>
  </si>
  <si>
    <t>PPLI Allocation</t>
  </si>
  <si>
    <t>Stocks (PPLI)</t>
  </si>
  <si>
    <t>Bonds (PPLI)</t>
  </si>
  <si>
    <t>Alternatives (PPLI)</t>
  </si>
  <si>
    <t>Returns</t>
  </si>
  <si>
    <t>Stocks (Taxable)</t>
  </si>
  <si>
    <t>Bonds (Taxable)</t>
  </si>
  <si>
    <t>Alternatives (Taxable)</t>
  </si>
  <si>
    <t>Return</t>
  </si>
  <si>
    <t>Drag</t>
  </si>
  <si>
    <t>Weighted Average</t>
  </si>
  <si>
    <t>Period Return</t>
  </si>
  <si>
    <t>Total Return</t>
  </si>
  <si>
    <t>Total Return (Annualized)</t>
  </si>
  <si>
    <t>Year</t>
  </si>
  <si>
    <t>Contributions</t>
  </si>
  <si>
    <t>Investment Settings</t>
  </si>
  <si>
    <t>Starting Capital ($)</t>
  </si>
  <si>
    <t>Investment Horizon (Years)</t>
  </si>
  <si>
    <t>Portfolio Allocation (%)</t>
  </si>
  <si>
    <t>PPLI Allocation (%)</t>
  </si>
  <si>
    <t>Return Assumptions (%)</t>
  </si>
  <si>
    <t>Tax Assumptions (%)</t>
  </si>
  <si>
    <t>PPLI Costs (%)</t>
  </si>
  <si>
    <t>Additional Contributions</t>
  </si>
  <si>
    <t>Amount ($)</t>
  </si>
  <si>
    <t>Ordinary Income</t>
  </si>
  <si>
    <t>Capital Gains</t>
  </si>
  <si>
    <t>NIIT</t>
  </si>
  <si>
    <t>Metrics</t>
  </si>
  <si>
    <t>Projected Value</t>
  </si>
  <si>
    <t>Annualized Return</t>
  </si>
  <si>
    <t>Custom</t>
  </si>
  <si>
    <t>Alternatives Enhanced (Taxable)</t>
  </si>
  <si>
    <t>Alternatives Enhanced (PPLI)</t>
  </si>
  <si>
    <t>Traditional (Taxable)</t>
  </si>
  <si>
    <t>Traditional (PPLI)</t>
  </si>
  <si>
    <t>Row Labels</t>
  </si>
  <si>
    <t>Grand Total</t>
  </si>
  <si>
    <t>Custom_</t>
  </si>
  <si>
    <t>Traditional (Taxable)_</t>
  </si>
  <si>
    <t>Traditional (PPLI)_</t>
  </si>
  <si>
    <t>Alternatives Enhanced (Taxable)_</t>
  </si>
  <si>
    <t>Alternatives Enhanced (PPLI)_</t>
  </si>
  <si>
    <t>Gross</t>
  </si>
  <si>
    <t>Net</t>
  </si>
  <si>
    <t>Period Drag</t>
  </si>
  <si>
    <t>Total Drag</t>
  </si>
  <si>
    <t>Annaulized Drag</t>
  </si>
  <si>
    <t>Total Return (Gross)</t>
  </si>
  <si>
    <t>Total Return (Drag)</t>
  </si>
  <si>
    <t>Total Return (Net)</t>
  </si>
  <si>
    <t>Annualized Return (Gross)</t>
  </si>
  <si>
    <t>Annualized Return (Net)</t>
  </si>
  <si>
    <t>Annualized Return (Drag)</t>
  </si>
  <si>
    <t>1st</t>
  </si>
  <si>
    <t>2nd</t>
  </si>
  <si>
    <t>3rd</t>
  </si>
  <si>
    <t>4th</t>
  </si>
  <si>
    <t>5th</t>
  </si>
  <si>
    <t>Strategy</t>
  </si>
  <si>
    <t>Rank</t>
  </si>
  <si>
    <t>Policy Costs</t>
  </si>
  <si>
    <t>Buy &amp; Hold</t>
  </si>
  <si>
    <t>Rebalanced</t>
  </si>
  <si>
    <t>* Weights Static</t>
  </si>
  <si>
    <t>Allocation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</si>
</sst>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rial"/>
      <family val="2"/>
    </font>
    <font>
      <sz val="11"/>
      <name val="Aptos Narrow"/>
      <family val="2"/>
      <scheme val="minor"/>
    </font>
    <font>
      <b/>
      <sz val="9"/>
      <name val="Arial"/>
      <family val="2"/>
    </font>
    <font>
      <sz val="10"/>
      <color theme="0"/>
      <name val="Arial"/>
      <family val="2"/>
    </font>
    <font>
      <sz val="11"/>
      <color theme="3" tint="9.9978637043366805E-2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b/>
      <sz val="9"/>
      <color theme="0"/>
      <name val="Aparajita"/>
      <family val="1"/>
    </font>
    <font>
      <sz val="9"/>
      <name val="Aparajita"/>
      <family val="1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164" fontId="0" fillId="3" borderId="2" xfId="5" applyNumberFormat="1" applyFont="1" applyAlignment="1">
      <alignment horizontal="center"/>
    </xf>
    <xf numFmtId="0" fontId="0" fillId="3" borderId="2" xfId="5" applyNumberFormat="1" applyFont="1" applyAlignment="1">
      <alignment horizontal="center"/>
    </xf>
    <xf numFmtId="10" fontId="0" fillId="3" borderId="2" xfId="5" applyNumberFormat="1" applyFont="1" applyAlignment="1">
      <alignment horizontal="center"/>
    </xf>
    <xf numFmtId="0" fontId="0" fillId="0" borderId="3" xfId="0" applyBorder="1" applyAlignment="1">
      <alignment horizontal="center"/>
    </xf>
    <xf numFmtId="10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3" applyNumberFormat="1" applyFont="1"/>
    <xf numFmtId="10" fontId="0" fillId="0" borderId="0" xfId="3" applyNumberFormat="1" applyFont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 vertical="center"/>
    </xf>
    <xf numFmtId="0" fontId="4" fillId="10" borderId="0" xfId="1" applyNumberFormat="1" applyFont="1" applyFill="1" applyBorder="1" applyAlignment="1">
      <alignment horizontal="center"/>
    </xf>
    <xf numFmtId="164" fontId="4" fillId="10" borderId="0" xfId="1" applyNumberFormat="1" applyFont="1" applyFill="1" applyBorder="1"/>
    <xf numFmtId="0" fontId="6" fillId="11" borderId="5" xfId="6" applyFont="1" applyFill="1" applyBorder="1" applyAlignment="1">
      <alignment horizontal="center" vertical="center"/>
    </xf>
    <xf numFmtId="0" fontId="4" fillId="11" borderId="6" xfId="6" applyFont="1" applyFill="1" applyBorder="1" applyAlignment="1">
      <alignment horizontal="left" vertical="center"/>
    </xf>
    <xf numFmtId="0" fontId="4" fillId="11" borderId="8" xfId="6" applyFont="1" applyFill="1" applyBorder="1" applyAlignment="1">
      <alignment horizontal="left" vertical="center"/>
    </xf>
    <xf numFmtId="10" fontId="2" fillId="2" borderId="1" xfId="4" applyNumberFormat="1" applyAlignment="1">
      <alignment horizontal="center"/>
    </xf>
    <xf numFmtId="4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0" fontId="0" fillId="12" borderId="0" xfId="3" applyNumberFormat="1" applyFont="1" applyFill="1" applyAlignment="1">
      <alignment horizontal="center"/>
    </xf>
    <xf numFmtId="164" fontId="8" fillId="13" borderId="4" xfId="5" applyNumberFormat="1" applyFont="1" applyFill="1" applyBorder="1" applyAlignment="1">
      <alignment horizontal="center" vertical="center"/>
    </xf>
    <xf numFmtId="10" fontId="8" fillId="13" borderId="4" xfId="3" applyNumberFormat="1" applyFont="1" applyFill="1" applyBorder="1" applyAlignment="1">
      <alignment horizontal="center" vertical="center"/>
    </xf>
    <xf numFmtId="164" fontId="9" fillId="13" borderId="4" xfId="5" applyNumberFormat="1" applyFont="1" applyFill="1" applyBorder="1" applyAlignment="1">
      <alignment horizontal="center" vertical="center"/>
    </xf>
    <xf numFmtId="10" fontId="9" fillId="13" borderId="4" xfId="3" applyNumberFormat="1" applyFont="1" applyFill="1" applyBorder="1" applyAlignment="1">
      <alignment horizontal="center" vertical="center"/>
    </xf>
    <xf numFmtId="164" fontId="10" fillId="13" borderId="4" xfId="5" applyNumberFormat="1" applyFont="1" applyFill="1" applyBorder="1" applyAlignment="1">
      <alignment horizontal="center" vertical="center"/>
    </xf>
    <xf numFmtId="10" fontId="10" fillId="13" borderId="4" xfId="3" applyNumberFormat="1" applyFont="1" applyFill="1" applyBorder="1" applyAlignment="1">
      <alignment horizontal="center" vertical="center"/>
    </xf>
    <xf numFmtId="164" fontId="11" fillId="13" borderId="4" xfId="5" applyNumberFormat="1" applyFont="1" applyFill="1" applyBorder="1" applyAlignment="1">
      <alignment horizontal="center" vertical="center"/>
    </xf>
    <xf numFmtId="10" fontId="11" fillId="13" borderId="4" xfId="3" applyNumberFormat="1" applyFont="1" applyFill="1" applyBorder="1" applyAlignment="1">
      <alignment horizontal="center" vertical="center"/>
    </xf>
    <xf numFmtId="164" fontId="12" fillId="13" borderId="4" xfId="5" applyNumberFormat="1" applyFont="1" applyFill="1" applyBorder="1" applyAlignment="1">
      <alignment horizontal="center" vertical="center"/>
    </xf>
    <xf numFmtId="10" fontId="12" fillId="13" borderId="4" xfId="3" applyNumberFormat="1" applyFont="1" applyFill="1" applyBorder="1" applyAlignment="1">
      <alignment horizontal="center" vertical="center"/>
    </xf>
    <xf numFmtId="43" fontId="0" fillId="0" borderId="0" xfId="1" applyFont="1"/>
    <xf numFmtId="164" fontId="5" fillId="3" borderId="4" xfId="5" applyNumberFormat="1" applyFont="1" applyBorder="1" applyAlignment="1" applyProtection="1">
      <alignment horizontal="center" vertical="center"/>
      <protection locked="0"/>
    </xf>
    <xf numFmtId="0" fontId="5" fillId="3" borderId="4" xfId="5" applyFont="1" applyBorder="1" applyAlignment="1" applyProtection="1">
      <alignment horizontal="center" vertical="center"/>
      <protection locked="0"/>
    </xf>
    <xf numFmtId="10" fontId="5" fillId="3" borderId="4" xfId="5" applyNumberFormat="1" applyFont="1" applyBorder="1" applyAlignment="1" applyProtection="1">
      <alignment horizontal="center" vertical="center"/>
      <protection locked="0"/>
    </xf>
    <xf numFmtId="0" fontId="4" fillId="3" borderId="4" xfId="5" applyNumberFormat="1" applyFont="1" applyBorder="1" applyAlignment="1" applyProtection="1">
      <alignment horizontal="center"/>
      <protection locked="0"/>
    </xf>
    <xf numFmtId="164" fontId="4" fillId="3" borderId="4" xfId="5" applyNumberFormat="1" applyFont="1" applyBorder="1" applyAlignment="1" applyProtection="1">
      <alignment horizontal="center"/>
      <protection locked="0"/>
    </xf>
    <xf numFmtId="0" fontId="7" fillId="9" borderId="4" xfId="0" applyFont="1" applyFill="1" applyBorder="1" applyAlignment="1">
      <alignment horizontal="center" vertical="center"/>
    </xf>
    <xf numFmtId="0" fontId="3" fillId="8" borderId="4" xfId="10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3" fillId="4" borderId="4" xfId="6" applyBorder="1" applyAlignment="1">
      <alignment horizontal="center"/>
    </xf>
    <xf numFmtId="0" fontId="3" fillId="5" borderId="4" xfId="7" applyBorder="1" applyAlignment="1">
      <alignment horizontal="center"/>
    </xf>
    <xf numFmtId="0" fontId="3" fillId="6" borderId="4" xfId="8" applyBorder="1" applyAlignment="1">
      <alignment horizontal="center"/>
    </xf>
    <xf numFmtId="0" fontId="3" fillId="7" borderId="4" xfId="9" applyBorder="1" applyAlignment="1">
      <alignment horizontal="center"/>
    </xf>
    <xf numFmtId="10" fontId="14" fillId="13" borderId="13" xfId="3" applyNumberFormat="1" applyFont="1" applyFill="1" applyBorder="1" applyAlignment="1">
      <alignment horizontal="center" vertical="center"/>
    </xf>
    <xf numFmtId="164" fontId="14" fillId="13" borderId="12" xfId="2" applyNumberFormat="1" applyFont="1" applyFill="1" applyBorder="1" applyAlignment="1">
      <alignment horizontal="center" vertical="center"/>
    </xf>
    <xf numFmtId="164" fontId="14" fillId="13" borderId="0" xfId="2" applyNumberFormat="1" applyFont="1" applyFill="1" applyBorder="1" applyAlignment="1">
      <alignment horizontal="center" vertical="center"/>
    </xf>
    <xf numFmtId="10" fontId="14" fillId="13" borderId="12" xfId="3" applyNumberFormat="1" applyFont="1" applyFill="1" applyBorder="1" applyAlignment="1">
      <alignment horizontal="center" vertical="center"/>
    </xf>
    <xf numFmtId="10" fontId="14" fillId="13" borderId="14" xfId="3" applyNumberFormat="1" applyFont="1" applyFill="1" applyBorder="1" applyAlignment="1">
      <alignment horizontal="center" vertical="center"/>
    </xf>
    <xf numFmtId="10" fontId="14" fillId="13" borderId="8" xfId="3" applyNumberFormat="1" applyFont="1" applyFill="1" applyBorder="1" applyAlignment="1">
      <alignment horizontal="center" vertical="center"/>
    </xf>
    <xf numFmtId="164" fontId="14" fillId="13" borderId="13" xfId="0" applyNumberFormat="1" applyFont="1" applyFill="1" applyBorder="1" applyAlignment="1">
      <alignment horizontal="center" vertical="center"/>
    </xf>
    <xf numFmtId="164" fontId="14" fillId="13" borderId="14" xfId="0" applyNumberFormat="1" applyFont="1" applyFill="1" applyBorder="1" applyAlignment="1">
      <alignment horizontal="center" vertical="center"/>
    </xf>
    <xf numFmtId="164" fontId="14" fillId="13" borderId="8" xfId="2" applyNumberFormat="1" applyFont="1" applyFill="1" applyBorder="1" applyAlignment="1">
      <alignment horizontal="center" vertical="center"/>
    </xf>
    <xf numFmtId="164" fontId="14" fillId="13" borderId="3" xfId="2" applyNumberFormat="1" applyFont="1" applyFill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6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horizontal="center" vertical="center"/>
    </xf>
    <xf numFmtId="164" fontId="13" fillId="14" borderId="10" xfId="0" applyNumberFormat="1" applyFont="1" applyFill="1" applyBorder="1" applyAlignment="1">
      <alignment horizontal="center" vertical="center"/>
    </xf>
    <xf numFmtId="164" fontId="13" fillId="14" borderId="9" xfId="0" applyNumberFormat="1" applyFont="1" applyFill="1" applyBorder="1" applyAlignment="1">
      <alignment horizontal="center" vertical="center"/>
    </xf>
    <xf numFmtId="164" fontId="13" fillId="14" borderId="11" xfId="0" applyNumberFormat="1" applyFont="1" applyFill="1" applyBorder="1" applyAlignment="1">
      <alignment horizontal="center" vertical="center"/>
    </xf>
    <xf numFmtId="164" fontId="13" fillId="14" borderId="12" xfId="0" applyNumberFormat="1" applyFont="1" applyFill="1" applyBorder="1" applyAlignment="1">
      <alignment horizontal="center" vertical="center"/>
    </xf>
    <xf numFmtId="164" fontId="13" fillId="14" borderId="0" xfId="0" applyNumberFormat="1" applyFont="1" applyFill="1" applyAlignment="1">
      <alignment horizontal="center" vertical="center"/>
    </xf>
    <xf numFmtId="164" fontId="13" fillId="14" borderId="13" xfId="0" applyNumberFormat="1" applyFont="1" applyFill="1" applyBorder="1" applyAlignment="1">
      <alignment horizontal="center" vertical="center"/>
    </xf>
    <xf numFmtId="164" fontId="13" fillId="14" borderId="8" xfId="0" applyNumberFormat="1" applyFont="1" applyFill="1" applyBorder="1" applyAlignment="1">
      <alignment horizontal="center" vertical="center"/>
    </xf>
    <xf numFmtId="164" fontId="13" fillId="14" borderId="3" xfId="0" applyNumberFormat="1" applyFont="1" applyFill="1" applyBorder="1" applyAlignment="1">
      <alignment horizontal="center" vertical="center"/>
    </xf>
    <xf numFmtId="164" fontId="13" fillId="14" borderId="14" xfId="0" applyNumberFormat="1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0" fillId="15" borderId="0" xfId="0" applyFont="1" applyFill="1" applyAlignment="1">
      <alignment horizontal="center"/>
    </xf>
    <xf numFmtId="0" fontId="0" fillId="16" borderId="0" xfId="0" applyFont="1" applyFill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64" fontId="14" fillId="13" borderId="11" xfId="0" applyNumberFormat="1" applyFont="1" applyFill="1" applyBorder="1" applyAlignment="1">
      <alignment horizontal="center" vertical="center"/>
    </xf>
    <xf numFmtId="164" fontId="14" fillId="13" borderId="10" xfId="2" applyNumberFormat="1" applyFont="1" applyFill="1" applyBorder="1" applyAlignment="1">
      <alignment horizontal="center" vertical="center"/>
    </xf>
    <xf numFmtId="164" fontId="14" fillId="13" borderId="9" xfId="2" applyNumberFormat="1" applyFont="1" applyFill="1" applyBorder="1" applyAlignment="1">
      <alignment horizontal="center" vertical="center"/>
    </xf>
    <xf numFmtId="10" fontId="14" fillId="13" borderId="11" xfId="3" applyNumberFormat="1" applyFont="1" applyFill="1" applyBorder="1" applyAlignment="1">
      <alignment horizontal="center" vertical="center"/>
    </xf>
    <xf numFmtId="10" fontId="14" fillId="13" borderId="10" xfId="3" applyNumberFormat="1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15" xfId="0" applyFont="1" applyFill="1" applyBorder="1" applyAlignment="1">
      <alignment horizontal="center" vertical="center"/>
    </xf>
    <xf numFmtId="0" fontId="4" fillId="10" borderId="15" xfId="1" applyNumberFormat="1" applyFont="1" applyFill="1" applyBorder="1" applyAlignment="1">
      <alignment horizontal="center" vertical="center" wrapText="1"/>
    </xf>
    <xf numFmtId="0" fontId="4" fillId="10" borderId="16" xfId="1" applyNumberFormat="1" applyFont="1" applyFill="1" applyBorder="1" applyAlignment="1">
      <alignment horizontal="center" vertical="center" wrapText="1"/>
    </xf>
    <xf numFmtId="0" fontId="4" fillId="10" borderId="5" xfId="1" applyNumberFormat="1" applyFont="1" applyFill="1" applyBorder="1" applyAlignment="1">
      <alignment horizontal="center" vertical="center" wrapText="1"/>
    </xf>
  </cellXfs>
  <cellStyles count="11">
    <cellStyle name="Accent1" xfId="6" builtinId="29"/>
    <cellStyle name="Accent2" xfId="7" builtinId="33"/>
    <cellStyle name="Accent3" xfId="8" builtinId="37"/>
    <cellStyle name="Accent4" xfId="9" builtinId="41"/>
    <cellStyle name="Accent5" xfId="10" builtinId="45"/>
    <cellStyle name="Comma" xfId="1" builtinId="3"/>
    <cellStyle name="Currency" xfId="2" builtinId="4"/>
    <cellStyle name="Input" xfId="4" builtinId="20"/>
    <cellStyle name="Normal" xfId="0" builtinId="0"/>
    <cellStyle name="Note" xfId="5" builtinId="10"/>
    <cellStyle name="Percent" xfId="3" builtinId="5"/>
  </cellStyles>
  <dxfs count="8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3" tint="0.24994659260841701"/>
        </patternFill>
      </fill>
    </dxf>
    <dxf>
      <fill>
        <patternFill>
          <bgColor rgb="FFFF9933"/>
        </patternFill>
      </fill>
    </dxf>
    <dxf>
      <fill>
        <patternFill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3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PPLI Model_Final_v.2.xlsx]WA PIVOT!PivotTable2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Wealth Accumulation Over Time (Net)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'WA PIVOT'!$B$6</c:f>
              <c:strCache>
                <c:ptCount val="1"/>
                <c:pt idx="0">
                  <c:v>Custom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PIVOT'!$B$7:$B$27</c:f>
              <c:numCache>
                <c:formatCode>_(* #,##0.00_);_(* \(#,##0.00\);_(* "-"??_);_(@_)</c:formatCode>
                <c:ptCount val="20"/>
                <c:pt idx="0">
                  <c:v>10540079.999999998</c:v>
                </c:pt>
                <c:pt idx="1">
                  <c:v>11109328.640639998</c:v>
                </c:pt>
                <c:pt idx="2">
                  <c:v>11709321.261863684</c:v>
                </c:pt>
                <c:pt idx="3">
                  <c:v>12341718.284574419</c:v>
                </c:pt>
                <c:pt idx="4">
                  <c:v>13008269.805687714</c:v>
                </c:pt>
                <c:pt idx="5">
                  <c:v>13710820.441353297</c:v>
                </c:pt>
                <c:pt idx="6">
                  <c:v>14451314.431749906</c:v>
                </c:pt>
                <c:pt idx="7">
                  <c:v>15231801.021579856</c:v>
                </c:pt>
                <c:pt idx="8">
                  <c:v>16054440.131153341</c:v>
                </c:pt>
                <c:pt idx="9">
                  <c:v>16921508.33375667</c:v>
                </c:pt>
                <c:pt idx="10">
                  <c:v>17835405.155846201</c:v>
                </c:pt>
                <c:pt idx="11">
                  <c:v>18798659.717503145</c:v>
                </c:pt>
                <c:pt idx="12">
                  <c:v>19813937.731526054</c:v>
                </c:pt>
                <c:pt idx="13">
                  <c:v>20884048.880530316</c:v>
                </c:pt>
                <c:pt idx="14">
                  <c:v>22011954.592469998</c:v>
                </c:pt>
                <c:pt idx="15">
                  <c:v>23200776.236100119</c:v>
                </c:pt>
                <c:pt idx="16">
                  <c:v>24453803.759059414</c:v>
                </c:pt>
                <c:pt idx="17">
                  <c:v>25774504.792478696</c:v>
                </c:pt>
                <c:pt idx="18">
                  <c:v>27166534.247310888</c:v>
                </c:pt>
                <c:pt idx="19">
                  <c:v>28633744.428939655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54DB-42B7-9E31-F7F20267E2F6}"/>
            </c:ext>
          </c:extLst>
        </c:ser>
        <c:ser>
          <c:idx val="1"/>
          <c:order val="1"/>
          <c:tx>
            <c:strRef>
              <c:f>'WA PIVOT'!$C$6</c:f>
              <c:strCache>
                <c:ptCount val="1"/>
                <c:pt idx="0">
                  <c:v>Traditional (Taxable)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PIVOT'!$C$7:$C$27</c:f>
              <c:numCache>
                <c:formatCode>_(* #,##0.00_);_(* \(#,##0.00\);_(* "-"??_);_(@_)</c:formatCode>
                <c:ptCount val="20"/>
                <c:pt idx="0">
                  <c:v>10484160</c:v>
                </c:pt>
                <c:pt idx="1">
                  <c:v>10991761.09056</c:v>
                </c:pt>
                <c:pt idx="2">
                  <c:v>11523938.195520554</c:v>
                </c:pt>
                <c:pt idx="3">
                  <c:v>12081881.187194876</c:v>
                </c:pt>
                <c:pt idx="4">
                  <c:v>12666837.546754103</c:v>
                </c:pt>
                <c:pt idx="5">
                  <c:v>13280115.153417749</c:v>
                </c:pt>
                <c:pt idx="6">
                  <c:v>13923085.208685623</c:v>
                </c:pt>
                <c:pt idx="7">
                  <c:v>14597185.302149346</c:v>
                </c:pt>
                <c:pt idx="8">
                  <c:v>15303922.625738209</c:v>
                </c:pt>
                <c:pt idx="9">
                  <c:v>16044877.343585951</c:v>
                </c:pt>
                <c:pt idx="10">
                  <c:v>16821706.125053007</c:v>
                </c:pt>
                <c:pt idx="11">
                  <c:v>17636145.848803572</c:v>
                </c:pt>
                <c:pt idx="12">
                  <c:v>18490017.486219246</c:v>
                </c:pt>
                <c:pt idx="13">
                  <c:v>19385230.172832038</c:v>
                </c:pt>
                <c:pt idx="14">
                  <c:v>20323785.476879876</c:v>
                </c:pt>
                <c:pt idx="15">
                  <c:v>21307781.874528494</c:v>
                </c:pt>
                <c:pt idx="16">
                  <c:v>22339419.441765666</c:v>
                </c:pt>
                <c:pt idx="17">
                  <c:v>23421004.773458194</c:v>
                </c:pt>
                <c:pt idx="18">
                  <c:v>24554956.140569948</c:v>
                </c:pt>
                <c:pt idx="19">
                  <c:v>25743808.897071782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4DB-42B7-9E31-F7F20267E2F6}"/>
            </c:ext>
          </c:extLst>
        </c:ser>
        <c:ser>
          <c:idx val="2"/>
          <c:order val="2"/>
          <c:tx>
            <c:strRef>
              <c:f>'WA PIVOT'!$D$6</c:f>
              <c:strCache>
                <c:ptCount val="1"/>
                <c:pt idx="0">
                  <c:v>Traditional (PPLI)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PIVOT'!$D$7:$D$27</c:f>
              <c:numCache>
                <c:formatCode>_(* #,##0.00_);_(* \(#,##0.00\);_(* "-"??_);_(@_)</c:formatCode>
                <c:ptCount val="20"/>
                <c:pt idx="0">
                  <c:v>10513328</c:v>
                </c:pt>
                <c:pt idx="1">
                  <c:v>11053006.5635584</c:v>
                </c:pt>
                <c:pt idx="2">
                  <c:v>11620388.338884231</c:v>
                </c:pt>
                <c:pt idx="3">
                  <c:v>12216895.409406507</c:v>
                </c:pt>
                <c:pt idx="4">
                  <c:v>12844022.858078489</c:v>
                </c:pt>
                <c:pt idx="5">
                  <c:v>13503342.514647661</c:v>
                </c:pt>
                <c:pt idx="6">
                  <c:v>14196506.895283565</c:v>
                </c:pt>
                <c:pt idx="7">
                  <c:v>14925253.344437776</c:v>
                </c:pt>
                <c:pt idx="8">
                  <c:v>15691408.389317131</c:v>
                </c:pt>
                <c:pt idx="9">
                  <c:v>16496892.317884268</c:v>
                </c:pt>
                <c:pt idx="10">
                  <c:v>17343723.991859756</c:v>
                </c:pt>
                <c:pt idx="11">
                  <c:v>18234025.906789094</c:v>
                </c:pt>
                <c:pt idx="12">
                  <c:v>19170029.511857118</c:v>
                </c:pt>
                <c:pt idx="13">
                  <c:v>20154080.802783377</c:v>
                </c:pt>
                <c:pt idx="14">
                  <c:v>21188646.201816496</c:v>
                </c:pt>
                <c:pt idx="15">
                  <c:v>22276318.739565101</c:v>
                </c:pt>
                <c:pt idx="16">
                  <c:v>23419824.554159448</c:v>
                </c:pt>
                <c:pt idx="17">
                  <c:v>24622029.724033203</c:v>
                </c:pt>
                <c:pt idx="18">
                  <c:v>25885947.451451052</c:v>
                </c:pt>
                <c:pt idx="19">
                  <c:v>27214745.614786897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54DB-42B7-9E31-F7F20267E2F6}"/>
            </c:ext>
          </c:extLst>
        </c:ser>
        <c:ser>
          <c:idx val="3"/>
          <c:order val="3"/>
          <c:tx>
            <c:strRef>
              <c:f>'WA PIVOT'!$E$6</c:f>
              <c:strCache>
                <c:ptCount val="1"/>
                <c:pt idx="0">
                  <c:v>Alternatives Enhanced (Taxable)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PIVOT'!$E$7:$E$27</c:f>
              <c:numCache>
                <c:formatCode>_(* #,##0.00_);_(* \(#,##0.00\);_(* "-"??_);_(@_)</c:formatCode>
                <c:ptCount val="20"/>
                <c:pt idx="0">
                  <c:v>10495648</c:v>
                </c:pt>
                <c:pt idx="1">
                  <c:v>11015862.6939904</c:v>
                </c:pt>
                <c:pt idx="2">
                  <c:v>11561861.725245494</c:v>
                </c:pt>
                <c:pt idx="3">
                  <c:v>12134923.089284942</c:v>
                </c:pt>
                <c:pt idx="4">
                  <c:v>12736388.125220731</c:v>
                </c:pt>
                <c:pt idx="5">
                  <c:v>13367664.655369671</c:v>
                </c:pt>
                <c:pt idx="6">
                  <c:v>14030230.280480137</c:v>
                </c:pt>
                <c:pt idx="7">
                  <c:v>14725635.838286078</c:v>
                </c:pt>
                <c:pt idx="8">
                  <c:v>15455509.033483559</c:v>
                </c:pt>
                <c:pt idx="9">
                  <c:v>16221558.247626364</c:v>
                </c:pt>
                <c:pt idx="10">
                  <c:v>17025576.537858315</c:v>
                </c:pt>
                <c:pt idx="11">
                  <c:v>17869445.833841953</c:v>
                </c:pt>
                <c:pt idx="12">
                  <c:v>18755141.342707161</c:v>
                </c:pt>
                <c:pt idx="13">
                  <c:v>19684736.172330171</c:v>
                </c:pt>
                <c:pt idx="14">
                  <c:v>20660406.18376448</c:v>
                </c:pt>
                <c:pt idx="15">
                  <c:v>21684435.084181529</c:v>
                </c:pt>
                <c:pt idx="16">
                  <c:v>22759219.772241969</c:v>
                </c:pt>
                <c:pt idx="17">
                  <c:v>23887275.948409185</c:v>
                </c:pt>
                <c:pt idx="18">
                  <c:v>25071244.003336895</c:v>
                </c:pt>
                <c:pt idx="19">
                  <c:v>26313895.198113486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4DB-42B7-9E31-F7F20267E2F6}"/>
            </c:ext>
          </c:extLst>
        </c:ser>
        <c:ser>
          <c:idx val="4"/>
          <c:order val="4"/>
          <c:tx>
            <c:strRef>
              <c:f>'WA PIVOT'!$F$6</c:f>
              <c:strCache>
                <c:ptCount val="1"/>
                <c:pt idx="0">
                  <c:v>Alternatives Enhanced (PPLI)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PIVOT'!$F$7:$F$27</c:f>
              <c:numCache>
                <c:formatCode>_(* #,##0.00_);_(* \(#,##0.00\);_(* "-"??_);_(@_)</c:formatCode>
                <c:ptCount val="20"/>
                <c:pt idx="0">
                  <c:v>10537328</c:v>
                </c:pt>
                <c:pt idx="1">
                  <c:v>11103528.1379584</c:v>
                </c:pt>
                <c:pt idx="2">
                  <c:v>11700151.794689691</c:v>
                </c:pt>
                <c:pt idx="3">
                  <c:v>12328833.711043391</c:v>
                </c:pt>
                <c:pt idx="4">
                  <c:v>12991296.467072142</c:v>
                </c:pt>
                <c:pt idx="5">
                  <c:v>13689355.201878035</c:v>
                </c:pt>
                <c:pt idx="6">
                  <c:v>14424922.587069506</c:v>
                </c:pt>
                <c:pt idx="7">
                  <c:v>15200014.067455992</c:v>
                </c:pt>
                <c:pt idx="8">
                  <c:v>16016753.383339791</c:v>
                </c:pt>
                <c:pt idx="9">
                  <c:v>16877378.389536109</c:v>
                </c:pt>
                <c:pt idx="10">
                  <c:v>17784247.187065374</c:v>
                </c:pt>
                <c:pt idx="11">
                  <c:v>18739844.584318519</c:v>
                </c:pt>
                <c:pt idx="12">
                  <c:v>19746788.905398786</c:v>
                </c:pt>
                <c:pt idx="13">
                  <c:v>20807839.164294798</c:v>
                </c:pt>
                <c:pt idx="14">
                  <c:v>21925902.624542017</c:v>
                </c:pt>
                <c:pt idx="15">
                  <c:v>23104042.765086006</c:v>
                </c:pt>
                <c:pt idx="16">
                  <c:v>24345487.674173817</c:v>
                </c:pt>
                <c:pt idx="17">
                  <c:v>25653638.894272663</c:v>
                </c:pt>
                <c:pt idx="18">
                  <c:v>27032080.742250834</c:v>
                </c:pt>
                <c:pt idx="19">
                  <c:v>28484590.130358048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54DB-42B7-9E31-F7F20267E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37152"/>
        <c:axId val="180737632"/>
      </c:lineChart>
      <c:catAx>
        <c:axId val="1807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7632"/>
        <c:crosses val="autoZero"/>
        <c:auto val="1"/>
        <c:lblAlgn val="ctr"/>
        <c:lblOffset val="100"/>
        <c:noMultiLvlLbl val="0"/>
      </c:catAx>
      <c:valAx>
        <c:axId val="1807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715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8.7145969498910684E-3"/>
                <c:y val="0.3815787134960274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Tax Efficiency Analysis</a:t>
            </a:r>
          </a:p>
          <a:p>
            <a:pPr>
              <a:defRPr sz="1800"/>
            </a:pPr>
            <a:r>
              <a:rPr lang="en-US" sz="1000"/>
              <a:t>Upper Right Quandrant</a:t>
            </a:r>
            <a:r>
              <a:rPr lang="en-US" sz="1000" baseline="0"/>
              <a:t> = Optimal (Higher Return/Lower Drag)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Page!$G$4</c:f>
              <c:strCache>
                <c:ptCount val="1"/>
                <c:pt idx="0">
                  <c:v>Custom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Page!$H$15</c:f>
              <c:numCache>
                <c:formatCode>0.00%</c:formatCode>
                <c:ptCount val="1"/>
                <c:pt idx="0">
                  <c:v>-1.9896530874270679E-2</c:v>
                </c:pt>
              </c:numCache>
            </c:numRef>
          </c:xVal>
          <c:yVal>
            <c:numRef>
              <c:f>Page!$H$13</c:f>
              <c:numCache>
                <c:formatCode>0.00%</c:formatCode>
                <c:ptCount val="1"/>
                <c:pt idx="0">
                  <c:v>7.514626387032286E-2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B-4E14-BF98-80716E45227F}"/>
            </c:ext>
          </c:extLst>
        </c:ser>
        <c:ser>
          <c:idx val="1"/>
          <c:order val="1"/>
          <c:tx>
            <c:strRef>
              <c:f>Page!$J$4</c:f>
              <c:strCache>
                <c:ptCount val="1"/>
                <c:pt idx="0">
                  <c:v>Traditional (Taxable)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Page!$K$15</c:f>
              <c:numCache>
                <c:formatCode>0.00%</c:formatCode>
                <c:ptCount val="1"/>
                <c:pt idx="0">
                  <c:v>-1.9383635203553684E-2</c:v>
                </c:pt>
              </c:numCache>
            </c:numRef>
          </c:xVal>
          <c:yVal>
            <c:numRef>
              <c:f>Page!$K$13</c:f>
              <c:numCache>
                <c:formatCode>0.00%</c:formatCode>
                <c:ptCount val="1"/>
                <c:pt idx="0">
                  <c:v>6.983674680110119E-2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BB-4E14-BF98-80716E45227F}"/>
            </c:ext>
          </c:extLst>
        </c:ser>
        <c:ser>
          <c:idx val="2"/>
          <c:order val="2"/>
          <c:tx>
            <c:strRef>
              <c:f>Page!$M$4</c:f>
              <c:strCache>
                <c:ptCount val="1"/>
                <c:pt idx="0">
                  <c:v>Traditional (PPLI)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Page!$N$15</c:f>
              <c:numCache>
                <c:formatCode>0.00%</c:formatCode>
                <c:ptCount val="1"/>
                <c:pt idx="0">
                  <c:v>-1.6191809261590029E-2</c:v>
                </c:pt>
              </c:numCache>
            </c:numRef>
          </c:xVal>
          <c:yVal>
            <c:numRef>
              <c:f>Page!$N$13</c:f>
              <c:numCache>
                <c:formatCode>0.00%</c:formatCode>
                <c:ptCount val="1"/>
                <c:pt idx="0">
                  <c:v>6.983674680110119E-2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BB-4E14-BF98-80716E45227F}"/>
            </c:ext>
          </c:extLst>
        </c:ser>
        <c:ser>
          <c:idx val="3"/>
          <c:order val="3"/>
          <c:tx>
            <c:strRef>
              <c:f>Page!$P$4</c:f>
              <c:strCache>
                <c:ptCount val="1"/>
                <c:pt idx="0">
                  <c:v>Alternatives Enhanced (Taxable)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Page!$Q$15</c:f>
              <c:numCache>
                <c:formatCode>0.00%</c:formatCode>
                <c:ptCount val="1"/>
                <c:pt idx="0">
                  <c:v>-2.0806238646400299E-2</c:v>
                </c:pt>
              </c:numCache>
            </c:numRef>
          </c:xVal>
          <c:yVal>
            <c:numRef>
              <c:f>Page!$Q$13</c:f>
              <c:numCache>
                <c:formatCode>0.00%</c:formatCode>
                <c:ptCount val="1"/>
                <c:pt idx="0">
                  <c:v>7.2020848968773032E-2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BB-4E14-BF98-80716E45227F}"/>
            </c:ext>
          </c:extLst>
        </c:ser>
        <c:ser>
          <c:idx val="4"/>
          <c:order val="4"/>
          <c:tx>
            <c:strRef>
              <c:f>Page!$S$4</c:f>
              <c:strCache>
                <c:ptCount val="1"/>
                <c:pt idx="0">
                  <c:v>Alternatives Enhanced (PPLI)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Page!$T$15</c:f>
              <c:numCache>
                <c:formatCode>0.00%</c:formatCode>
                <c:ptCount val="1"/>
                <c:pt idx="0">
                  <c:v>-1.5719238136550295E-2</c:v>
                </c:pt>
              </c:numCache>
            </c:numRef>
          </c:xVal>
          <c:yVal>
            <c:numRef>
              <c:f>Page!$T$13</c:f>
              <c:numCache>
                <c:formatCode>0.00%</c:formatCode>
                <c:ptCount val="1"/>
                <c:pt idx="0">
                  <c:v>7.2020848968773032E-2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BB-4E14-BF98-80716E452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819872"/>
        <c:axId val="679386768"/>
      </c:scatterChart>
      <c:valAx>
        <c:axId val="1174819872"/>
        <c:scaling>
          <c:orientation val="minMax"/>
          <c:max val="-5.000000000000001E-3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Drag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86768"/>
        <c:crosses val="autoZero"/>
        <c:crossBetween val="midCat"/>
        <c:majorUnit val="5.000000000000001E-3"/>
        <c:minorUnit val="5.000000000000001E-3"/>
      </c:valAx>
      <c:valAx>
        <c:axId val="6793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Net</a:t>
                </a:r>
                <a:r>
                  <a:rPr lang="en-US" sz="1600" baseline="0"/>
                  <a:t> Return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19872"/>
        <c:crosses val="autoZero"/>
        <c:crossBetween val="midCat"/>
        <c:majorUnit val="2.5000000000000005E-3"/>
        <c:minorUnit val="2.5000000000000005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PPLI Model_Final_v.2.xlsx]WA PIVOT!PivotTable2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Wealth Accumulation Over Time (Net)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'WA PIVOT'!$B$6</c:f>
              <c:strCache>
                <c:ptCount val="1"/>
                <c:pt idx="0">
                  <c:v>Custom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PIVOT'!$B$7:$B$27</c:f>
              <c:numCache>
                <c:formatCode>_(* #,##0.00_);_(* \(#,##0.00\);_(* "-"??_);_(@_)</c:formatCode>
                <c:ptCount val="20"/>
                <c:pt idx="0">
                  <c:v>10540079.999999998</c:v>
                </c:pt>
                <c:pt idx="1">
                  <c:v>11109328.640639998</c:v>
                </c:pt>
                <c:pt idx="2">
                  <c:v>11709321.261863684</c:v>
                </c:pt>
                <c:pt idx="3">
                  <c:v>12341718.284574419</c:v>
                </c:pt>
                <c:pt idx="4">
                  <c:v>13008269.805687714</c:v>
                </c:pt>
                <c:pt idx="5">
                  <c:v>13710820.441353297</c:v>
                </c:pt>
                <c:pt idx="6">
                  <c:v>14451314.431749906</c:v>
                </c:pt>
                <c:pt idx="7">
                  <c:v>15231801.021579856</c:v>
                </c:pt>
                <c:pt idx="8">
                  <c:v>16054440.131153341</c:v>
                </c:pt>
                <c:pt idx="9">
                  <c:v>16921508.33375667</c:v>
                </c:pt>
                <c:pt idx="10">
                  <c:v>17835405.155846201</c:v>
                </c:pt>
                <c:pt idx="11">
                  <c:v>18798659.717503145</c:v>
                </c:pt>
                <c:pt idx="12">
                  <c:v>19813937.731526054</c:v>
                </c:pt>
                <c:pt idx="13">
                  <c:v>20884048.880530316</c:v>
                </c:pt>
                <c:pt idx="14">
                  <c:v>22011954.592469998</c:v>
                </c:pt>
                <c:pt idx="15">
                  <c:v>23200776.236100119</c:v>
                </c:pt>
                <c:pt idx="16">
                  <c:v>24453803.759059414</c:v>
                </c:pt>
                <c:pt idx="17">
                  <c:v>25774504.792478696</c:v>
                </c:pt>
                <c:pt idx="18">
                  <c:v>27166534.247310888</c:v>
                </c:pt>
                <c:pt idx="19">
                  <c:v>28633744.428939655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9F-4808-840A-EA9B39A35269}"/>
            </c:ext>
          </c:extLst>
        </c:ser>
        <c:ser>
          <c:idx val="1"/>
          <c:order val="1"/>
          <c:tx>
            <c:strRef>
              <c:f>'WA PIVOT'!$C$6</c:f>
              <c:strCache>
                <c:ptCount val="1"/>
                <c:pt idx="0">
                  <c:v>Traditional (Taxable)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PIVOT'!$C$7:$C$27</c:f>
              <c:numCache>
                <c:formatCode>_(* #,##0.00_);_(* \(#,##0.00\);_(* "-"??_);_(@_)</c:formatCode>
                <c:ptCount val="20"/>
                <c:pt idx="0">
                  <c:v>10484160</c:v>
                </c:pt>
                <c:pt idx="1">
                  <c:v>10991761.09056</c:v>
                </c:pt>
                <c:pt idx="2">
                  <c:v>11523938.195520554</c:v>
                </c:pt>
                <c:pt idx="3">
                  <c:v>12081881.187194876</c:v>
                </c:pt>
                <c:pt idx="4">
                  <c:v>12666837.546754103</c:v>
                </c:pt>
                <c:pt idx="5">
                  <c:v>13280115.153417749</c:v>
                </c:pt>
                <c:pt idx="6">
                  <c:v>13923085.208685623</c:v>
                </c:pt>
                <c:pt idx="7">
                  <c:v>14597185.302149346</c:v>
                </c:pt>
                <c:pt idx="8">
                  <c:v>15303922.625738209</c:v>
                </c:pt>
                <c:pt idx="9">
                  <c:v>16044877.343585951</c:v>
                </c:pt>
                <c:pt idx="10">
                  <c:v>16821706.125053007</c:v>
                </c:pt>
                <c:pt idx="11">
                  <c:v>17636145.848803572</c:v>
                </c:pt>
                <c:pt idx="12">
                  <c:v>18490017.486219246</c:v>
                </c:pt>
                <c:pt idx="13">
                  <c:v>19385230.172832038</c:v>
                </c:pt>
                <c:pt idx="14">
                  <c:v>20323785.476879876</c:v>
                </c:pt>
                <c:pt idx="15">
                  <c:v>21307781.874528494</c:v>
                </c:pt>
                <c:pt idx="16">
                  <c:v>22339419.441765666</c:v>
                </c:pt>
                <c:pt idx="17">
                  <c:v>23421004.773458194</c:v>
                </c:pt>
                <c:pt idx="18">
                  <c:v>24554956.140569948</c:v>
                </c:pt>
                <c:pt idx="19">
                  <c:v>25743808.897071782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9F-4808-840A-EA9B39A35269}"/>
            </c:ext>
          </c:extLst>
        </c:ser>
        <c:ser>
          <c:idx val="2"/>
          <c:order val="2"/>
          <c:tx>
            <c:strRef>
              <c:f>'WA PIVOT'!$D$6</c:f>
              <c:strCache>
                <c:ptCount val="1"/>
                <c:pt idx="0">
                  <c:v>Traditional (PPLI)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PIVOT'!$D$7:$D$27</c:f>
              <c:numCache>
                <c:formatCode>_(* #,##0.00_);_(* \(#,##0.00\);_(* "-"??_);_(@_)</c:formatCode>
                <c:ptCount val="20"/>
                <c:pt idx="0">
                  <c:v>10513328</c:v>
                </c:pt>
                <c:pt idx="1">
                  <c:v>11053006.5635584</c:v>
                </c:pt>
                <c:pt idx="2">
                  <c:v>11620388.338884231</c:v>
                </c:pt>
                <c:pt idx="3">
                  <c:v>12216895.409406507</c:v>
                </c:pt>
                <c:pt idx="4">
                  <c:v>12844022.858078489</c:v>
                </c:pt>
                <c:pt idx="5">
                  <c:v>13503342.514647661</c:v>
                </c:pt>
                <c:pt idx="6">
                  <c:v>14196506.895283565</c:v>
                </c:pt>
                <c:pt idx="7">
                  <c:v>14925253.344437776</c:v>
                </c:pt>
                <c:pt idx="8">
                  <c:v>15691408.389317131</c:v>
                </c:pt>
                <c:pt idx="9">
                  <c:v>16496892.317884268</c:v>
                </c:pt>
                <c:pt idx="10">
                  <c:v>17343723.991859756</c:v>
                </c:pt>
                <c:pt idx="11">
                  <c:v>18234025.906789094</c:v>
                </c:pt>
                <c:pt idx="12">
                  <c:v>19170029.511857118</c:v>
                </c:pt>
                <c:pt idx="13">
                  <c:v>20154080.802783377</c:v>
                </c:pt>
                <c:pt idx="14">
                  <c:v>21188646.201816496</c:v>
                </c:pt>
                <c:pt idx="15">
                  <c:v>22276318.739565101</c:v>
                </c:pt>
                <c:pt idx="16">
                  <c:v>23419824.554159448</c:v>
                </c:pt>
                <c:pt idx="17">
                  <c:v>24622029.724033203</c:v>
                </c:pt>
                <c:pt idx="18">
                  <c:v>25885947.451451052</c:v>
                </c:pt>
                <c:pt idx="19">
                  <c:v>27214745.614786897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9F-4808-840A-EA9B39A35269}"/>
            </c:ext>
          </c:extLst>
        </c:ser>
        <c:ser>
          <c:idx val="3"/>
          <c:order val="3"/>
          <c:tx>
            <c:strRef>
              <c:f>'WA PIVOT'!$E$6</c:f>
              <c:strCache>
                <c:ptCount val="1"/>
                <c:pt idx="0">
                  <c:v>Alternatives Enhanced (Taxable)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PIVOT'!$E$7:$E$27</c:f>
              <c:numCache>
                <c:formatCode>_(* #,##0.00_);_(* \(#,##0.00\);_(* "-"??_);_(@_)</c:formatCode>
                <c:ptCount val="20"/>
                <c:pt idx="0">
                  <c:v>10495648</c:v>
                </c:pt>
                <c:pt idx="1">
                  <c:v>11015862.6939904</c:v>
                </c:pt>
                <c:pt idx="2">
                  <c:v>11561861.725245494</c:v>
                </c:pt>
                <c:pt idx="3">
                  <c:v>12134923.089284942</c:v>
                </c:pt>
                <c:pt idx="4">
                  <c:v>12736388.125220731</c:v>
                </c:pt>
                <c:pt idx="5">
                  <c:v>13367664.655369671</c:v>
                </c:pt>
                <c:pt idx="6">
                  <c:v>14030230.280480137</c:v>
                </c:pt>
                <c:pt idx="7">
                  <c:v>14725635.838286078</c:v>
                </c:pt>
                <c:pt idx="8">
                  <c:v>15455509.033483559</c:v>
                </c:pt>
                <c:pt idx="9">
                  <c:v>16221558.247626364</c:v>
                </c:pt>
                <c:pt idx="10">
                  <c:v>17025576.537858315</c:v>
                </c:pt>
                <c:pt idx="11">
                  <c:v>17869445.833841953</c:v>
                </c:pt>
                <c:pt idx="12">
                  <c:v>18755141.342707161</c:v>
                </c:pt>
                <c:pt idx="13">
                  <c:v>19684736.172330171</c:v>
                </c:pt>
                <c:pt idx="14">
                  <c:v>20660406.18376448</c:v>
                </c:pt>
                <c:pt idx="15">
                  <c:v>21684435.084181529</c:v>
                </c:pt>
                <c:pt idx="16">
                  <c:v>22759219.772241969</c:v>
                </c:pt>
                <c:pt idx="17">
                  <c:v>23887275.948409185</c:v>
                </c:pt>
                <c:pt idx="18">
                  <c:v>25071244.003336895</c:v>
                </c:pt>
                <c:pt idx="19">
                  <c:v>26313895.198113486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9F-4808-840A-EA9B39A35269}"/>
            </c:ext>
          </c:extLst>
        </c:ser>
        <c:ser>
          <c:idx val="4"/>
          <c:order val="4"/>
          <c:tx>
            <c:strRef>
              <c:f>'WA PIVOT'!$F$6</c:f>
              <c:strCache>
                <c:ptCount val="1"/>
                <c:pt idx="0">
                  <c:v>Alternatives Enhanced (PPLI)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'WA PIVOT'!$A$7:$A$27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'WA PIVOT'!$F$7:$F$27</c:f>
              <c:numCache>
                <c:formatCode>_(* #,##0.00_);_(* \(#,##0.00\);_(* "-"??_);_(@_)</c:formatCode>
                <c:ptCount val="20"/>
                <c:pt idx="0">
                  <c:v>10537328</c:v>
                </c:pt>
                <c:pt idx="1">
                  <c:v>11103528.1379584</c:v>
                </c:pt>
                <c:pt idx="2">
                  <c:v>11700151.794689691</c:v>
                </c:pt>
                <c:pt idx="3">
                  <c:v>12328833.711043391</c:v>
                </c:pt>
                <c:pt idx="4">
                  <c:v>12991296.467072142</c:v>
                </c:pt>
                <c:pt idx="5">
                  <c:v>13689355.201878035</c:v>
                </c:pt>
                <c:pt idx="6">
                  <c:v>14424922.587069506</c:v>
                </c:pt>
                <c:pt idx="7">
                  <c:v>15200014.067455992</c:v>
                </c:pt>
                <c:pt idx="8">
                  <c:v>16016753.383339791</c:v>
                </c:pt>
                <c:pt idx="9">
                  <c:v>16877378.389536109</c:v>
                </c:pt>
                <c:pt idx="10">
                  <c:v>17784247.187065374</c:v>
                </c:pt>
                <c:pt idx="11">
                  <c:v>18739844.584318519</c:v>
                </c:pt>
                <c:pt idx="12">
                  <c:v>19746788.905398786</c:v>
                </c:pt>
                <c:pt idx="13">
                  <c:v>20807839.164294798</c:v>
                </c:pt>
                <c:pt idx="14">
                  <c:v>21925902.624542017</c:v>
                </c:pt>
                <c:pt idx="15">
                  <c:v>23104042.765086006</c:v>
                </c:pt>
                <c:pt idx="16">
                  <c:v>24345487.674173817</c:v>
                </c:pt>
                <c:pt idx="17">
                  <c:v>25653638.894272663</c:v>
                </c:pt>
                <c:pt idx="18">
                  <c:v>27032080.742250834</c:v>
                </c:pt>
                <c:pt idx="19">
                  <c:v>28484590.130358048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9F-4808-840A-EA9B39A3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37152"/>
        <c:axId val="180737632"/>
      </c:lineChart>
      <c:catAx>
        <c:axId val="1807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7632"/>
        <c:crosses val="autoZero"/>
        <c:auto val="1"/>
        <c:lblAlgn val="ctr"/>
        <c:lblOffset val="100"/>
        <c:noMultiLvlLbl val="0"/>
      </c:catAx>
      <c:valAx>
        <c:axId val="1807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7152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8.7145969498910684E-3"/>
                <c:y val="0.3815787134960274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Tax Efficiency Analysis</a:t>
            </a:r>
          </a:p>
          <a:p>
            <a:pPr>
              <a:defRPr sz="1800"/>
            </a:pPr>
            <a:r>
              <a:rPr lang="en-US" sz="1000"/>
              <a:t>Upper Right Quandrant</a:t>
            </a:r>
            <a:r>
              <a:rPr lang="en-US" sz="1000" baseline="0"/>
              <a:t> = Optimal (Higher Return/Lower Drag)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Page!$V$4</c:f>
              <c:strCache>
                <c:ptCount val="1"/>
                <c:pt idx="0">
                  <c:v>Custom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Page!$W$15</c:f>
              <c:numCache>
                <c:formatCode>0.00%</c:formatCode>
                <c:ptCount val="1"/>
                <c:pt idx="0">
                  <c:v>-1.999200000000001E-2</c:v>
                </c:pt>
              </c:numCache>
            </c:numRef>
          </c:xVal>
          <c:yVal>
            <c:numRef>
              <c:f>Page!$W$13</c:f>
              <c:numCache>
                <c:formatCode>0.00%</c:formatCode>
                <c:ptCount val="1"/>
                <c:pt idx="0">
                  <c:v>7.4000000000000066E-2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8-45BB-81D6-B5A6B19C9405}"/>
            </c:ext>
          </c:extLst>
        </c:ser>
        <c:ser>
          <c:idx val="1"/>
          <c:order val="1"/>
          <c:tx>
            <c:strRef>
              <c:f>Page!$Y$4</c:f>
              <c:strCache>
                <c:ptCount val="1"/>
                <c:pt idx="0">
                  <c:v>Traditional (Taxable)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Page!$Z$15</c:f>
              <c:numCache>
                <c:formatCode>0.00%</c:formatCode>
                <c:ptCount val="1"/>
                <c:pt idx="0">
                  <c:v>-1.9584000000000046E-2</c:v>
                </c:pt>
              </c:numCache>
            </c:numRef>
          </c:xVal>
          <c:yVal>
            <c:numRef>
              <c:f>Page!$Z$13</c:f>
              <c:numCache>
                <c:formatCode>0.00%</c:formatCode>
                <c:ptCount val="1"/>
                <c:pt idx="0">
                  <c:v>6.800000000000006E-2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8-45BB-81D6-B5A6B19C9405}"/>
            </c:ext>
          </c:extLst>
        </c:ser>
        <c:ser>
          <c:idx val="2"/>
          <c:order val="2"/>
          <c:tx>
            <c:strRef>
              <c:f>Page!$AB$4</c:f>
              <c:strCache>
                <c:ptCount val="1"/>
                <c:pt idx="0">
                  <c:v>Traditional (PPLI)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Page!$AC$15</c:f>
              <c:numCache>
                <c:formatCode>0.00%</c:formatCode>
                <c:ptCount val="1"/>
                <c:pt idx="0">
                  <c:v>-1.6667200000000104E-2</c:v>
                </c:pt>
              </c:numCache>
            </c:numRef>
          </c:xVal>
          <c:yVal>
            <c:numRef>
              <c:f>Page!$AC$13</c:f>
              <c:numCache>
                <c:formatCode>0.00%</c:formatCode>
                <c:ptCount val="1"/>
                <c:pt idx="0">
                  <c:v>6.800000000000006E-2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98-45BB-81D6-B5A6B19C9405}"/>
            </c:ext>
          </c:extLst>
        </c:ser>
        <c:ser>
          <c:idx val="3"/>
          <c:order val="3"/>
          <c:tx>
            <c:strRef>
              <c:f>Page!$AE$4</c:f>
              <c:strCache>
                <c:ptCount val="1"/>
                <c:pt idx="0">
                  <c:v>Alternatives Enhanced (Taxable)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Page!$AF$15</c:f>
              <c:numCache>
                <c:formatCode>0.00%</c:formatCode>
                <c:ptCount val="1"/>
                <c:pt idx="0">
                  <c:v>-2.0835200000000054E-2</c:v>
                </c:pt>
              </c:numCache>
            </c:numRef>
          </c:xVal>
          <c:yVal>
            <c:numRef>
              <c:f>Page!$AF$13</c:f>
              <c:numCache>
                <c:formatCode>0.00%</c:formatCode>
                <c:ptCount val="1"/>
                <c:pt idx="0">
                  <c:v>7.0400000000000018E-2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98-45BB-81D6-B5A6B19C9405}"/>
            </c:ext>
          </c:extLst>
        </c:ser>
        <c:ser>
          <c:idx val="4"/>
          <c:order val="4"/>
          <c:tx>
            <c:strRef>
              <c:f>Page!$AH$4</c:f>
              <c:strCache>
                <c:ptCount val="1"/>
                <c:pt idx="0">
                  <c:v>Alternatives Enhanced (PPLI)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25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Page!$AI$15</c:f>
              <c:numCache>
                <c:formatCode>0.00%</c:formatCode>
                <c:ptCount val="1"/>
                <c:pt idx="0">
                  <c:v>-1.6667200000000104E-2</c:v>
                </c:pt>
              </c:numCache>
            </c:numRef>
          </c:xVal>
          <c:yVal>
            <c:numRef>
              <c:f>Page!$AI$13</c:f>
              <c:numCache>
                <c:formatCode>0.00%</c:formatCode>
                <c:ptCount val="1"/>
                <c:pt idx="0">
                  <c:v>7.0400000000000018E-2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98-45BB-81D6-B5A6B19C9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4819872"/>
        <c:axId val="679386768"/>
      </c:scatterChart>
      <c:valAx>
        <c:axId val="1174819872"/>
        <c:scaling>
          <c:orientation val="minMax"/>
          <c:max val="-5.000000000000001E-3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Drag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386768"/>
        <c:crosses val="autoZero"/>
        <c:crossBetween val="midCat"/>
        <c:majorUnit val="5.000000000000001E-3"/>
        <c:minorUnit val="5.000000000000001E-3"/>
      </c:valAx>
      <c:valAx>
        <c:axId val="67938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Net</a:t>
                </a:r>
                <a:r>
                  <a:rPr lang="en-US" sz="1600" baseline="0"/>
                  <a:t> Return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819872"/>
        <c:crosses val="autoZero"/>
        <c:crossBetween val="midCat"/>
        <c:majorUnit val="2.5000000000000005E-3"/>
        <c:minorUnit val="2.5000000000000005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174029</xdr:colOff>
      <xdr:row>16</xdr:row>
      <xdr:rowOff>15421</xdr:rowOff>
    </xdr:from>
    <xdr:to>
      <xdr:col>20</xdr:col>
      <xdr:colOff>3330</xdr:colOff>
      <xdr:row>43</xdr:row>
      <xdr:rowOff>51529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CF372-11C7-4A4A-A1B1-02DACD0AE0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11125</xdr:colOff>
      <xdr:row>44</xdr:row>
      <xdr:rowOff>154136</xdr:rowOff>
    </xdr:from>
    <xdr:to>
      <xdr:col>11</xdr:col>
      <xdr:colOff>40480</xdr:colOff>
      <xdr:row>66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C89B8A-0941-DE6E-61A9-75969C443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29112</xdr:colOff>
      <xdr:row>16</xdr:row>
      <xdr:rowOff>11337</xdr:rowOff>
    </xdr:from>
    <xdr:to>
      <xdr:col>35</xdr:col>
      <xdr:colOff>40822</xdr:colOff>
      <xdr:row>42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519A57-EF15-4113-A874-FBC6150EB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11125</xdr:colOff>
      <xdr:row>44</xdr:row>
      <xdr:rowOff>154136</xdr:rowOff>
    </xdr:from>
    <xdr:to>
      <xdr:col>26</xdr:col>
      <xdr:colOff>40480</xdr:colOff>
      <xdr:row>66</xdr:row>
      <xdr:rowOff>28574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BC05D0-C9FA-4849-87F3-2213B0B44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Rickman" refreshedDate="45960.655398842595" createdVersion="8" refreshedVersion="8" minRefreshableVersion="3" recordCount="100" xr:uid="{835EF439-87A9-46DB-9F0C-5F835297621B}">
  <cacheSource type="worksheet">
    <worksheetSource ref="K5:P105" sheet="WA"/>
  </cacheSource>
  <cacheFields count="6">
    <cacheField name="Year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</sharedItems>
    </cacheField>
    <cacheField name="Custom_" numFmtId="44">
      <sharedItems containsMixedTypes="1" containsNumber="1" minValue="10540079.999999998" maxValue="28633744.428939655"/>
    </cacheField>
    <cacheField name="Traditional (Taxable)_" numFmtId="44">
      <sharedItems containsMixedTypes="1" containsNumber="1" minValue="10484160" maxValue="25743808.897071782"/>
    </cacheField>
    <cacheField name="Traditional (PPLI)_" numFmtId="44">
      <sharedItems containsMixedTypes="1" containsNumber="1" minValue="10513328" maxValue="27214745.614786897"/>
    </cacheField>
    <cacheField name="Alternatives Enhanced (Taxable)_" numFmtId="44">
      <sharedItems containsMixedTypes="1" containsNumber="1" minValue="10495648" maxValue="26313895.198113486"/>
    </cacheField>
    <cacheField name="Alternatives Enhanced (PPLI)_" numFmtId="44">
      <sharedItems containsMixedTypes="1" containsNumber="1" minValue="10537328" maxValue="28484590.130358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Rickman" refreshedDate="45960.655398958334" createdVersion="8" refreshedVersion="8" minRefreshableVersion="3" recordCount="101" xr:uid="{051E440F-90CE-4D79-8199-200F0C1CBCA8}">
  <cacheSource type="worksheet">
    <worksheetSource ref="K5:P1055" sheet="WA"/>
  </cacheSource>
  <cacheFields count="6">
    <cacheField name="Year" numFmtId="0">
      <sharedItems containsString="0" containsBlank="1" containsNumber="1" containsInteger="1" minValue="1" maxValue="50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</sharedItems>
    </cacheField>
    <cacheField name="Custom_" numFmtId="0">
      <sharedItems containsBlank="1" containsMixedTypes="1" containsNumber="1" minValue="10540079.999999998" maxValue="28633744.428939655"/>
    </cacheField>
    <cacheField name="Traditional (Taxable)_" numFmtId="0">
      <sharedItems containsBlank="1" containsMixedTypes="1" containsNumber="1" minValue="10484160" maxValue="25743808.897071782"/>
    </cacheField>
    <cacheField name="Traditional (PPLI)_" numFmtId="0">
      <sharedItems containsBlank="1" containsMixedTypes="1" containsNumber="1" minValue="10513328" maxValue="27214745.614786897"/>
    </cacheField>
    <cacheField name="Alternatives Enhanced (Taxable)_" numFmtId="0">
      <sharedItems containsBlank="1" containsMixedTypes="1" containsNumber="1" minValue="10495648" maxValue="26313895.198113486"/>
    </cacheField>
    <cacheField name="Alternatives Enhanced (PPLI)_" numFmtId="0">
      <sharedItems containsBlank="1" containsMixedTypes="1" containsNumber="1" minValue="10537328" maxValue="28484590.130358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10540079.999999998"/>
    <n v="10484160"/>
    <n v="10513328"/>
    <n v="10495648"/>
    <n v="10537328"/>
  </r>
  <r>
    <x v="1"/>
    <n v="11109328.640639998"/>
    <n v="10991761.09056"/>
    <n v="11053006.5635584"/>
    <n v="11015862.6939904"/>
    <n v="11103528.1379584"/>
  </r>
  <r>
    <x v="2"/>
    <n v="11709321.261863684"/>
    <n v="11523938.195520554"/>
    <n v="11620388.338884231"/>
    <n v="11561861.725245494"/>
    <n v="11700151.794689691"/>
  </r>
  <r>
    <x v="3"/>
    <n v="12341718.284574419"/>
    <n v="12081881.187194876"/>
    <n v="12216895.409406507"/>
    <n v="12134923.089284942"/>
    <n v="12328833.711043391"/>
  </r>
  <r>
    <x v="4"/>
    <n v="13008269.805687714"/>
    <n v="12666837.546754103"/>
    <n v="12844022.858078489"/>
    <n v="12736388.125220731"/>
    <n v="12991296.467072142"/>
  </r>
  <r>
    <x v="5"/>
    <n v="13710820.441353297"/>
    <n v="13280115.153417749"/>
    <n v="13503342.514647661"/>
    <n v="13367664.655369671"/>
    <n v="13689355.201878035"/>
  </r>
  <r>
    <x v="6"/>
    <n v="14451314.431749906"/>
    <n v="13923085.208685623"/>
    <n v="14196506.895283565"/>
    <n v="14030230.280480137"/>
    <n v="14424922.587069506"/>
  </r>
  <r>
    <x v="7"/>
    <n v="15231801.021579856"/>
    <n v="14597185.302149346"/>
    <n v="14925253.344437776"/>
    <n v="14725635.838286078"/>
    <n v="15200014.067455992"/>
  </r>
  <r>
    <x v="8"/>
    <n v="16054440.131153341"/>
    <n v="15303922.625738209"/>
    <n v="15691408.389317131"/>
    <n v="15455509.033483559"/>
    <n v="16016753.383339791"/>
  </r>
  <r>
    <x v="9"/>
    <n v="16921508.33375667"/>
    <n v="16044877.343585951"/>
    <n v="16496892.317884268"/>
    <n v="16221558.247626364"/>
    <n v="16877378.389536109"/>
  </r>
  <r>
    <x v="10"/>
    <n v="17835405.155846201"/>
    <n v="16821706.125053007"/>
    <n v="17343723.991859756"/>
    <n v="17025576.537858315"/>
    <n v="17784247.187065374"/>
  </r>
  <r>
    <x v="11"/>
    <n v="18798659.717503145"/>
    <n v="17636145.848803572"/>
    <n v="18234025.906789094"/>
    <n v="17869445.833841953"/>
    <n v="18739844.584318519"/>
  </r>
  <r>
    <x v="12"/>
    <n v="19813937.731526054"/>
    <n v="18490017.486219246"/>
    <n v="19170029.511857118"/>
    <n v="18755141.342707161"/>
    <n v="19746788.905398786"/>
  </r>
  <r>
    <x v="13"/>
    <n v="20884048.880530316"/>
    <n v="19385230.172832038"/>
    <n v="20154080.802783377"/>
    <n v="19684736.172330171"/>
    <n v="20807839.164294798"/>
  </r>
  <r>
    <x v="14"/>
    <n v="22011954.592469998"/>
    <n v="20323785.476879876"/>
    <n v="21188646.201816496"/>
    <n v="20660406.18376448"/>
    <n v="21925902.624542017"/>
  </r>
  <r>
    <x v="15"/>
    <n v="23200776.236100119"/>
    <n v="21307781.874528494"/>
    <n v="22276318.739565101"/>
    <n v="21684435.084181529"/>
    <n v="23104042.765086006"/>
  </r>
  <r>
    <x v="16"/>
    <n v="24453803.759059414"/>
    <n v="22339419.441765666"/>
    <n v="23419824.554159448"/>
    <n v="22759219.772241969"/>
    <n v="24345487.674173817"/>
  </r>
  <r>
    <x v="17"/>
    <n v="25774504.792478696"/>
    <n v="23421004.773458194"/>
    <n v="24622029.724033203"/>
    <n v="23887275.948409185"/>
    <n v="25653638.894272663"/>
  </r>
  <r>
    <x v="18"/>
    <n v="27166534.247310888"/>
    <n v="24554956.140569948"/>
    <n v="25885947.451451052"/>
    <n v="25071244.003336895"/>
    <n v="27032080.742250834"/>
  </r>
  <r>
    <x v="19"/>
    <n v="28633744.428939655"/>
    <n v="25743808.897071782"/>
    <n v="27214745.614786897"/>
    <n v="26313895.198113486"/>
    <n v="28484590.130358048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0540079.999999998"/>
    <n v="10484160"/>
    <n v="10513328"/>
    <n v="10495648"/>
    <n v="10537328"/>
  </r>
  <r>
    <x v="1"/>
    <n v="11109328.640639998"/>
    <n v="10991761.09056"/>
    <n v="11053006.5635584"/>
    <n v="11015862.6939904"/>
    <n v="11103528.1379584"/>
  </r>
  <r>
    <x v="2"/>
    <n v="11709321.261863684"/>
    <n v="11523938.195520554"/>
    <n v="11620388.338884231"/>
    <n v="11561861.725245494"/>
    <n v="11700151.794689691"/>
  </r>
  <r>
    <x v="3"/>
    <n v="12341718.284574419"/>
    <n v="12081881.187194876"/>
    <n v="12216895.409406507"/>
    <n v="12134923.089284942"/>
    <n v="12328833.711043391"/>
  </r>
  <r>
    <x v="4"/>
    <n v="13008269.805687714"/>
    <n v="12666837.546754103"/>
    <n v="12844022.858078489"/>
    <n v="12736388.125220731"/>
    <n v="12991296.467072142"/>
  </r>
  <r>
    <x v="5"/>
    <n v="13710820.441353297"/>
    <n v="13280115.153417749"/>
    <n v="13503342.514647661"/>
    <n v="13367664.655369671"/>
    <n v="13689355.201878035"/>
  </r>
  <r>
    <x v="6"/>
    <n v="14451314.431749906"/>
    <n v="13923085.208685623"/>
    <n v="14196506.895283565"/>
    <n v="14030230.280480137"/>
    <n v="14424922.587069506"/>
  </r>
  <r>
    <x v="7"/>
    <n v="15231801.021579856"/>
    <n v="14597185.302149346"/>
    <n v="14925253.344437776"/>
    <n v="14725635.838286078"/>
    <n v="15200014.067455992"/>
  </r>
  <r>
    <x v="8"/>
    <n v="16054440.131153341"/>
    <n v="15303922.625738209"/>
    <n v="15691408.389317131"/>
    <n v="15455509.033483559"/>
    <n v="16016753.383339791"/>
  </r>
  <r>
    <x v="9"/>
    <n v="16921508.33375667"/>
    <n v="16044877.343585951"/>
    <n v="16496892.317884268"/>
    <n v="16221558.247626364"/>
    <n v="16877378.389536109"/>
  </r>
  <r>
    <x v="10"/>
    <n v="17835405.155846201"/>
    <n v="16821706.125053007"/>
    <n v="17343723.991859756"/>
    <n v="17025576.537858315"/>
    <n v="17784247.187065374"/>
  </r>
  <r>
    <x v="11"/>
    <n v="18798659.717503145"/>
    <n v="17636145.848803572"/>
    <n v="18234025.906789094"/>
    <n v="17869445.833841953"/>
    <n v="18739844.584318519"/>
  </r>
  <r>
    <x v="12"/>
    <n v="19813937.731526054"/>
    <n v="18490017.486219246"/>
    <n v="19170029.511857118"/>
    <n v="18755141.342707161"/>
    <n v="19746788.905398786"/>
  </r>
  <r>
    <x v="13"/>
    <n v="20884048.880530316"/>
    <n v="19385230.172832038"/>
    <n v="20154080.802783377"/>
    <n v="19684736.172330171"/>
    <n v="20807839.164294798"/>
  </r>
  <r>
    <x v="14"/>
    <n v="22011954.592469998"/>
    <n v="20323785.476879876"/>
    <n v="21188646.201816496"/>
    <n v="20660406.18376448"/>
    <n v="21925902.624542017"/>
  </r>
  <r>
    <x v="15"/>
    <n v="23200776.236100119"/>
    <n v="21307781.874528494"/>
    <n v="22276318.739565101"/>
    <n v="21684435.084181529"/>
    <n v="23104042.765086006"/>
  </r>
  <r>
    <x v="16"/>
    <n v="24453803.759059414"/>
    <n v="22339419.441765666"/>
    <n v="23419824.554159448"/>
    <n v="22759219.772241969"/>
    <n v="24345487.674173817"/>
  </r>
  <r>
    <x v="17"/>
    <n v="25774504.792478696"/>
    <n v="23421004.773458194"/>
    <n v="24622029.724033203"/>
    <n v="23887275.948409185"/>
    <n v="25653638.894272663"/>
  </r>
  <r>
    <x v="18"/>
    <n v="27166534.247310888"/>
    <n v="24554956.140569948"/>
    <n v="25885947.451451052"/>
    <n v="25071244.003336895"/>
    <n v="27032080.742250834"/>
  </r>
  <r>
    <x v="19"/>
    <n v="28633744.428939655"/>
    <n v="25743808.897071782"/>
    <n v="27214745.614786897"/>
    <n v="26313895.198113486"/>
    <n v="28484590.130358048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s v="N/A"/>
    <s v="N/A"/>
    <s v="N/A"/>
    <s v="N/A"/>
    <s v="N/A"/>
  </r>
  <r>
    <x v="2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BDD27-A403-4918-9542-9A2DCD153207}" name="PivotTable1" cacheId="120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10">
  <location ref="I6:N27" firstHeaderRow="0" firstDataRow="1" firstDataCol="1"/>
  <pivotFields count="6">
    <pivotField axis="axisRow" showAll="0" measureFilter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ustom" fld="1" baseField="0" baseItem="0"/>
    <dataField name="Traditional (Taxable)" fld="2" baseField="0" baseItem="0"/>
    <dataField name="Traditional (PPLI)" fld="3" baseField="0" baseItem="0"/>
    <dataField name="Alternatives Enhanced (Taxable)" fld="4" baseField="0" baseItem="0"/>
    <dataField name="Alternatives Enhanced (PPLI)" fld="5" baseField="0" baseItem="0"/>
  </dataFields>
  <formats count="1">
    <format dxfId="57">
      <pivotArea outline="0" collapsedLevelsAreSubtotals="1" fieldPosition="0"/>
    </format>
  </formats>
  <chartFormats count="10">
    <chartFormat chart="1" format="2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0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0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0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A7B78-183C-4C1B-BDE5-CBEB90F4F9EB}" name="PivotTable2" cacheId="124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10">
  <location ref="A6:F27" firstHeaderRow="0" firstDataRow="1" firstDataCol="1"/>
  <pivotFields count="6">
    <pivotField axis="axisRow" showAll="0" measureFilter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ustom" fld="1" baseField="0" baseItem="0"/>
    <dataField name="Traditional (Taxable)" fld="2" baseField="0" baseItem="0"/>
    <dataField name="Traditional (PPLI)" fld="3" baseField="0" baseItem="0"/>
    <dataField name="Alternatives Enhanced (Taxable)" fld="4" baseField="0" baseItem="0"/>
    <dataField name="Alternatives Enhanced (PPLI)" fld="5" baseField="0" baseItem="0"/>
  </dataFields>
  <formats count="1">
    <format dxfId="64">
      <pivotArea outline="0" collapsedLevelsAreSubtotals="1" fieldPosition="0"/>
    </format>
  </formats>
  <chartFormats count="10">
    <chartFormat chart="1" format="20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0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0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0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0007BA-1533-4779-A91E-C262A0DB83B7}" name="Add_Contributions" displayName="Add_Contributions" ref="B30:C37" totalsRowShown="0" headerRowDxfId="83" dataDxfId="81" headerRowBorderDxfId="82" tableBorderDxfId="80" headerRowCellStyle="Accent1" dataCellStyle="Note">
  <autoFilter ref="B30:C37" xr:uid="{A00007BA-1533-4779-A91E-C262A0DB83B7}">
    <filterColumn colId="0" hiddenButton="1"/>
    <filterColumn colId="1" hiddenButton="1"/>
  </autoFilter>
  <tableColumns count="2">
    <tableColumn id="1" xr3:uid="{92377896-85AF-41F1-BB6F-C201EA810306}" name="Year" dataDxfId="79" dataCellStyle="Note"/>
    <tableColumn id="2" xr3:uid="{B0848157-CCFC-4A07-851E-4926382E150C}" name="Amount ($)" dataDxfId="78" dataCellStyl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679-980E-4B2E-BEAD-66D36068076C}">
  <sheetPr>
    <tabColor rgb="FF00B050"/>
  </sheetPr>
  <dimension ref="A1:AI63"/>
  <sheetViews>
    <sheetView tabSelected="1" zoomScale="85" zoomScaleNormal="85" workbookViewId="0"/>
  </sheetViews>
  <sheetFormatPr defaultRowHeight="11.65" x14ac:dyDescent="0.35"/>
  <cols>
    <col min="1" max="1" width="2.59765625" style="11" customWidth="1"/>
    <col min="2" max="2" width="21.6640625" style="11" customWidth="1"/>
    <col min="3" max="3" width="17.46484375" style="11" customWidth="1"/>
    <col min="4" max="4" width="2.59765625" style="11" customWidth="1"/>
    <col min="5" max="5" width="17.1328125" style="11" customWidth="1"/>
    <col min="6" max="6" width="2.59765625" style="11" customWidth="1"/>
    <col min="7" max="8" width="15.73046875" style="11" customWidth="1"/>
    <col min="9" max="9" width="1.46484375" style="11" customWidth="1"/>
    <col min="10" max="11" width="15.73046875" style="11" customWidth="1"/>
    <col min="12" max="12" width="1.46484375" style="11" customWidth="1"/>
    <col min="13" max="14" width="15.73046875" style="11" customWidth="1"/>
    <col min="15" max="15" width="1.46484375" style="11" customWidth="1"/>
    <col min="16" max="17" width="15.73046875" style="11" customWidth="1"/>
    <col min="18" max="18" width="1.46484375" style="11" customWidth="1"/>
    <col min="19" max="20" width="15.73046875" style="11" customWidth="1"/>
    <col min="21" max="21" width="44.46484375" style="11" customWidth="1"/>
    <col min="22" max="23" width="15.73046875" style="11" customWidth="1"/>
    <col min="24" max="24" width="1.46484375" style="11" customWidth="1"/>
    <col min="25" max="26" width="15.73046875" style="11" customWidth="1"/>
    <col min="27" max="27" width="1.46484375" style="11" customWidth="1"/>
    <col min="28" max="29" width="15.73046875" style="11" customWidth="1"/>
    <col min="30" max="30" width="1.46484375" style="11" customWidth="1"/>
    <col min="31" max="32" width="15.73046875" style="11" customWidth="1"/>
    <col min="33" max="33" width="1.46484375" style="11" customWidth="1"/>
    <col min="34" max="35" width="15.73046875" style="11" customWidth="1"/>
    <col min="36" max="16384" width="9.06640625" style="11"/>
  </cols>
  <sheetData>
    <row r="1" spans="1:35" ht="15.85" customHeight="1" x14ac:dyDescent="0.35">
      <c r="A1" s="13"/>
    </row>
    <row r="2" spans="1:35" ht="15.85" customHeight="1" x14ac:dyDescent="0.35">
      <c r="B2" s="43" t="s">
        <v>29</v>
      </c>
      <c r="C2" s="44"/>
      <c r="G2" s="42" t="s">
        <v>76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V2" s="42" t="s">
        <v>77</v>
      </c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</row>
    <row r="3" spans="1:35" ht="15.85" customHeight="1" x14ac:dyDescent="0.35">
      <c r="B3" s="16" t="s">
        <v>30</v>
      </c>
      <c r="C3" s="35">
        <v>10000000</v>
      </c>
    </row>
    <row r="4" spans="1:35" ht="15.85" customHeight="1" x14ac:dyDescent="0.45">
      <c r="B4" s="16" t="s">
        <v>31</v>
      </c>
      <c r="C4" s="36">
        <v>20</v>
      </c>
      <c r="G4" s="45" t="s">
        <v>45</v>
      </c>
      <c r="H4" s="45"/>
      <c r="J4" s="46" t="s">
        <v>48</v>
      </c>
      <c r="K4" s="46"/>
      <c r="M4" s="47" t="s">
        <v>49</v>
      </c>
      <c r="N4" s="47"/>
      <c r="P4" s="48" t="s">
        <v>46</v>
      </c>
      <c r="Q4" s="48"/>
      <c r="S4" s="41" t="s">
        <v>47</v>
      </c>
      <c r="T4" s="41"/>
      <c r="V4" s="45" t="s">
        <v>45</v>
      </c>
      <c r="W4" s="45"/>
      <c r="Y4" s="46" t="s">
        <v>48</v>
      </c>
      <c r="Z4" s="46"/>
      <c r="AB4" s="47" t="s">
        <v>49</v>
      </c>
      <c r="AC4" s="47"/>
      <c r="AE4" s="48" t="s">
        <v>46</v>
      </c>
      <c r="AF4" s="48"/>
      <c r="AH4" s="41" t="s">
        <v>47</v>
      </c>
      <c r="AI4" s="41"/>
    </row>
    <row r="5" spans="1:35" ht="15.85" customHeight="1" x14ac:dyDescent="0.35">
      <c r="B5" s="12"/>
      <c r="E5" s="13"/>
      <c r="F5" s="14"/>
      <c r="G5" s="16" t="s">
        <v>43</v>
      </c>
      <c r="H5" s="24">
        <f>Custom!C22</f>
        <v>29316020.640000787</v>
      </c>
      <c r="J5" s="16" t="str">
        <f>G5</f>
        <v>Projected Value</v>
      </c>
      <c r="K5" s="26">
        <f>'Trad. Tax.'!C22</f>
        <v>26762916.37087629</v>
      </c>
      <c r="M5" s="16" t="str">
        <f>G5</f>
        <v>Projected Value</v>
      </c>
      <c r="N5" s="28">
        <f>'Trad. PPLI'!C22</f>
        <v>28437125.636857893</v>
      </c>
      <c r="P5" s="16" t="str">
        <f>G5</f>
        <v>Projected Value</v>
      </c>
      <c r="Q5" s="30">
        <f>'Alts. Tax.'!C22</f>
        <v>27153621.883681335</v>
      </c>
      <c r="S5" s="16" t="str">
        <f>G5</f>
        <v>Projected Value</v>
      </c>
      <c r="T5" s="32">
        <f>'Alts. PPLI'!C22</f>
        <v>29906035.297179252</v>
      </c>
      <c r="U5" s="14"/>
      <c r="V5" s="16" t="s">
        <v>43</v>
      </c>
      <c r="W5" s="24">
        <f>Custom!D22</f>
        <v>28633744.428939655</v>
      </c>
      <c r="Y5" s="16" t="str">
        <f>V5</f>
        <v>Projected Value</v>
      </c>
      <c r="Z5" s="26">
        <f>'Trad. Tax.'!D22</f>
        <v>25743808.897071782</v>
      </c>
      <c r="AB5" s="16" t="str">
        <f>V5</f>
        <v>Projected Value</v>
      </c>
      <c r="AC5" s="28">
        <f>'Trad. PPLI'!D22</f>
        <v>27214745.614786897</v>
      </c>
      <c r="AE5" s="16" t="str">
        <f>V5</f>
        <v>Projected Value</v>
      </c>
      <c r="AF5" s="30">
        <f>'Alts. Tax.'!D22</f>
        <v>26313895.198113486</v>
      </c>
      <c r="AH5" s="16" t="str">
        <f>V5</f>
        <v>Projected Value</v>
      </c>
      <c r="AI5" s="32">
        <f>'Alts. PPLI'!D22</f>
        <v>28484590.130358048</v>
      </c>
    </row>
    <row r="6" spans="1:35" ht="15.85" customHeight="1" x14ac:dyDescent="0.35">
      <c r="B6" s="43" t="s">
        <v>32</v>
      </c>
      <c r="C6" s="44"/>
      <c r="E6" s="40" t="s">
        <v>79</v>
      </c>
      <c r="F6" s="14"/>
      <c r="U6" s="14"/>
    </row>
    <row r="7" spans="1:35" ht="15.85" customHeight="1" x14ac:dyDescent="0.45">
      <c r="B7" s="17" t="s">
        <v>0</v>
      </c>
      <c r="C7" s="37">
        <v>0.7</v>
      </c>
      <c r="E7" s="95" t="str">
        <f>IF(SUM(C7:C9)=1,"Good","Must Equal 100%")</f>
        <v>Good</v>
      </c>
      <c r="F7" s="14"/>
      <c r="G7" s="45" t="s">
        <v>25</v>
      </c>
      <c r="H7" s="45"/>
      <c r="J7" s="46" t="str">
        <f>G7</f>
        <v>Total Return</v>
      </c>
      <c r="K7" s="46"/>
      <c r="M7" s="47" t="str">
        <f>J7</f>
        <v>Total Return</v>
      </c>
      <c r="N7" s="47"/>
      <c r="P7" s="48" t="str">
        <f>M7</f>
        <v>Total Return</v>
      </c>
      <c r="Q7" s="48"/>
      <c r="S7" s="41" t="str">
        <f>P7</f>
        <v>Total Return</v>
      </c>
      <c r="T7" s="41"/>
      <c r="U7" s="14"/>
      <c r="V7" s="45" t="s">
        <v>25</v>
      </c>
      <c r="W7" s="45"/>
      <c r="Y7" s="46" t="str">
        <f>V7</f>
        <v>Total Return</v>
      </c>
      <c r="Z7" s="46"/>
      <c r="AB7" s="47" t="str">
        <f>Y7</f>
        <v>Total Return</v>
      </c>
      <c r="AC7" s="47"/>
      <c r="AE7" s="48" t="str">
        <f>AB7</f>
        <v>Total Return</v>
      </c>
      <c r="AF7" s="48"/>
      <c r="AH7" s="41" t="str">
        <f>AE7</f>
        <v>Total Return</v>
      </c>
      <c r="AI7" s="41"/>
    </row>
    <row r="8" spans="1:35" ht="15.85" customHeight="1" x14ac:dyDescent="0.35">
      <c r="B8" s="16" t="s">
        <v>1</v>
      </c>
      <c r="C8" s="37">
        <v>0.2</v>
      </c>
      <c r="E8" s="96"/>
      <c r="F8" s="14"/>
      <c r="G8" s="16" t="s">
        <v>57</v>
      </c>
      <c r="H8" s="25">
        <f>Custom!C24</f>
        <v>3.2594252561083303</v>
      </c>
      <c r="J8" s="16" t="str">
        <f>G8</f>
        <v>Gross</v>
      </c>
      <c r="K8" s="27">
        <f>'Trad. Tax.'!C24</f>
        <v>2.8578933683673555</v>
      </c>
      <c r="M8" s="16" t="str">
        <f>J8</f>
        <v>Gross</v>
      </c>
      <c r="N8" s="29">
        <f>'Trad. PPLI'!C24</f>
        <v>2.8578933683673555</v>
      </c>
      <c r="P8" s="16" t="str">
        <f>M8</f>
        <v>Gross</v>
      </c>
      <c r="Q8" s="31">
        <f>'Alts. Tax.'!C24</f>
        <v>3.0185061234637454</v>
      </c>
      <c r="S8" s="16" t="str">
        <f>P8</f>
        <v>Gross</v>
      </c>
      <c r="T8" s="33">
        <f>'Alts. PPLI'!C24</f>
        <v>3.0185061234637454</v>
      </c>
      <c r="U8" s="14"/>
      <c r="V8" s="16" t="s">
        <v>57</v>
      </c>
      <c r="W8" s="25">
        <f>Custom!D24</f>
        <v>3.1695158324077477</v>
      </c>
      <c r="Y8" s="16" t="str">
        <f>V8</f>
        <v>Gross</v>
      </c>
      <c r="Z8" s="27">
        <f>'Trad. Tax.'!D24</f>
        <v>2.7275635287089379</v>
      </c>
      <c r="AB8" s="16" t="str">
        <f>Y8</f>
        <v>Gross</v>
      </c>
      <c r="AC8" s="29">
        <f>'Trad. PPLI'!D24</f>
        <v>2.7275635287089379</v>
      </c>
      <c r="AE8" s="16" t="str">
        <f>AB8</f>
        <v>Gross</v>
      </c>
      <c r="AF8" s="31">
        <f>'Alts. Tax.'!D24</f>
        <v>2.8987196635413923</v>
      </c>
      <c r="AH8" s="16" t="str">
        <f>AE8</f>
        <v>Gross</v>
      </c>
      <c r="AI8" s="33">
        <f>'Alts. PPLI'!D24</f>
        <v>2.8987196635413923</v>
      </c>
    </row>
    <row r="9" spans="1:35" ht="15.85" customHeight="1" x14ac:dyDescent="0.35">
      <c r="B9" s="16" t="s">
        <v>2</v>
      </c>
      <c r="C9" s="37">
        <v>0.1</v>
      </c>
      <c r="E9" s="97"/>
      <c r="F9" s="14"/>
      <c r="G9" s="16" t="s">
        <v>58</v>
      </c>
      <c r="H9" s="25">
        <f>Custom!C25</f>
        <v>1.9316020640000815</v>
      </c>
      <c r="J9" s="16" t="str">
        <f>G9</f>
        <v>Net</v>
      </c>
      <c r="K9" s="27">
        <f>'Trad. Tax.'!C25</f>
        <v>1.6762916370876297</v>
      </c>
      <c r="M9" s="16" t="str">
        <f>J9</f>
        <v>Net</v>
      </c>
      <c r="N9" s="29">
        <f>'Trad. PPLI'!C25</f>
        <v>1.8437125636857887</v>
      </c>
      <c r="P9" s="16" t="str">
        <f>M9</f>
        <v>Net</v>
      </c>
      <c r="Q9" s="31">
        <f>'Alts. Tax.'!C25</f>
        <v>1.7153621883681338</v>
      </c>
      <c r="S9" s="16" t="str">
        <f>P9</f>
        <v>Net</v>
      </c>
      <c r="T9" s="33">
        <f>'Alts. PPLI'!C25</f>
        <v>1.9906035297179248</v>
      </c>
      <c r="U9" s="14"/>
      <c r="V9" s="16" t="s">
        <v>58</v>
      </c>
      <c r="W9" s="25">
        <f>Custom!D25</f>
        <v>1.8633744428939663</v>
      </c>
      <c r="Y9" s="16" t="str">
        <f>V9</f>
        <v>Net</v>
      </c>
      <c r="Z9" s="27">
        <f>'Trad. Tax.'!D25</f>
        <v>1.5743808897071787</v>
      </c>
      <c r="AB9" s="16" t="str">
        <f>Y9</f>
        <v>Net</v>
      </c>
      <c r="AC9" s="29">
        <f>'Trad. PPLI'!D25</f>
        <v>1.7214745614786895</v>
      </c>
      <c r="AE9" s="16" t="str">
        <f>AB9</f>
        <v>Net</v>
      </c>
      <c r="AF9" s="31">
        <f>'Alts. Tax.'!D25</f>
        <v>1.6313895198113504</v>
      </c>
      <c r="AH9" s="16" t="str">
        <f>AE9</f>
        <v>Net</v>
      </c>
      <c r="AI9" s="33">
        <f>'Alts. PPLI'!D25</f>
        <v>1.8484590130358054</v>
      </c>
    </row>
    <row r="10" spans="1:35" ht="15.85" customHeight="1" x14ac:dyDescent="0.35">
      <c r="E10" s="13"/>
      <c r="F10" s="14"/>
      <c r="G10" s="16" t="s">
        <v>22</v>
      </c>
      <c r="H10" s="25">
        <f>Custom!C26</f>
        <v>-1.3278231921082488</v>
      </c>
      <c r="J10" s="16" t="str">
        <f>G10</f>
        <v>Drag</v>
      </c>
      <c r="K10" s="27">
        <f>'Trad. Tax.'!C26</f>
        <v>-1.1816017312797258</v>
      </c>
      <c r="M10" s="16" t="str">
        <f>J10</f>
        <v>Drag</v>
      </c>
      <c r="N10" s="29">
        <f>'Trad. PPLI'!C26</f>
        <v>-1.0141808046815668</v>
      </c>
      <c r="P10" s="16" t="str">
        <f>M10</f>
        <v>Drag</v>
      </c>
      <c r="Q10" s="31">
        <f>'Alts. Tax.'!C26</f>
        <v>-1.3031439350956115</v>
      </c>
      <c r="S10" s="16" t="str">
        <f>P10</f>
        <v>Drag</v>
      </c>
      <c r="T10" s="33">
        <f>'Alts. PPLI'!C26</f>
        <v>-1.0279025937458206</v>
      </c>
      <c r="U10" s="14"/>
      <c r="V10" s="16" t="s">
        <v>22</v>
      </c>
      <c r="W10" s="25">
        <f>Custom!D26</f>
        <v>-1.3061413895137814</v>
      </c>
      <c r="Y10" s="16" t="str">
        <f>V10</f>
        <v>Drag</v>
      </c>
      <c r="Z10" s="27">
        <f>'Trad. Tax.'!D26</f>
        <v>-1.1531826390017592</v>
      </c>
      <c r="AB10" s="16" t="str">
        <f>Y10</f>
        <v>Drag</v>
      </c>
      <c r="AC10" s="29">
        <f>'Trad. PPLI'!D26</f>
        <v>-1.0060889672302484</v>
      </c>
      <c r="AE10" s="16" t="str">
        <f>AB10</f>
        <v>Drag</v>
      </c>
      <c r="AF10" s="31">
        <f>'Alts. Tax.'!D26</f>
        <v>-1.2673301437300419</v>
      </c>
      <c r="AH10" s="16" t="str">
        <f>AE10</f>
        <v>Drag</v>
      </c>
      <c r="AI10" s="33">
        <f>'Alts. PPLI'!D26</f>
        <v>-1.0502606505055869</v>
      </c>
    </row>
    <row r="11" spans="1:35" ht="15.85" customHeight="1" x14ac:dyDescent="0.35">
      <c r="B11" s="43" t="s">
        <v>34</v>
      </c>
      <c r="C11" s="44"/>
      <c r="E11" s="13"/>
      <c r="F11" s="14"/>
      <c r="U11" s="14"/>
    </row>
    <row r="12" spans="1:35" ht="15.85" customHeight="1" x14ac:dyDescent="0.45">
      <c r="B12" s="17" t="s">
        <v>0</v>
      </c>
      <c r="C12" s="37">
        <v>0.08</v>
      </c>
      <c r="E12" s="13"/>
      <c r="F12" s="14"/>
      <c r="G12" s="45" t="s">
        <v>44</v>
      </c>
      <c r="H12" s="45"/>
      <c r="J12" s="46" t="str">
        <f>G12</f>
        <v>Annualized Return</v>
      </c>
      <c r="K12" s="46"/>
      <c r="M12" s="47" t="str">
        <f>J12</f>
        <v>Annualized Return</v>
      </c>
      <c r="N12" s="47"/>
      <c r="P12" s="48" t="str">
        <f>M12</f>
        <v>Annualized Return</v>
      </c>
      <c r="Q12" s="48"/>
      <c r="S12" s="41" t="str">
        <f>P12</f>
        <v>Annualized Return</v>
      </c>
      <c r="T12" s="41"/>
      <c r="U12" s="14"/>
      <c r="V12" s="45" t="s">
        <v>44</v>
      </c>
      <c r="W12" s="45"/>
      <c r="Y12" s="46" t="str">
        <f>V12</f>
        <v>Annualized Return</v>
      </c>
      <c r="Z12" s="46"/>
      <c r="AB12" s="47" t="str">
        <f>Y12</f>
        <v>Annualized Return</v>
      </c>
      <c r="AC12" s="47"/>
      <c r="AE12" s="48" t="str">
        <f>AB12</f>
        <v>Annualized Return</v>
      </c>
      <c r="AF12" s="48"/>
      <c r="AH12" s="41" t="str">
        <f>AE12</f>
        <v>Annualized Return</v>
      </c>
      <c r="AI12" s="41"/>
    </row>
    <row r="13" spans="1:35" ht="15.85" customHeight="1" x14ac:dyDescent="0.35">
      <c r="B13" s="16" t="s">
        <v>1</v>
      </c>
      <c r="C13" s="37">
        <v>0.05</v>
      </c>
      <c r="E13" s="13"/>
      <c r="F13" s="14"/>
      <c r="G13" s="16" t="s">
        <v>57</v>
      </c>
      <c r="H13" s="25">
        <f>Custom!C28</f>
        <v>7.514626387032286E-2</v>
      </c>
      <c r="J13" s="16" t="str">
        <f>G13</f>
        <v>Gross</v>
      </c>
      <c r="K13" s="27">
        <f>'Trad. Tax.'!C28</f>
        <v>6.983674680110119E-2</v>
      </c>
      <c r="M13" s="16" t="str">
        <f>J13</f>
        <v>Gross</v>
      </c>
      <c r="N13" s="29">
        <f>'Trad. PPLI'!C28</f>
        <v>6.983674680110119E-2</v>
      </c>
      <c r="P13" s="16" t="str">
        <f>M13</f>
        <v>Gross</v>
      </c>
      <c r="Q13" s="31">
        <f>'Alts. Tax.'!C28</f>
        <v>7.2020848968773032E-2</v>
      </c>
      <c r="S13" s="16" t="str">
        <f>P13</f>
        <v>Gross</v>
      </c>
      <c r="T13" s="33">
        <f>'Alts. PPLI'!C28</f>
        <v>7.2020848968773032E-2</v>
      </c>
      <c r="U13" s="14"/>
      <c r="V13" s="16" t="s">
        <v>57</v>
      </c>
      <c r="W13" s="25">
        <f>Custom!D28</f>
        <v>7.4000000000000066E-2</v>
      </c>
      <c r="Y13" s="16" t="str">
        <f>V13</f>
        <v>Gross</v>
      </c>
      <c r="Z13" s="27">
        <f>'Trad. Tax.'!D28</f>
        <v>6.800000000000006E-2</v>
      </c>
      <c r="AB13" s="16" t="str">
        <f>Y13</f>
        <v>Gross</v>
      </c>
      <c r="AC13" s="29">
        <f>'Trad. PPLI'!D28</f>
        <v>6.800000000000006E-2</v>
      </c>
      <c r="AE13" s="16" t="str">
        <f>AB13</f>
        <v>Gross</v>
      </c>
      <c r="AF13" s="31">
        <f>'Alts. Tax.'!D28</f>
        <v>7.0400000000000018E-2</v>
      </c>
      <c r="AH13" s="16" t="str">
        <f>AE13</f>
        <v>Gross</v>
      </c>
      <c r="AI13" s="33">
        <f>'Alts. PPLI'!D28</f>
        <v>7.0400000000000018E-2</v>
      </c>
    </row>
    <row r="14" spans="1:35" ht="15.85" customHeight="1" x14ac:dyDescent="0.35">
      <c r="B14" s="16" t="s">
        <v>2</v>
      </c>
      <c r="C14" s="37">
        <v>0.08</v>
      </c>
      <c r="E14" s="13"/>
      <c r="F14" s="14"/>
      <c r="G14" s="16" t="s">
        <v>58</v>
      </c>
      <c r="H14" s="25">
        <f>Custom!C29</f>
        <v>5.5249732996052181E-2</v>
      </c>
      <c r="J14" s="16" t="str">
        <f>G14</f>
        <v>Net</v>
      </c>
      <c r="K14" s="27">
        <f>'Trad. Tax.'!C29</f>
        <v>5.0453111597547506E-2</v>
      </c>
      <c r="M14" s="16" t="str">
        <f>J14</f>
        <v>Net</v>
      </c>
      <c r="N14" s="29">
        <f>'Trad. PPLI'!C29</f>
        <v>5.3644937539511162E-2</v>
      </c>
      <c r="P14" s="16" t="str">
        <f>M14</f>
        <v>Net</v>
      </c>
      <c r="Q14" s="31">
        <f>'Alts. Tax.'!C29</f>
        <v>5.1214610322372733E-2</v>
      </c>
      <c r="S14" s="16" t="str">
        <f>P14</f>
        <v>Net</v>
      </c>
      <c r="T14" s="33">
        <f>'Alts. PPLI'!C29</f>
        <v>5.6301610832222737E-2</v>
      </c>
      <c r="U14" s="14"/>
      <c r="V14" s="16" t="s">
        <v>58</v>
      </c>
      <c r="W14" s="25">
        <f>Custom!D29</f>
        <v>5.4008000000000056E-2</v>
      </c>
      <c r="Y14" s="16" t="str">
        <f>V14</f>
        <v>Net</v>
      </c>
      <c r="Z14" s="27">
        <f>'Trad. Tax.'!D29</f>
        <v>4.8416000000000015E-2</v>
      </c>
      <c r="AB14" s="16" t="str">
        <f>Y14</f>
        <v>Net</v>
      </c>
      <c r="AC14" s="29">
        <f>'Trad. PPLI'!D29</f>
        <v>5.1332799999999956E-2</v>
      </c>
      <c r="AE14" s="16" t="str">
        <f>AB14</f>
        <v>Net</v>
      </c>
      <c r="AF14" s="31">
        <f>'Alts. Tax.'!D29</f>
        <v>4.9564799999999964E-2</v>
      </c>
      <c r="AH14" s="16" t="str">
        <f>AE14</f>
        <v>Net</v>
      </c>
      <c r="AI14" s="33">
        <f>'Alts. PPLI'!D29</f>
        <v>5.3732799999999914E-2</v>
      </c>
    </row>
    <row r="15" spans="1:35" ht="15.85" customHeight="1" x14ac:dyDescent="0.35">
      <c r="E15" s="13"/>
      <c r="F15" s="14"/>
      <c r="G15" s="16" t="s">
        <v>22</v>
      </c>
      <c r="H15" s="25">
        <f>Custom!C30</f>
        <v>-1.9896530874270679E-2</v>
      </c>
      <c r="J15" s="16" t="str">
        <f>G15</f>
        <v>Drag</v>
      </c>
      <c r="K15" s="27">
        <f>'Trad. Tax.'!C30</f>
        <v>-1.9383635203553684E-2</v>
      </c>
      <c r="M15" s="16" t="str">
        <f>J15</f>
        <v>Drag</v>
      </c>
      <c r="N15" s="29">
        <f>'Trad. PPLI'!C30</f>
        <v>-1.6191809261590029E-2</v>
      </c>
      <c r="P15" s="16" t="str">
        <f>M15</f>
        <v>Drag</v>
      </c>
      <c r="Q15" s="31">
        <f>'Alts. Tax.'!C30</f>
        <v>-2.0806238646400299E-2</v>
      </c>
      <c r="S15" s="16" t="str">
        <f>P15</f>
        <v>Drag</v>
      </c>
      <c r="T15" s="33">
        <f>'Alts. PPLI'!C30</f>
        <v>-1.5719238136550295E-2</v>
      </c>
      <c r="U15" s="14"/>
      <c r="V15" s="16" t="s">
        <v>22</v>
      </c>
      <c r="W15" s="25">
        <f>Custom!D30</f>
        <v>-1.999200000000001E-2</v>
      </c>
      <c r="Y15" s="16" t="str">
        <f>V15</f>
        <v>Drag</v>
      </c>
      <c r="Z15" s="27">
        <f>'Trad. Tax.'!D30</f>
        <v>-1.9584000000000046E-2</v>
      </c>
      <c r="AB15" s="16" t="str">
        <f>Y15</f>
        <v>Drag</v>
      </c>
      <c r="AC15" s="29">
        <f>'Trad. PPLI'!D30</f>
        <v>-1.6667200000000104E-2</v>
      </c>
      <c r="AE15" s="16" t="str">
        <f>AB15</f>
        <v>Drag</v>
      </c>
      <c r="AF15" s="31">
        <f>'Alts. Tax.'!D30</f>
        <v>-2.0835200000000054E-2</v>
      </c>
      <c r="AH15" s="16" t="str">
        <f>AE15</f>
        <v>Drag</v>
      </c>
      <c r="AI15" s="33">
        <f>'Alts. PPLI'!D30</f>
        <v>-1.6667200000000104E-2</v>
      </c>
    </row>
    <row r="16" spans="1:35" ht="15.85" customHeight="1" x14ac:dyDescent="0.35">
      <c r="B16" s="43" t="s">
        <v>35</v>
      </c>
      <c r="C16" s="44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ht="15.85" customHeight="1" x14ac:dyDescent="0.35">
      <c r="B17" s="17" t="s">
        <v>39</v>
      </c>
      <c r="C17" s="37">
        <v>0.37</v>
      </c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ht="15.85" customHeight="1" x14ac:dyDescent="0.35">
      <c r="B18" s="16" t="s">
        <v>40</v>
      </c>
      <c r="C18" s="37">
        <v>0.2</v>
      </c>
      <c r="E18" s="13"/>
      <c r="F18" s="14"/>
      <c r="G18" s="14"/>
      <c r="H18" s="14"/>
      <c r="I18" s="14"/>
      <c r="J18" s="14"/>
      <c r="K18" s="14"/>
      <c r="L18" s="14"/>
      <c r="M18" s="14"/>
      <c r="N18" s="14"/>
      <c r="O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:30" ht="15.85" customHeight="1" x14ac:dyDescent="0.35">
      <c r="B19" s="16" t="s">
        <v>41</v>
      </c>
      <c r="C19" s="37">
        <v>3.7999999999999999E-2</v>
      </c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2:30" ht="15.85" customHeight="1" x14ac:dyDescent="0.35">
      <c r="F20" s="14"/>
      <c r="G20" s="14"/>
      <c r="H20" s="14"/>
      <c r="I20" s="14"/>
      <c r="J20" s="14"/>
      <c r="K20" s="14"/>
      <c r="L20" s="14"/>
      <c r="M20" s="14"/>
      <c r="N20" s="14"/>
      <c r="O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2:30" ht="15.85" customHeight="1" x14ac:dyDescent="0.35">
      <c r="B21" s="43" t="s">
        <v>33</v>
      </c>
      <c r="C21" s="44"/>
      <c r="F21" s="14"/>
      <c r="G21" s="14"/>
      <c r="H21" s="14"/>
      <c r="I21" s="14"/>
      <c r="J21" s="14"/>
      <c r="K21" s="14"/>
      <c r="L21" s="14"/>
      <c r="M21" s="14"/>
      <c r="N21" s="14"/>
      <c r="O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2:30" ht="15.85" customHeight="1" x14ac:dyDescent="0.35">
      <c r="B22" s="17" t="s">
        <v>0</v>
      </c>
      <c r="C22" s="37">
        <v>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2:30" ht="15.85" customHeight="1" x14ac:dyDescent="0.35">
      <c r="B23" s="16" t="s">
        <v>1</v>
      </c>
      <c r="C23" s="37">
        <v>0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2:30" ht="15.85" customHeight="1" x14ac:dyDescent="0.35">
      <c r="B24" s="16" t="s">
        <v>2</v>
      </c>
      <c r="C24" s="37">
        <v>0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2:30" ht="15.85" customHeight="1" x14ac:dyDescent="0.35">
      <c r="F25" s="14"/>
      <c r="G25" s="14"/>
      <c r="H25" s="14"/>
      <c r="I25" s="14"/>
      <c r="J25" s="14"/>
      <c r="K25" s="14"/>
      <c r="L25" s="14"/>
      <c r="M25" s="14"/>
      <c r="N25" s="14"/>
      <c r="O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2:30" ht="15.85" customHeight="1" x14ac:dyDescent="0.35">
      <c r="B26" s="43" t="s">
        <v>36</v>
      </c>
      <c r="C26" s="44"/>
      <c r="F26" s="14"/>
      <c r="G26" s="14"/>
      <c r="H26" s="14"/>
      <c r="I26" s="14"/>
      <c r="J26" s="14"/>
      <c r="K26" s="14"/>
      <c r="L26" s="14"/>
      <c r="M26" s="14"/>
      <c r="N26" s="14"/>
      <c r="O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2:30" ht="15.85" customHeight="1" x14ac:dyDescent="0.35">
      <c r="B27" s="17" t="s">
        <v>75</v>
      </c>
      <c r="C27" s="37">
        <v>5.0000000000000001E-3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2:30" ht="15.85" customHeight="1" x14ac:dyDescent="0.35">
      <c r="F28" s="14"/>
      <c r="G28" s="14"/>
      <c r="H28" s="14"/>
      <c r="I28" s="14"/>
      <c r="J28" s="14"/>
      <c r="K28" s="14"/>
      <c r="L28" s="14"/>
      <c r="M28" s="14"/>
      <c r="N28" s="14"/>
      <c r="O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2:30" ht="15.85" customHeight="1" x14ac:dyDescent="0.35">
      <c r="B29" s="43" t="s">
        <v>37</v>
      </c>
      <c r="C29" s="44"/>
      <c r="F29" s="14"/>
      <c r="G29" s="14"/>
      <c r="H29" s="14"/>
      <c r="I29" s="14"/>
      <c r="J29" s="14"/>
      <c r="K29" s="14"/>
      <c r="L29" s="14"/>
      <c r="M29" s="14"/>
      <c r="N29" s="14"/>
      <c r="O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2:30" ht="15.85" customHeight="1" x14ac:dyDescent="0.35">
      <c r="B30" s="15" t="s">
        <v>27</v>
      </c>
      <c r="C30" s="15" t="s">
        <v>38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2:30" ht="15.85" customHeight="1" x14ac:dyDescent="0.35">
      <c r="B31" s="38"/>
      <c r="C31" s="39"/>
      <c r="F31" s="14"/>
      <c r="G31" s="14"/>
      <c r="H31" s="14"/>
      <c r="I31" s="14"/>
      <c r="J31" s="14"/>
      <c r="K31" s="14"/>
      <c r="L31" s="14"/>
      <c r="M31" s="14"/>
      <c r="N31" s="14"/>
      <c r="O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2:30" ht="15.85" customHeight="1" x14ac:dyDescent="0.35">
      <c r="B32" s="38"/>
      <c r="C32" s="39"/>
      <c r="F32" s="14"/>
      <c r="G32" s="14"/>
      <c r="H32" s="14"/>
      <c r="I32" s="14"/>
      <c r="J32" s="14"/>
      <c r="K32" s="14"/>
      <c r="L32" s="14"/>
      <c r="M32" s="14"/>
      <c r="N32" s="14"/>
      <c r="O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2:35" ht="15.85" customHeight="1" x14ac:dyDescent="0.35">
      <c r="B33" s="38"/>
      <c r="C33" s="39"/>
    </row>
    <row r="34" spans="2:35" ht="15.85" customHeight="1" x14ac:dyDescent="0.35">
      <c r="B34" s="38"/>
      <c r="C34" s="39"/>
    </row>
    <row r="35" spans="2:35" ht="15.85" customHeight="1" x14ac:dyDescent="0.35">
      <c r="B35" s="38"/>
      <c r="C35" s="39"/>
    </row>
    <row r="36" spans="2:35" ht="15.85" customHeight="1" x14ac:dyDescent="0.35">
      <c r="B36" s="38"/>
      <c r="C36" s="39"/>
    </row>
    <row r="37" spans="2:35" x14ac:dyDescent="0.35">
      <c r="B37" s="38"/>
      <c r="C37" s="39"/>
    </row>
    <row r="46" spans="2:35" x14ac:dyDescent="0.35">
      <c r="M46" s="59" t="s">
        <v>74</v>
      </c>
      <c r="N46" s="62" t="s">
        <v>73</v>
      </c>
      <c r="O46" s="63"/>
      <c r="P46" s="62" t="s">
        <v>66</v>
      </c>
      <c r="Q46" s="63"/>
      <c r="R46" s="68" t="s">
        <v>43</v>
      </c>
      <c r="S46" s="69"/>
      <c r="T46" s="70"/>
      <c r="AB46" s="59" t="s">
        <v>74</v>
      </c>
      <c r="AC46" s="62" t="s">
        <v>73</v>
      </c>
      <c r="AD46" s="63"/>
      <c r="AE46" s="62" t="s">
        <v>66</v>
      </c>
      <c r="AF46" s="63"/>
      <c r="AG46" s="68" t="s">
        <v>43</v>
      </c>
      <c r="AH46" s="69"/>
      <c r="AI46" s="70"/>
    </row>
    <row r="47" spans="2:35" x14ac:dyDescent="0.35">
      <c r="M47" s="60"/>
      <c r="N47" s="64"/>
      <c r="O47" s="65"/>
      <c r="P47" s="64"/>
      <c r="Q47" s="65"/>
      <c r="R47" s="71"/>
      <c r="S47" s="72"/>
      <c r="T47" s="73"/>
      <c r="AB47" s="60"/>
      <c r="AC47" s="64"/>
      <c r="AD47" s="65"/>
      <c r="AE47" s="64"/>
      <c r="AF47" s="65"/>
      <c r="AG47" s="71"/>
      <c r="AH47" s="72"/>
      <c r="AI47" s="73"/>
    </row>
    <row r="48" spans="2:35" x14ac:dyDescent="0.35">
      <c r="M48" s="61"/>
      <c r="N48" s="66"/>
      <c r="O48" s="67"/>
      <c r="P48" s="66"/>
      <c r="Q48" s="67"/>
      <c r="R48" s="74"/>
      <c r="S48" s="75"/>
      <c r="T48" s="76"/>
      <c r="AB48" s="61"/>
      <c r="AC48" s="66"/>
      <c r="AD48" s="67"/>
      <c r="AE48" s="66"/>
      <c r="AF48" s="67"/>
      <c r="AG48" s="74"/>
      <c r="AH48" s="75"/>
      <c r="AI48" s="76"/>
    </row>
    <row r="49" spans="13:35" ht="11.65" customHeight="1" x14ac:dyDescent="0.35">
      <c r="M49" s="81" t="str">
        <f>Rank!M2</f>
        <v>1st</v>
      </c>
      <c r="N49" s="77" t="str">
        <f>Rank!I2</f>
        <v>Alternatives Enhanced (PPLI)</v>
      </c>
      <c r="O49" s="78"/>
      <c r="P49" s="52">
        <f>Rank!K2</f>
        <v>5.6301610832222737E-2</v>
      </c>
      <c r="Q49" s="49" t="str">
        <f>_xlfn.CONCAT("+ ",TEXT(P49-$P$61,"0.00%"))</f>
        <v>+ 0.58%</v>
      </c>
      <c r="R49" s="50">
        <f>Rank!J2</f>
        <v>29906035.297179252</v>
      </c>
      <c r="S49" s="51"/>
      <c r="T49" s="55" t="str">
        <f>_xlfn.CONCAT("+ ",TEXT(R49-$R$61,"$#,##0.00"))</f>
        <v>+ $3,143,118.93</v>
      </c>
      <c r="AB49" s="94" t="str">
        <f>Rank!M10</f>
        <v>1st</v>
      </c>
      <c r="AC49" s="92" t="str">
        <f>Rank!I10</f>
        <v>Custom</v>
      </c>
      <c r="AD49" s="93"/>
      <c r="AE49" s="91">
        <f>Rank!K10</f>
        <v>5.4008000000000056E-2</v>
      </c>
      <c r="AF49" s="90" t="str">
        <f>_xlfn.CONCAT("+ ",TEXT(AE49-$AE$61,"0.00%"))</f>
        <v>+ 0.56%</v>
      </c>
      <c r="AG49" s="88">
        <f>Rank!J10</f>
        <v>28633744.428939655</v>
      </c>
      <c r="AH49" s="89"/>
      <c r="AI49" s="87" t="str">
        <f>_xlfn.CONCAT("+ ",TEXT(AG49-$AG$61,"$#,##0.00"))</f>
        <v>+ $2,889,935.53</v>
      </c>
    </row>
    <row r="50" spans="13:35" ht="11.65" customHeight="1" x14ac:dyDescent="0.35">
      <c r="M50" s="81"/>
      <c r="N50" s="77"/>
      <c r="O50" s="78"/>
      <c r="P50" s="52"/>
      <c r="Q50" s="49"/>
      <c r="R50" s="50"/>
      <c r="S50" s="51"/>
      <c r="T50" s="55"/>
      <c r="AB50" s="81"/>
      <c r="AC50" s="77"/>
      <c r="AD50" s="78"/>
      <c r="AE50" s="52"/>
      <c r="AF50" s="49"/>
      <c r="AG50" s="50"/>
      <c r="AH50" s="51"/>
      <c r="AI50" s="55"/>
    </row>
    <row r="51" spans="13:35" ht="11.65" customHeight="1" x14ac:dyDescent="0.35">
      <c r="M51" s="81"/>
      <c r="N51" s="77"/>
      <c r="O51" s="78"/>
      <c r="P51" s="52"/>
      <c r="Q51" s="49"/>
      <c r="R51" s="50"/>
      <c r="S51" s="51"/>
      <c r="T51" s="55"/>
      <c r="AB51" s="81"/>
      <c r="AC51" s="77"/>
      <c r="AD51" s="78"/>
      <c r="AE51" s="52"/>
      <c r="AF51" s="49"/>
      <c r="AG51" s="50"/>
      <c r="AH51" s="51"/>
      <c r="AI51" s="55"/>
    </row>
    <row r="52" spans="13:35" ht="11.65" customHeight="1" x14ac:dyDescent="0.35">
      <c r="M52" s="81" t="str">
        <f>Rank!M3</f>
        <v>2nd</v>
      </c>
      <c r="N52" s="77" t="str">
        <f>Rank!I3</f>
        <v>Custom</v>
      </c>
      <c r="O52" s="78"/>
      <c r="P52" s="52">
        <f>Rank!K3</f>
        <v>5.5249732996052181E-2</v>
      </c>
      <c r="Q52" s="49" t="str">
        <f>_xlfn.CONCAT("+ ",TEXT(P52-$P$61,"0.00%"))</f>
        <v>+ 0.48%</v>
      </c>
      <c r="R52" s="50">
        <f>Rank!J3</f>
        <v>29316020.640000787</v>
      </c>
      <c r="S52" s="51"/>
      <c r="T52" s="55" t="str">
        <f>_xlfn.CONCAT("+ ",TEXT(R52-$R$61,"$#,##0.00"))</f>
        <v>+ $2,553,104.27</v>
      </c>
      <c r="AB52" s="81" t="str">
        <f>Rank!M11</f>
        <v>2nd</v>
      </c>
      <c r="AC52" s="77" t="str">
        <f>Rank!I11</f>
        <v>Alternatives Enhanced (PPLI)</v>
      </c>
      <c r="AD52" s="78"/>
      <c r="AE52" s="52">
        <f>Rank!K11</f>
        <v>5.3732799999999914E-2</v>
      </c>
      <c r="AF52" s="49" t="str">
        <f>_xlfn.CONCAT("+ ",TEXT(AE52-$AE$61,"0.00%"))</f>
        <v>+ 0.53%</v>
      </c>
      <c r="AG52" s="50">
        <f>Rank!J11</f>
        <v>28484590.130358048</v>
      </c>
      <c r="AH52" s="51"/>
      <c r="AI52" s="55" t="str">
        <f>_xlfn.CONCAT("+ ",TEXT(AG52-$AG$61,"$#,##0.00"))</f>
        <v>+ $2,740,781.23</v>
      </c>
    </row>
    <row r="53" spans="13:35" ht="11.65" customHeight="1" x14ac:dyDescent="0.35">
      <c r="M53" s="81"/>
      <c r="N53" s="77"/>
      <c r="O53" s="78"/>
      <c r="P53" s="52"/>
      <c r="Q53" s="49"/>
      <c r="R53" s="50"/>
      <c r="S53" s="51"/>
      <c r="T53" s="55"/>
      <c r="AB53" s="81"/>
      <c r="AC53" s="77"/>
      <c r="AD53" s="78"/>
      <c r="AE53" s="52"/>
      <c r="AF53" s="49"/>
      <c r="AG53" s="50"/>
      <c r="AH53" s="51"/>
      <c r="AI53" s="55"/>
    </row>
    <row r="54" spans="13:35" ht="11.65" customHeight="1" x14ac:dyDescent="0.35">
      <c r="M54" s="81"/>
      <c r="N54" s="77"/>
      <c r="O54" s="78"/>
      <c r="P54" s="52"/>
      <c r="Q54" s="49"/>
      <c r="R54" s="50"/>
      <c r="S54" s="51"/>
      <c r="T54" s="55"/>
      <c r="AB54" s="81"/>
      <c r="AC54" s="77"/>
      <c r="AD54" s="78"/>
      <c r="AE54" s="52"/>
      <c r="AF54" s="49"/>
      <c r="AG54" s="50"/>
      <c r="AH54" s="51"/>
      <c r="AI54" s="55"/>
    </row>
    <row r="55" spans="13:35" ht="11.65" customHeight="1" x14ac:dyDescent="0.35">
      <c r="M55" s="81" t="str">
        <f>Rank!M4</f>
        <v>3rd</v>
      </c>
      <c r="N55" s="77" t="str">
        <f>Rank!I4</f>
        <v>Traditional (PPLI)</v>
      </c>
      <c r="O55" s="78"/>
      <c r="P55" s="52">
        <f>Rank!K4</f>
        <v>5.3644937539511162E-2</v>
      </c>
      <c r="Q55" s="49" t="str">
        <f>_xlfn.CONCAT("+ ",TEXT(P55-$P$61,"0.00%"))</f>
        <v>+ 0.32%</v>
      </c>
      <c r="R55" s="50">
        <f>Rank!J4</f>
        <v>28437125.636857893</v>
      </c>
      <c r="S55" s="51"/>
      <c r="T55" s="55" t="str">
        <f>_xlfn.CONCAT("+ ",TEXT(R55-$R$61,"$#,##0.00"))</f>
        <v>+ $1,674,209.27</v>
      </c>
      <c r="AB55" s="81" t="str">
        <f>Rank!M12</f>
        <v>3rd</v>
      </c>
      <c r="AC55" s="77" t="str">
        <f>Rank!I12</f>
        <v>Traditional (PPLI)</v>
      </c>
      <c r="AD55" s="78"/>
      <c r="AE55" s="52">
        <f>Rank!K12</f>
        <v>5.1332799999999956E-2</v>
      </c>
      <c r="AF55" s="49" t="str">
        <f>_xlfn.CONCAT("+ ",TEXT(AE55-$AE$61,"0.00%"))</f>
        <v>+ 0.29%</v>
      </c>
      <c r="AG55" s="50">
        <f>Rank!J12</f>
        <v>27214745.614786897</v>
      </c>
      <c r="AH55" s="51"/>
      <c r="AI55" s="55" t="str">
        <f>_xlfn.CONCAT("+ ",TEXT(AG55-$AG$61,"$#,##0.00"))</f>
        <v>+ $1,470,936.72</v>
      </c>
    </row>
    <row r="56" spans="13:35" ht="11.65" customHeight="1" x14ac:dyDescent="0.35">
      <c r="M56" s="81"/>
      <c r="N56" s="77"/>
      <c r="O56" s="78"/>
      <c r="P56" s="52"/>
      <c r="Q56" s="49"/>
      <c r="R56" s="50"/>
      <c r="S56" s="51"/>
      <c r="T56" s="55"/>
      <c r="AB56" s="81"/>
      <c r="AC56" s="77"/>
      <c r="AD56" s="78"/>
      <c r="AE56" s="52"/>
      <c r="AF56" s="49"/>
      <c r="AG56" s="50"/>
      <c r="AH56" s="51"/>
      <c r="AI56" s="55"/>
    </row>
    <row r="57" spans="13:35" ht="11.65" customHeight="1" x14ac:dyDescent="0.35">
      <c r="M57" s="81"/>
      <c r="N57" s="77"/>
      <c r="O57" s="78"/>
      <c r="P57" s="52"/>
      <c r="Q57" s="49"/>
      <c r="R57" s="50"/>
      <c r="S57" s="51"/>
      <c r="T57" s="55"/>
      <c r="AB57" s="81"/>
      <c r="AC57" s="77"/>
      <c r="AD57" s="78"/>
      <c r="AE57" s="52"/>
      <c r="AF57" s="49"/>
      <c r="AG57" s="50"/>
      <c r="AH57" s="51"/>
      <c r="AI57" s="55"/>
    </row>
    <row r="58" spans="13:35" ht="11.65" customHeight="1" x14ac:dyDescent="0.35">
      <c r="M58" s="81" t="str">
        <f>Rank!M5</f>
        <v>4th</v>
      </c>
      <c r="N58" s="77" t="str">
        <f>Rank!I5</f>
        <v>Alternatives Enhanced (Taxable)</v>
      </c>
      <c r="O58" s="78"/>
      <c r="P58" s="52">
        <f>Rank!K5</f>
        <v>5.1214610322372733E-2</v>
      </c>
      <c r="Q58" s="49" t="str">
        <f>_xlfn.CONCAT("+ ",TEXT(P58-$P$61,"0.00%"))</f>
        <v>+ 0.08%</v>
      </c>
      <c r="R58" s="50">
        <f>Rank!J5</f>
        <v>27153621.883681335</v>
      </c>
      <c r="S58" s="51"/>
      <c r="T58" s="55" t="str">
        <f>_xlfn.CONCAT("+ ",TEXT(R58-$R$61,"$#,##0.00"))</f>
        <v>+ $390,705.51</v>
      </c>
      <c r="AB58" s="81" t="str">
        <f>Rank!M13</f>
        <v>4th</v>
      </c>
      <c r="AC58" s="77" t="str">
        <f>Rank!I13</f>
        <v>Alternatives Enhanced (Taxable)</v>
      </c>
      <c r="AD58" s="78"/>
      <c r="AE58" s="52">
        <f>Rank!K13</f>
        <v>4.9564799999999964E-2</v>
      </c>
      <c r="AF58" s="49" t="str">
        <f>_xlfn.CONCAT("+ ",TEXT(AE58-$AE$61,"0.00%"))</f>
        <v>+ 0.11%</v>
      </c>
      <c r="AG58" s="50">
        <f>Rank!J13</f>
        <v>26313895.198113486</v>
      </c>
      <c r="AH58" s="51"/>
      <c r="AI58" s="55" t="str">
        <f>_xlfn.CONCAT("+ ",TEXT(AG58-$AG$61,"$#,##0.00"))</f>
        <v>+ $570,086.30</v>
      </c>
    </row>
    <row r="59" spans="13:35" ht="11.65" customHeight="1" x14ac:dyDescent="0.35">
      <c r="M59" s="81"/>
      <c r="N59" s="77"/>
      <c r="O59" s="78"/>
      <c r="P59" s="52"/>
      <c r="Q59" s="49"/>
      <c r="R59" s="50"/>
      <c r="S59" s="51"/>
      <c r="T59" s="55"/>
      <c r="AB59" s="81"/>
      <c r="AC59" s="77"/>
      <c r="AD59" s="78"/>
      <c r="AE59" s="52"/>
      <c r="AF59" s="49"/>
      <c r="AG59" s="50"/>
      <c r="AH59" s="51"/>
      <c r="AI59" s="55"/>
    </row>
    <row r="60" spans="13:35" ht="11.65" customHeight="1" x14ac:dyDescent="0.35">
      <c r="M60" s="81"/>
      <c r="N60" s="77"/>
      <c r="O60" s="78"/>
      <c r="P60" s="52"/>
      <c r="Q60" s="49"/>
      <c r="R60" s="50"/>
      <c r="S60" s="51"/>
      <c r="T60" s="55"/>
      <c r="AB60" s="81"/>
      <c r="AC60" s="77"/>
      <c r="AD60" s="78"/>
      <c r="AE60" s="52"/>
      <c r="AF60" s="49"/>
      <c r="AG60" s="50"/>
      <c r="AH60" s="51"/>
      <c r="AI60" s="55"/>
    </row>
    <row r="61" spans="13:35" ht="11.65" customHeight="1" x14ac:dyDescent="0.35">
      <c r="M61" s="81" t="str">
        <f>Rank!M6</f>
        <v>5th</v>
      </c>
      <c r="N61" s="77" t="str">
        <f>Rank!I6</f>
        <v>Traditional (Taxable)</v>
      </c>
      <c r="O61" s="78"/>
      <c r="P61" s="52">
        <f>Rank!K6</f>
        <v>5.0453111597547506E-2</v>
      </c>
      <c r="Q61" s="49" t="str">
        <f>_xlfn.CONCAT("+ ",TEXT(P61-$P$61,"0.00%"))</f>
        <v>+ 0.00%</v>
      </c>
      <c r="R61" s="50">
        <f>Rank!J6</f>
        <v>26762916.37087629</v>
      </c>
      <c r="S61" s="51"/>
      <c r="T61" s="55" t="str">
        <f>_xlfn.CONCAT("+ ",TEXT(R61-$R$61,"$#,##0.00"))</f>
        <v>+ $0.00</v>
      </c>
      <c r="AB61" s="81" t="str">
        <f>Rank!M14</f>
        <v>5th</v>
      </c>
      <c r="AC61" s="77" t="str">
        <f>Rank!I14</f>
        <v>Traditional (Taxable)</v>
      </c>
      <c r="AD61" s="78"/>
      <c r="AE61" s="52">
        <f>Rank!K14</f>
        <v>4.8416000000000015E-2</v>
      </c>
      <c r="AF61" s="49" t="str">
        <f>_xlfn.CONCAT("+ ",TEXT(AE61-$AE$61,"0.00%"))</f>
        <v>+ 0.00%</v>
      </c>
      <c r="AG61" s="50">
        <f>Rank!J14</f>
        <v>25743808.897071782</v>
      </c>
      <c r="AH61" s="51"/>
      <c r="AI61" s="55" t="str">
        <f>_xlfn.CONCAT("+ ",TEXT(AG61-$AG$61,"$#,##0.00"))</f>
        <v>+ $0.00</v>
      </c>
    </row>
    <row r="62" spans="13:35" ht="11.65" customHeight="1" x14ac:dyDescent="0.35">
      <c r="M62" s="81"/>
      <c r="N62" s="77"/>
      <c r="O62" s="78"/>
      <c r="P62" s="52"/>
      <c r="Q62" s="49"/>
      <c r="R62" s="50"/>
      <c r="S62" s="51"/>
      <c r="T62" s="55"/>
      <c r="AB62" s="81"/>
      <c r="AC62" s="77"/>
      <c r="AD62" s="78"/>
      <c r="AE62" s="52"/>
      <c r="AF62" s="49"/>
      <c r="AG62" s="50"/>
      <c r="AH62" s="51"/>
      <c r="AI62" s="55"/>
    </row>
    <row r="63" spans="13:35" ht="11.65" customHeight="1" x14ac:dyDescent="0.35">
      <c r="M63" s="82"/>
      <c r="N63" s="79"/>
      <c r="O63" s="80"/>
      <c r="P63" s="54"/>
      <c r="Q63" s="53"/>
      <c r="R63" s="57"/>
      <c r="S63" s="58"/>
      <c r="T63" s="56"/>
      <c r="AB63" s="82"/>
      <c r="AC63" s="79"/>
      <c r="AD63" s="80"/>
      <c r="AE63" s="54"/>
      <c r="AF63" s="53"/>
      <c r="AG63" s="57"/>
      <c r="AH63" s="58"/>
      <c r="AI63" s="56"/>
    </row>
  </sheetData>
  <sheetProtection selectLockedCells="1"/>
  <mergeCells count="108">
    <mergeCell ref="E7:E9"/>
    <mergeCell ref="AI58:AI60"/>
    <mergeCell ref="AB61:AB63"/>
    <mergeCell ref="AC61:AD63"/>
    <mergeCell ref="AE61:AE63"/>
    <mergeCell ref="AF61:AF63"/>
    <mergeCell ref="AG61:AH63"/>
    <mergeCell ref="AI61:AI63"/>
    <mergeCell ref="AB58:AB60"/>
    <mergeCell ref="AC58:AD60"/>
    <mergeCell ref="AE58:AE60"/>
    <mergeCell ref="AF58:AF60"/>
    <mergeCell ref="AG58:AH60"/>
    <mergeCell ref="AI52:AI54"/>
    <mergeCell ref="AB55:AB57"/>
    <mergeCell ref="AC55:AD57"/>
    <mergeCell ref="AE55:AE57"/>
    <mergeCell ref="AF55:AF57"/>
    <mergeCell ref="AG55:AH57"/>
    <mergeCell ref="AI55:AI57"/>
    <mergeCell ref="AB52:AB54"/>
    <mergeCell ref="AC52:AD54"/>
    <mergeCell ref="AE52:AE54"/>
    <mergeCell ref="AF52:AF54"/>
    <mergeCell ref="AG52:AH54"/>
    <mergeCell ref="AB46:AB48"/>
    <mergeCell ref="AC46:AD48"/>
    <mergeCell ref="AE46:AF48"/>
    <mergeCell ref="AG46:AI48"/>
    <mergeCell ref="AB49:AB51"/>
    <mergeCell ref="AC49:AD51"/>
    <mergeCell ref="AE49:AE51"/>
    <mergeCell ref="AF49:AF51"/>
    <mergeCell ref="AG49:AH51"/>
    <mergeCell ref="AI49:AI51"/>
    <mergeCell ref="V12:W12"/>
    <mergeCell ref="Y12:Z12"/>
    <mergeCell ref="AB12:AC12"/>
    <mergeCell ref="AE12:AF12"/>
    <mergeCell ref="AH12:AI12"/>
    <mergeCell ref="V7:W7"/>
    <mergeCell ref="Y7:Z7"/>
    <mergeCell ref="AB7:AC7"/>
    <mergeCell ref="AE7:AF7"/>
    <mergeCell ref="AH7:AI7"/>
    <mergeCell ref="V2:AI2"/>
    <mergeCell ref="V4:W4"/>
    <mergeCell ref="Y4:Z4"/>
    <mergeCell ref="AB4:AC4"/>
    <mergeCell ref="AE4:AF4"/>
    <mergeCell ref="AH4:AI4"/>
    <mergeCell ref="N52:O54"/>
    <mergeCell ref="N55:O57"/>
    <mergeCell ref="N58:O60"/>
    <mergeCell ref="N61:O63"/>
    <mergeCell ref="M61:M63"/>
    <mergeCell ref="M58:M60"/>
    <mergeCell ref="M55:M57"/>
    <mergeCell ref="M52:M54"/>
    <mergeCell ref="M46:M48"/>
    <mergeCell ref="N46:O48"/>
    <mergeCell ref="P46:Q48"/>
    <mergeCell ref="R46:T48"/>
    <mergeCell ref="T49:T51"/>
    <mergeCell ref="N49:O51"/>
    <mergeCell ref="M49:M51"/>
    <mergeCell ref="T52:T54"/>
    <mergeCell ref="T55:T57"/>
    <mergeCell ref="T58:T60"/>
    <mergeCell ref="T61:T63"/>
    <mergeCell ref="R61:S63"/>
    <mergeCell ref="R58:S60"/>
    <mergeCell ref="R55:S57"/>
    <mergeCell ref="R52:S54"/>
    <mergeCell ref="Q61:Q63"/>
    <mergeCell ref="P61:P63"/>
    <mergeCell ref="Q58:Q60"/>
    <mergeCell ref="P58:P60"/>
    <mergeCell ref="Q55:Q57"/>
    <mergeCell ref="P55:P57"/>
    <mergeCell ref="Q52:Q54"/>
    <mergeCell ref="R49:S51"/>
    <mergeCell ref="P52:P54"/>
    <mergeCell ref="P49:P51"/>
    <mergeCell ref="Q49:Q51"/>
    <mergeCell ref="M7:N7"/>
    <mergeCell ref="P7:Q7"/>
    <mergeCell ref="S7:T7"/>
    <mergeCell ref="G12:H12"/>
    <mergeCell ref="J12:K12"/>
    <mergeCell ref="M12:N12"/>
    <mergeCell ref="P12:Q12"/>
    <mergeCell ref="S12:T12"/>
    <mergeCell ref="S4:T4"/>
    <mergeCell ref="G2:T2"/>
    <mergeCell ref="B2:C2"/>
    <mergeCell ref="B29:C29"/>
    <mergeCell ref="G4:H4"/>
    <mergeCell ref="J4:K4"/>
    <mergeCell ref="M4:N4"/>
    <mergeCell ref="P4:Q4"/>
    <mergeCell ref="B6:C6"/>
    <mergeCell ref="B21:C21"/>
    <mergeCell ref="B16:C16"/>
    <mergeCell ref="B11:C11"/>
    <mergeCell ref="B26:C26"/>
    <mergeCell ref="G7:H7"/>
    <mergeCell ref="J7:K7"/>
  </mergeCells>
  <conditionalFormatting sqref="M49:T63">
    <cfRule type="expression" dxfId="30" priority="9">
      <formula>$N49=$S$4</formula>
    </cfRule>
    <cfRule type="expression" dxfId="29" priority="10">
      <formula>$N49=$P$4</formula>
    </cfRule>
    <cfRule type="expression" dxfId="28" priority="11">
      <formula>$N49=$M$4</formula>
    </cfRule>
    <cfRule type="expression" dxfId="27" priority="12">
      <formula>$N49=$J$4</formula>
    </cfRule>
    <cfRule type="expression" dxfId="26" priority="13">
      <formula>$N49=$G$4</formula>
    </cfRule>
  </conditionalFormatting>
  <conditionalFormatting sqref="AB49:AI63">
    <cfRule type="expression" dxfId="25" priority="3">
      <formula>$N49=$S$4</formula>
    </cfRule>
    <cfRule type="expression" dxfId="24" priority="4">
      <formula>$N49=$P$4</formula>
    </cfRule>
    <cfRule type="expression" dxfId="23" priority="5">
      <formula>$N49=$M$4</formula>
    </cfRule>
    <cfRule type="expression" dxfId="22" priority="6">
      <formula>$N49=$J$4</formula>
    </cfRule>
    <cfRule type="expression" dxfId="21" priority="7">
      <formula>$N49=$G$4</formula>
    </cfRule>
  </conditionalFormatting>
  <conditionalFormatting sqref="E7:E9">
    <cfRule type="cellIs" dxfId="8" priority="2" operator="equal">
      <formula>"Good"</formula>
    </cfRule>
    <cfRule type="cellIs" dxfId="9" priority="1" operator="equal">
      <formula>"Must Equal 100%"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D102-55FA-405D-9097-E86F8C27836D}">
  <sheetPr>
    <tabColor theme="0" tint="-0.499984740745262"/>
  </sheetPr>
  <dimension ref="A1"/>
  <sheetViews>
    <sheetView workbookViewId="0">
      <selection activeCell="D34" sqref="D34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276A-3CC2-4145-8941-1E36465CC5E9}">
  <sheetPr>
    <tabColor theme="0" tint="-0.499984740745262"/>
  </sheetPr>
  <dimension ref="A1:N27"/>
  <sheetViews>
    <sheetView workbookViewId="0">
      <selection activeCell="I6" sqref="I6"/>
    </sheetView>
  </sheetViews>
  <sheetFormatPr defaultRowHeight="14.25" x14ac:dyDescent="0.45"/>
  <cols>
    <col min="1" max="1" width="12.59765625" bestFit="1" customWidth="1"/>
    <col min="2" max="2" width="14.59765625" bestFit="1" customWidth="1"/>
    <col min="3" max="3" width="18.19921875" bestFit="1" customWidth="1"/>
    <col min="4" max="4" width="15.265625" bestFit="1" customWidth="1"/>
    <col min="5" max="5" width="28.46484375" bestFit="1" customWidth="1"/>
    <col min="6" max="6" width="25.53125" bestFit="1" customWidth="1"/>
    <col min="7" max="8" width="13.59765625" bestFit="1" customWidth="1"/>
    <col min="9" max="9" width="12.59765625" bestFit="1" customWidth="1"/>
    <col min="10" max="10" width="14.59765625" bestFit="1" customWidth="1"/>
    <col min="11" max="11" width="18.19921875" bestFit="1" customWidth="1"/>
    <col min="12" max="12" width="15.265625" bestFit="1" customWidth="1"/>
    <col min="13" max="13" width="28.46484375" bestFit="1" customWidth="1"/>
    <col min="14" max="14" width="25.53125" bestFit="1" customWidth="1"/>
    <col min="15" max="45" width="13.59765625" bestFit="1" customWidth="1"/>
    <col min="46" max="51" width="14.59765625" bestFit="1" customWidth="1"/>
    <col min="52" max="52" width="21.796875" bestFit="1" customWidth="1"/>
    <col min="53" max="93" width="13.59765625" bestFit="1" customWidth="1"/>
    <col min="94" max="101" width="14.59765625" bestFit="1" customWidth="1"/>
    <col min="102" max="102" width="34.86328125" bestFit="1" customWidth="1"/>
    <col min="103" max="145" width="13.59765625" bestFit="1" customWidth="1"/>
    <col min="146" max="151" width="14.59765625" bestFit="1" customWidth="1"/>
    <col min="152" max="152" width="32.06640625" bestFit="1" customWidth="1"/>
    <col min="153" max="191" width="13.59765625" bestFit="1" customWidth="1"/>
    <col min="192" max="201" width="14.59765625" bestFit="1" customWidth="1"/>
    <col min="202" max="202" width="29.3984375" bestFit="1" customWidth="1"/>
    <col min="203" max="203" width="26.46484375" bestFit="1" customWidth="1"/>
    <col min="204" max="204" width="39.6640625" bestFit="1" customWidth="1"/>
    <col min="205" max="205" width="36.73046875" bestFit="1" customWidth="1"/>
  </cols>
  <sheetData>
    <row r="1" spans="1:14" x14ac:dyDescent="0.45">
      <c r="A1" t="s">
        <v>76</v>
      </c>
      <c r="I1" t="s">
        <v>77</v>
      </c>
    </row>
    <row r="6" spans="1:14" x14ac:dyDescent="0.45">
      <c r="A6" s="20" t="s">
        <v>50</v>
      </c>
      <c r="B6" t="s">
        <v>45</v>
      </c>
      <c r="C6" t="s">
        <v>48</v>
      </c>
      <c r="D6" t="s">
        <v>49</v>
      </c>
      <c r="E6" t="s">
        <v>46</v>
      </c>
      <c r="F6" t="s">
        <v>47</v>
      </c>
      <c r="I6" s="20" t="s">
        <v>50</v>
      </c>
      <c r="J6" t="s">
        <v>45</v>
      </c>
      <c r="K6" t="s">
        <v>48</v>
      </c>
      <c r="L6" t="s">
        <v>49</v>
      </c>
      <c r="M6" t="s">
        <v>46</v>
      </c>
      <c r="N6" t="s">
        <v>47</v>
      </c>
    </row>
    <row r="7" spans="1:14" x14ac:dyDescent="0.45">
      <c r="A7" s="21">
        <v>1</v>
      </c>
      <c r="B7" s="22">
        <v>10540079.999999998</v>
      </c>
      <c r="C7" s="22">
        <v>10484160</v>
      </c>
      <c r="D7" s="22">
        <v>10513328</v>
      </c>
      <c r="E7" s="22">
        <v>10495648</v>
      </c>
      <c r="F7" s="22">
        <v>10537328</v>
      </c>
      <c r="I7" s="21">
        <v>1</v>
      </c>
      <c r="J7" s="22">
        <v>10540079.999999998</v>
      </c>
      <c r="K7" s="22">
        <v>10484160</v>
      </c>
      <c r="L7" s="22">
        <v>10513328</v>
      </c>
      <c r="M7" s="22">
        <v>10495648</v>
      </c>
      <c r="N7" s="22">
        <v>10537328</v>
      </c>
    </row>
    <row r="8" spans="1:14" x14ac:dyDescent="0.45">
      <c r="A8" s="21">
        <v>2</v>
      </c>
      <c r="B8" s="22">
        <v>11109328.640639998</v>
      </c>
      <c r="C8" s="22">
        <v>10991761.09056</v>
      </c>
      <c r="D8" s="22">
        <v>11053006.5635584</v>
      </c>
      <c r="E8" s="22">
        <v>11015862.6939904</v>
      </c>
      <c r="F8" s="22">
        <v>11103528.1379584</v>
      </c>
      <c r="I8" s="21">
        <v>2</v>
      </c>
      <c r="J8" s="22">
        <v>11109328.640639998</v>
      </c>
      <c r="K8" s="22">
        <v>10991761.09056</v>
      </c>
      <c r="L8" s="22">
        <v>11053006.5635584</v>
      </c>
      <c r="M8" s="22">
        <v>11015862.6939904</v>
      </c>
      <c r="N8" s="22">
        <v>11103528.1379584</v>
      </c>
    </row>
    <row r="9" spans="1:14" x14ac:dyDescent="0.45">
      <c r="A9" s="21">
        <v>3</v>
      </c>
      <c r="B9" s="22">
        <v>11709321.261863684</v>
      </c>
      <c r="C9" s="22">
        <v>11523938.195520554</v>
      </c>
      <c r="D9" s="22">
        <v>11620388.338884231</v>
      </c>
      <c r="E9" s="22">
        <v>11561861.725245494</v>
      </c>
      <c r="F9" s="22">
        <v>11700151.794689691</v>
      </c>
      <c r="I9" s="21">
        <v>3</v>
      </c>
      <c r="J9" s="22">
        <v>11709321.261863684</v>
      </c>
      <c r="K9" s="22">
        <v>11523938.195520554</v>
      </c>
      <c r="L9" s="22">
        <v>11620388.338884231</v>
      </c>
      <c r="M9" s="22">
        <v>11561861.725245494</v>
      </c>
      <c r="N9" s="22">
        <v>11700151.794689691</v>
      </c>
    </row>
    <row r="10" spans="1:14" x14ac:dyDescent="0.45">
      <c r="A10" s="21">
        <v>4</v>
      </c>
      <c r="B10" s="22">
        <v>12341718.284574419</v>
      </c>
      <c r="C10" s="22">
        <v>12081881.187194876</v>
      </c>
      <c r="D10" s="22">
        <v>12216895.409406507</v>
      </c>
      <c r="E10" s="22">
        <v>12134923.089284942</v>
      </c>
      <c r="F10" s="22">
        <v>12328833.711043391</v>
      </c>
      <c r="I10" s="21">
        <v>4</v>
      </c>
      <c r="J10" s="22">
        <v>12341718.284574419</v>
      </c>
      <c r="K10" s="22">
        <v>12081881.187194876</v>
      </c>
      <c r="L10" s="22">
        <v>12216895.409406507</v>
      </c>
      <c r="M10" s="22">
        <v>12134923.089284942</v>
      </c>
      <c r="N10" s="22">
        <v>12328833.711043391</v>
      </c>
    </row>
    <row r="11" spans="1:14" x14ac:dyDescent="0.45">
      <c r="A11" s="21">
        <v>5</v>
      </c>
      <c r="B11" s="22">
        <v>13008269.805687714</v>
      </c>
      <c r="C11" s="22">
        <v>12666837.546754103</v>
      </c>
      <c r="D11" s="22">
        <v>12844022.858078489</v>
      </c>
      <c r="E11" s="22">
        <v>12736388.125220731</v>
      </c>
      <c r="F11" s="22">
        <v>12991296.467072142</v>
      </c>
      <c r="I11" s="21">
        <v>5</v>
      </c>
      <c r="J11" s="22">
        <v>13008269.805687714</v>
      </c>
      <c r="K11" s="22">
        <v>12666837.546754103</v>
      </c>
      <c r="L11" s="22">
        <v>12844022.858078489</v>
      </c>
      <c r="M11" s="22">
        <v>12736388.125220731</v>
      </c>
      <c r="N11" s="22">
        <v>12991296.467072142</v>
      </c>
    </row>
    <row r="12" spans="1:14" x14ac:dyDescent="0.45">
      <c r="A12" s="21">
        <v>6</v>
      </c>
      <c r="B12" s="22">
        <v>13710820.441353297</v>
      </c>
      <c r="C12" s="22">
        <v>13280115.153417749</v>
      </c>
      <c r="D12" s="22">
        <v>13503342.514647661</v>
      </c>
      <c r="E12" s="22">
        <v>13367664.655369671</v>
      </c>
      <c r="F12" s="22">
        <v>13689355.201878035</v>
      </c>
      <c r="I12" s="21">
        <v>6</v>
      </c>
      <c r="J12" s="22">
        <v>13710820.441353297</v>
      </c>
      <c r="K12" s="22">
        <v>13280115.153417749</v>
      </c>
      <c r="L12" s="22">
        <v>13503342.514647661</v>
      </c>
      <c r="M12" s="22">
        <v>13367664.655369671</v>
      </c>
      <c r="N12" s="22">
        <v>13689355.201878035</v>
      </c>
    </row>
    <row r="13" spans="1:14" x14ac:dyDescent="0.45">
      <c r="A13" s="21">
        <v>7</v>
      </c>
      <c r="B13" s="22">
        <v>14451314.431749906</v>
      </c>
      <c r="C13" s="22">
        <v>13923085.208685623</v>
      </c>
      <c r="D13" s="22">
        <v>14196506.895283565</v>
      </c>
      <c r="E13" s="22">
        <v>14030230.280480137</v>
      </c>
      <c r="F13" s="22">
        <v>14424922.587069506</v>
      </c>
      <c r="I13" s="21">
        <v>7</v>
      </c>
      <c r="J13" s="22">
        <v>14451314.431749906</v>
      </c>
      <c r="K13" s="22">
        <v>13923085.208685623</v>
      </c>
      <c r="L13" s="22">
        <v>14196506.895283565</v>
      </c>
      <c r="M13" s="22">
        <v>14030230.280480137</v>
      </c>
      <c r="N13" s="22">
        <v>14424922.587069506</v>
      </c>
    </row>
    <row r="14" spans="1:14" x14ac:dyDescent="0.45">
      <c r="A14" s="21">
        <v>8</v>
      </c>
      <c r="B14" s="22">
        <v>15231801.021579856</v>
      </c>
      <c r="C14" s="22">
        <v>14597185.302149346</v>
      </c>
      <c r="D14" s="22">
        <v>14925253.344437776</v>
      </c>
      <c r="E14" s="22">
        <v>14725635.838286078</v>
      </c>
      <c r="F14" s="22">
        <v>15200014.067455992</v>
      </c>
      <c r="I14" s="21">
        <v>8</v>
      </c>
      <c r="J14" s="22">
        <v>15231801.021579856</v>
      </c>
      <c r="K14" s="22">
        <v>14597185.302149346</v>
      </c>
      <c r="L14" s="22">
        <v>14925253.344437776</v>
      </c>
      <c r="M14" s="22">
        <v>14725635.838286078</v>
      </c>
      <c r="N14" s="22">
        <v>15200014.067455992</v>
      </c>
    </row>
    <row r="15" spans="1:14" x14ac:dyDescent="0.45">
      <c r="A15" s="21">
        <v>9</v>
      </c>
      <c r="B15" s="22">
        <v>16054440.131153341</v>
      </c>
      <c r="C15" s="22">
        <v>15303922.625738209</v>
      </c>
      <c r="D15" s="22">
        <v>15691408.389317131</v>
      </c>
      <c r="E15" s="22">
        <v>15455509.033483559</v>
      </c>
      <c r="F15" s="22">
        <v>16016753.383339791</v>
      </c>
      <c r="I15" s="21">
        <v>9</v>
      </c>
      <c r="J15" s="22">
        <v>16054440.131153341</v>
      </c>
      <c r="K15" s="22">
        <v>15303922.625738209</v>
      </c>
      <c r="L15" s="22">
        <v>15691408.389317131</v>
      </c>
      <c r="M15" s="22">
        <v>15455509.033483559</v>
      </c>
      <c r="N15" s="22">
        <v>16016753.383339791</v>
      </c>
    </row>
    <row r="16" spans="1:14" x14ac:dyDescent="0.45">
      <c r="A16" s="21">
        <v>10</v>
      </c>
      <c r="B16" s="22">
        <v>16921508.33375667</v>
      </c>
      <c r="C16" s="22">
        <v>16044877.343585951</v>
      </c>
      <c r="D16" s="22">
        <v>16496892.317884268</v>
      </c>
      <c r="E16" s="22">
        <v>16221558.247626364</v>
      </c>
      <c r="F16" s="22">
        <v>16877378.389536109</v>
      </c>
      <c r="I16" s="21">
        <v>10</v>
      </c>
      <c r="J16" s="22">
        <v>16921508.33375667</v>
      </c>
      <c r="K16" s="22">
        <v>16044877.343585951</v>
      </c>
      <c r="L16" s="22">
        <v>16496892.317884268</v>
      </c>
      <c r="M16" s="22">
        <v>16221558.247626364</v>
      </c>
      <c r="N16" s="22">
        <v>16877378.389536109</v>
      </c>
    </row>
    <row r="17" spans="1:14" x14ac:dyDescent="0.45">
      <c r="A17" s="21">
        <v>11</v>
      </c>
      <c r="B17" s="22">
        <v>17835405.155846201</v>
      </c>
      <c r="C17" s="22">
        <v>16821706.125053007</v>
      </c>
      <c r="D17" s="22">
        <v>17343723.991859756</v>
      </c>
      <c r="E17" s="22">
        <v>17025576.537858315</v>
      </c>
      <c r="F17" s="22">
        <v>17784247.187065374</v>
      </c>
      <c r="I17" s="21">
        <v>11</v>
      </c>
      <c r="J17" s="22">
        <v>17835405.155846201</v>
      </c>
      <c r="K17" s="22">
        <v>16821706.125053007</v>
      </c>
      <c r="L17" s="22">
        <v>17343723.991859756</v>
      </c>
      <c r="M17" s="22">
        <v>17025576.537858315</v>
      </c>
      <c r="N17" s="22">
        <v>17784247.187065374</v>
      </c>
    </row>
    <row r="18" spans="1:14" x14ac:dyDescent="0.45">
      <c r="A18" s="21">
        <v>12</v>
      </c>
      <c r="B18" s="22">
        <v>18798659.717503145</v>
      </c>
      <c r="C18" s="22">
        <v>17636145.848803572</v>
      </c>
      <c r="D18" s="22">
        <v>18234025.906789094</v>
      </c>
      <c r="E18" s="22">
        <v>17869445.833841953</v>
      </c>
      <c r="F18" s="22">
        <v>18739844.584318519</v>
      </c>
      <c r="I18" s="21">
        <v>12</v>
      </c>
      <c r="J18" s="22">
        <v>18798659.717503145</v>
      </c>
      <c r="K18" s="22">
        <v>17636145.848803572</v>
      </c>
      <c r="L18" s="22">
        <v>18234025.906789094</v>
      </c>
      <c r="M18" s="22">
        <v>17869445.833841953</v>
      </c>
      <c r="N18" s="22">
        <v>18739844.584318519</v>
      </c>
    </row>
    <row r="19" spans="1:14" x14ac:dyDescent="0.45">
      <c r="A19" s="21">
        <v>13</v>
      </c>
      <c r="B19" s="22">
        <v>19813937.731526054</v>
      </c>
      <c r="C19" s="22">
        <v>18490017.486219246</v>
      </c>
      <c r="D19" s="22">
        <v>19170029.511857118</v>
      </c>
      <c r="E19" s="22">
        <v>18755141.342707161</v>
      </c>
      <c r="F19" s="22">
        <v>19746788.905398786</v>
      </c>
      <c r="I19" s="21">
        <v>13</v>
      </c>
      <c r="J19" s="22">
        <v>19813937.731526054</v>
      </c>
      <c r="K19" s="22">
        <v>18490017.486219246</v>
      </c>
      <c r="L19" s="22">
        <v>19170029.511857118</v>
      </c>
      <c r="M19" s="22">
        <v>18755141.342707161</v>
      </c>
      <c r="N19" s="22">
        <v>19746788.905398786</v>
      </c>
    </row>
    <row r="20" spans="1:14" x14ac:dyDescent="0.45">
      <c r="A20" s="21">
        <v>14</v>
      </c>
      <c r="B20" s="22">
        <v>20884048.880530316</v>
      </c>
      <c r="C20" s="22">
        <v>19385230.172832038</v>
      </c>
      <c r="D20" s="22">
        <v>20154080.802783377</v>
      </c>
      <c r="E20" s="22">
        <v>19684736.172330171</v>
      </c>
      <c r="F20" s="22">
        <v>20807839.164294798</v>
      </c>
      <c r="I20" s="21">
        <v>14</v>
      </c>
      <c r="J20" s="22">
        <v>20884048.880530316</v>
      </c>
      <c r="K20" s="22">
        <v>19385230.172832038</v>
      </c>
      <c r="L20" s="22">
        <v>20154080.802783377</v>
      </c>
      <c r="M20" s="22">
        <v>19684736.172330171</v>
      </c>
      <c r="N20" s="22">
        <v>20807839.164294798</v>
      </c>
    </row>
    <row r="21" spans="1:14" x14ac:dyDescent="0.45">
      <c r="A21" s="21">
        <v>15</v>
      </c>
      <c r="B21" s="22">
        <v>22011954.592469998</v>
      </c>
      <c r="C21" s="22">
        <v>20323785.476879876</v>
      </c>
      <c r="D21" s="22">
        <v>21188646.201816496</v>
      </c>
      <c r="E21" s="22">
        <v>20660406.18376448</v>
      </c>
      <c r="F21" s="22">
        <v>21925902.624542017</v>
      </c>
      <c r="I21" s="21">
        <v>15</v>
      </c>
      <c r="J21" s="22">
        <v>22011954.592469998</v>
      </c>
      <c r="K21" s="22">
        <v>20323785.476879876</v>
      </c>
      <c r="L21" s="22">
        <v>21188646.201816496</v>
      </c>
      <c r="M21" s="22">
        <v>20660406.18376448</v>
      </c>
      <c r="N21" s="22">
        <v>21925902.624542017</v>
      </c>
    </row>
    <row r="22" spans="1:14" x14ac:dyDescent="0.45">
      <c r="A22" s="21">
        <v>16</v>
      </c>
      <c r="B22" s="22">
        <v>23200776.236100119</v>
      </c>
      <c r="C22" s="22">
        <v>21307781.874528494</v>
      </c>
      <c r="D22" s="22">
        <v>22276318.739565101</v>
      </c>
      <c r="E22" s="22">
        <v>21684435.084181529</v>
      </c>
      <c r="F22" s="22">
        <v>23104042.765086006</v>
      </c>
      <c r="I22" s="21">
        <v>16</v>
      </c>
      <c r="J22" s="22">
        <v>23200776.236100119</v>
      </c>
      <c r="K22" s="22">
        <v>21307781.874528494</v>
      </c>
      <c r="L22" s="22">
        <v>22276318.739565101</v>
      </c>
      <c r="M22" s="22">
        <v>21684435.084181529</v>
      </c>
      <c r="N22" s="22">
        <v>23104042.765086006</v>
      </c>
    </row>
    <row r="23" spans="1:14" x14ac:dyDescent="0.45">
      <c r="A23" s="21">
        <v>17</v>
      </c>
      <c r="B23" s="22">
        <v>24453803.759059414</v>
      </c>
      <c r="C23" s="22">
        <v>22339419.441765666</v>
      </c>
      <c r="D23" s="22">
        <v>23419824.554159448</v>
      </c>
      <c r="E23" s="22">
        <v>22759219.772241969</v>
      </c>
      <c r="F23" s="22">
        <v>24345487.674173817</v>
      </c>
      <c r="I23" s="21">
        <v>17</v>
      </c>
      <c r="J23" s="22">
        <v>24453803.759059414</v>
      </c>
      <c r="K23" s="22">
        <v>22339419.441765666</v>
      </c>
      <c r="L23" s="22">
        <v>23419824.554159448</v>
      </c>
      <c r="M23" s="22">
        <v>22759219.772241969</v>
      </c>
      <c r="N23" s="22">
        <v>24345487.674173817</v>
      </c>
    </row>
    <row r="24" spans="1:14" x14ac:dyDescent="0.45">
      <c r="A24" s="21">
        <v>18</v>
      </c>
      <c r="B24" s="22">
        <v>25774504.792478696</v>
      </c>
      <c r="C24" s="22">
        <v>23421004.773458194</v>
      </c>
      <c r="D24" s="22">
        <v>24622029.724033203</v>
      </c>
      <c r="E24" s="22">
        <v>23887275.948409185</v>
      </c>
      <c r="F24" s="22">
        <v>25653638.894272663</v>
      </c>
      <c r="I24" s="21">
        <v>18</v>
      </c>
      <c r="J24" s="22">
        <v>25774504.792478696</v>
      </c>
      <c r="K24" s="22">
        <v>23421004.773458194</v>
      </c>
      <c r="L24" s="22">
        <v>24622029.724033203</v>
      </c>
      <c r="M24" s="22">
        <v>23887275.948409185</v>
      </c>
      <c r="N24" s="22">
        <v>25653638.894272663</v>
      </c>
    </row>
    <row r="25" spans="1:14" x14ac:dyDescent="0.45">
      <c r="A25" s="21">
        <v>19</v>
      </c>
      <c r="B25" s="22">
        <v>27166534.247310888</v>
      </c>
      <c r="C25" s="22">
        <v>24554956.140569948</v>
      </c>
      <c r="D25" s="22">
        <v>25885947.451451052</v>
      </c>
      <c r="E25" s="22">
        <v>25071244.003336895</v>
      </c>
      <c r="F25" s="22">
        <v>27032080.742250834</v>
      </c>
      <c r="I25" s="21">
        <v>19</v>
      </c>
      <c r="J25" s="22">
        <v>27166534.247310888</v>
      </c>
      <c r="K25" s="22">
        <v>24554956.140569948</v>
      </c>
      <c r="L25" s="22">
        <v>25885947.451451052</v>
      </c>
      <c r="M25" s="22">
        <v>25071244.003336895</v>
      </c>
      <c r="N25" s="22">
        <v>27032080.742250834</v>
      </c>
    </row>
    <row r="26" spans="1:14" x14ac:dyDescent="0.45">
      <c r="A26" s="21">
        <v>20</v>
      </c>
      <c r="B26" s="22">
        <v>28633744.428939655</v>
      </c>
      <c r="C26" s="22">
        <v>25743808.897071782</v>
      </c>
      <c r="D26" s="22">
        <v>27214745.614786897</v>
      </c>
      <c r="E26" s="22">
        <v>26313895.198113486</v>
      </c>
      <c r="F26" s="22">
        <v>28484590.130358048</v>
      </c>
      <c r="I26" s="21">
        <v>20</v>
      </c>
      <c r="J26" s="22">
        <v>28633744.428939655</v>
      </c>
      <c r="K26" s="22">
        <v>25743808.897071782</v>
      </c>
      <c r="L26" s="22">
        <v>27214745.614786897</v>
      </c>
      <c r="M26" s="22">
        <v>26313895.198113486</v>
      </c>
      <c r="N26" s="22">
        <v>28484590.130358048</v>
      </c>
    </row>
    <row r="27" spans="1:14" x14ac:dyDescent="0.45">
      <c r="A27" s="21" t="s">
        <v>51</v>
      </c>
      <c r="B27" s="22">
        <v>363651971.89412332</v>
      </c>
      <c r="C27" s="22">
        <v>340921619.8907882</v>
      </c>
      <c r="D27" s="22">
        <v>352570417.13059956</v>
      </c>
      <c r="E27" s="22">
        <v>345456657.76577252</v>
      </c>
      <c r="F27" s="22">
        <v>362494024.41180396</v>
      </c>
      <c r="I27" s="21" t="s">
        <v>51</v>
      </c>
      <c r="J27" s="22">
        <v>363651971.89412332</v>
      </c>
      <c r="K27" s="22">
        <v>340921619.8907882</v>
      </c>
      <c r="L27" s="22">
        <v>352570417.13059956</v>
      </c>
      <c r="M27" s="22">
        <v>345456657.76577252</v>
      </c>
      <c r="N27" s="22">
        <v>362494024.41180396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24AC-89AC-4AA5-B6C7-E61C7A15E8E6}">
  <sheetPr>
    <tabColor theme="0" tint="-0.499984740745262"/>
  </sheetPr>
  <dimension ref="A1:P105"/>
  <sheetViews>
    <sheetView topLeftCell="C79" workbookViewId="0">
      <selection activeCell="A26" sqref="A26"/>
    </sheetView>
  </sheetViews>
  <sheetFormatPr defaultRowHeight="14.25" x14ac:dyDescent="0.45"/>
  <cols>
    <col min="1" max="1" width="5.3984375" bestFit="1" customWidth="1"/>
    <col min="2" max="2" width="14.59765625" bestFit="1" customWidth="1"/>
    <col min="3" max="3" width="19.1328125" bestFit="1" customWidth="1"/>
    <col min="4" max="4" width="16.19921875" bestFit="1" customWidth="1"/>
    <col min="5" max="5" width="28.59765625" bestFit="1" customWidth="1"/>
    <col min="6" max="6" width="25.53125" bestFit="1" customWidth="1"/>
    <col min="11" max="11" width="15.265625" bestFit="1" customWidth="1"/>
    <col min="12" max="12" width="14.59765625" bestFit="1" customWidth="1"/>
    <col min="13" max="13" width="19.1328125" bestFit="1" customWidth="1"/>
    <col min="14" max="14" width="16.19921875" bestFit="1" customWidth="1"/>
    <col min="15" max="15" width="28.59765625" bestFit="1" customWidth="1"/>
    <col min="16" max="16" width="25.53125" bestFit="1" customWidth="1"/>
  </cols>
  <sheetData>
    <row r="1" spans="1:16" x14ac:dyDescent="0.45">
      <c r="A1">
        <f>Page!C4</f>
        <v>20</v>
      </c>
      <c r="B1" t="s">
        <v>76</v>
      </c>
      <c r="K1">
        <f>A1</f>
        <v>20</v>
      </c>
      <c r="L1" t="s">
        <v>77</v>
      </c>
    </row>
    <row r="5" spans="1:16" x14ac:dyDescent="0.45">
      <c r="A5" s="5" t="s">
        <v>27</v>
      </c>
      <c r="B5" s="5" t="s">
        <v>52</v>
      </c>
      <c r="C5" s="5" t="s">
        <v>53</v>
      </c>
      <c r="D5" s="5" t="s">
        <v>54</v>
      </c>
      <c r="E5" s="5" t="s">
        <v>55</v>
      </c>
      <c r="F5" s="5" t="s">
        <v>56</v>
      </c>
      <c r="K5" s="5" t="s">
        <v>27</v>
      </c>
      <c r="L5" s="5" t="s">
        <v>52</v>
      </c>
      <c r="M5" s="5" t="s">
        <v>53</v>
      </c>
      <c r="N5" s="5" t="s">
        <v>54</v>
      </c>
      <c r="O5" s="5" t="s">
        <v>55</v>
      </c>
      <c r="P5" s="5" t="s">
        <v>56</v>
      </c>
    </row>
    <row r="6" spans="1:16" x14ac:dyDescent="0.45">
      <c r="A6" s="1" cm="1">
        <f t="array" ref="A6:A25">_xlfn.SEQUENCE(A1,1,1,1)</f>
        <v>1</v>
      </c>
      <c r="B6" s="19">
        <f>IF(A6="","N/A",Custom!V10)</f>
        <v>10540080</v>
      </c>
      <c r="C6" s="19">
        <f>IF(A6="","N/A",'Trad. Tax.'!V10)</f>
        <v>10484160</v>
      </c>
      <c r="D6" s="19">
        <f>IF(A6="","N/A",'Trad. PPLI'!V10)</f>
        <v>10513328</v>
      </c>
      <c r="E6" s="19">
        <f>IF(A6="","N/A",'Alts. Tax.'!V10)</f>
        <v>10495648</v>
      </c>
      <c r="F6" s="19">
        <f>IF(A6="","N/A",'Alts. PPLI'!V10)</f>
        <v>10537328</v>
      </c>
      <c r="K6" s="1" cm="1">
        <f t="array" ref="K6:K25">_xlfn.SEQUENCE(K1,1,1,1)</f>
        <v>1</v>
      </c>
      <c r="L6" s="19">
        <f>IF(K6="","N/A",Custom!X10)</f>
        <v>10540079.999999998</v>
      </c>
      <c r="M6" s="19">
        <f>IF(K6="","N/A",'Trad. Tax.'!X10)</f>
        <v>10484160</v>
      </c>
      <c r="N6" s="19">
        <f>IF(K6="","N/A",'Trad. PPLI'!X10)</f>
        <v>10513328</v>
      </c>
      <c r="O6" s="19">
        <f>IF(K6="","N/A",'Alts. Tax.'!X10)</f>
        <v>10495648</v>
      </c>
      <c r="P6" s="19">
        <f>IF(K6="","N/A",'Alts. PPLI'!X10)</f>
        <v>10537328</v>
      </c>
    </row>
    <row r="7" spans="1:16" x14ac:dyDescent="0.45">
      <c r="A7" s="1">
        <v>2</v>
      </c>
      <c r="B7" s="19">
        <f>IF(A7="","N/A",Custom!V11)</f>
        <v>11110858.4768</v>
      </c>
      <c r="C7" s="19">
        <f>IF(A7="","N/A",'Trad. Tax.'!V11)</f>
        <v>10994121.369599998</v>
      </c>
      <c r="D7" s="19">
        <f>IF(A7="","N/A",'Trad. PPLI'!V11)</f>
        <v>11055667.095680002</v>
      </c>
      <c r="E7" s="19">
        <f>IF(A7="","N/A",'Alts. Tax.'!V11)</f>
        <v>11017803.706879999</v>
      </c>
      <c r="F7" s="19">
        <f>IF(A7="","N/A",'Alts. PPLI'!V11)</f>
        <v>11106547.09568</v>
      </c>
      <c r="K7" s="1">
        <v>2</v>
      </c>
      <c r="L7" s="19">
        <f>IF(K7="","N/A",Custom!X11)</f>
        <v>11109328.640639998</v>
      </c>
      <c r="M7" s="19">
        <f>IF(K7="","N/A",'Trad. Tax.'!X11)</f>
        <v>10991761.09056</v>
      </c>
      <c r="N7" s="19">
        <f>IF(K7="","N/A",'Trad. PPLI'!X11)</f>
        <v>11053006.5635584</v>
      </c>
      <c r="O7" s="19">
        <f>IF(K7="","N/A",'Alts. Tax.'!X11)</f>
        <v>11015862.6939904</v>
      </c>
      <c r="P7" s="19">
        <f>IF(K7="","N/A",'Alts. PPLI'!X11)</f>
        <v>11103528.1379584</v>
      </c>
    </row>
    <row r="8" spans="1:16" x14ac:dyDescent="0.45">
      <c r="A8" s="1">
        <v>3</v>
      </c>
      <c r="B8" s="19">
        <f>IF(A8="","N/A",Custom!V12)</f>
        <v>11714131.910312448</v>
      </c>
      <c r="C8" s="19">
        <f>IF(A8="","N/A",'Trad. Tax.'!V12)</f>
        <v>11531347.054780416</v>
      </c>
      <c r="D8" s="19">
        <f>IF(A8="","N/A",'Trad. PPLI'!V12)</f>
        <v>11628766.793824334</v>
      </c>
      <c r="E8" s="19">
        <f>IF(A8="","N/A",'Alts. Tax.'!V12)</f>
        <v>11567955.213086925</v>
      </c>
      <c r="F8" s="19">
        <f>IF(A8="","N/A",'Alts. PPLI'!V12)</f>
        <v>11709671.393824333</v>
      </c>
      <c r="K8" s="1">
        <v>3</v>
      </c>
      <c r="L8" s="19">
        <f>IF(K8="","N/A",Custom!X12)</f>
        <v>11709321.261863684</v>
      </c>
      <c r="M8" s="19">
        <f>IF(K8="","N/A",'Trad. Tax.'!X12)</f>
        <v>11523938.195520554</v>
      </c>
      <c r="N8" s="19">
        <f>IF(K8="","N/A",'Trad. PPLI'!X12)</f>
        <v>11620388.338884231</v>
      </c>
      <c r="O8" s="19">
        <f>IF(K8="","N/A",'Alts. Tax.'!X12)</f>
        <v>11561861.725245494</v>
      </c>
      <c r="P8" s="19">
        <f>IF(K8="","N/A",'Alts. PPLI'!X12)</f>
        <v>11700151.794689691</v>
      </c>
    </row>
    <row r="9" spans="1:16" x14ac:dyDescent="0.45">
      <c r="A9" s="1">
        <v>4</v>
      </c>
      <c r="B9" s="19">
        <f>IF(A9="","N/A",Custom!V13)</f>
        <v>12351803.586962447</v>
      </c>
      <c r="C9" s="19">
        <f>IF(A9="","N/A",'Trad. Tax.'!V13)</f>
        <v>12097385.929505521</v>
      </c>
      <c r="D9" s="19">
        <f>IF(A9="","N/A",'Trad. PPLI'!V13)</f>
        <v>12234486.592854418</v>
      </c>
      <c r="E9" s="19">
        <f>IF(A9="","N/A",'Alts. Tax.'!V13)</f>
        <v>12147676.562018272</v>
      </c>
      <c r="F9" s="19">
        <f>IF(A9="","N/A",'Alts. PPLI'!V13)</f>
        <v>12348847.024854418</v>
      </c>
      <c r="K9" s="1">
        <v>4</v>
      </c>
      <c r="L9" s="19">
        <f>IF(K9="","N/A",Custom!X13)</f>
        <v>12341718.284574419</v>
      </c>
      <c r="M9" s="19">
        <f>IF(K9="","N/A",'Trad. Tax.'!X13)</f>
        <v>12081881.187194876</v>
      </c>
      <c r="N9" s="19">
        <f>IF(K9="","N/A",'Trad. PPLI'!X13)</f>
        <v>12216895.409406507</v>
      </c>
      <c r="O9" s="19">
        <f>IF(K9="","N/A",'Alts. Tax.'!X13)</f>
        <v>12134923.089284942</v>
      </c>
      <c r="P9" s="19">
        <f>IF(K9="","N/A",'Alts. PPLI'!X13)</f>
        <v>12328833.711043391</v>
      </c>
    </row>
    <row r="10" spans="1:16" x14ac:dyDescent="0.45">
      <c r="A10" s="1">
        <v>5</v>
      </c>
      <c r="B10" s="19">
        <f>IF(A10="","N/A",Custom!V14)</f>
        <v>13025890.003956247</v>
      </c>
      <c r="C10" s="19">
        <f>IF(A10="","N/A",'Trad. Tax.'!V14)</f>
        <v>12693877.937598534</v>
      </c>
      <c r="D10" s="19">
        <f>IF(A10="","N/A",'Trad. PPLI'!V14)</f>
        <v>12874803.091607578</v>
      </c>
      <c r="E10" s="19">
        <f>IF(A10="","N/A",'Alts. Tax.'!V14)</f>
        <v>12758632.793537974</v>
      </c>
      <c r="F10" s="19">
        <f>IF(A10="","N/A",'Alts. PPLI'!V14)</f>
        <v>13026361.002422577</v>
      </c>
      <c r="K10" s="1">
        <v>5</v>
      </c>
      <c r="L10" s="19">
        <f>IF(K10="","N/A",Custom!X14)</f>
        <v>13008269.805687714</v>
      </c>
      <c r="M10" s="19">
        <f>IF(K10="","N/A",'Trad. Tax.'!X14)</f>
        <v>12666837.546754103</v>
      </c>
      <c r="N10" s="19">
        <f>IF(K10="","N/A",'Trad. PPLI'!X14)</f>
        <v>12844022.858078489</v>
      </c>
      <c r="O10" s="19">
        <f>IF(K10="","N/A",'Alts. Tax.'!X14)</f>
        <v>12736388.125220731</v>
      </c>
      <c r="P10" s="19">
        <f>IF(K10="","N/A",'Alts. PPLI'!X14)</f>
        <v>12991296.467072142</v>
      </c>
    </row>
    <row r="11" spans="1:16" x14ac:dyDescent="0.45">
      <c r="A11" s="1">
        <v>6</v>
      </c>
      <c r="B11" s="19">
        <f>IF(A11="","N/A",Custom!V15)</f>
        <v>13738527.659359924</v>
      </c>
      <c r="C11" s="19">
        <f>IF(A11="","N/A",'Trad. Tax.'!V15)</f>
        <v>13322559.545215076</v>
      </c>
      <c r="D11" s="19">
        <f>IF(A11="","N/A",'Trad. PPLI'!V15)</f>
        <v>13551817.566811793</v>
      </c>
      <c r="E11" s="19">
        <f>IF(A11="","N/A",'Alts. Tax.'!V15)</f>
        <v>13402585.288448956</v>
      </c>
      <c r="F11" s="19">
        <f>IF(A11="","N/A",'Alts. PPLI'!V15)</f>
        <v>13744650.687441591</v>
      </c>
      <c r="K11" s="1">
        <v>6</v>
      </c>
      <c r="L11" s="19">
        <f>IF(K11="","N/A",Custom!X15)</f>
        <v>13710820.441353297</v>
      </c>
      <c r="M11" s="19">
        <f>IF(K11="","N/A",'Trad. Tax.'!X15)</f>
        <v>13280115.153417749</v>
      </c>
      <c r="N11" s="19">
        <f>IF(K11="","N/A",'Trad. PPLI'!X15)</f>
        <v>13503342.514647661</v>
      </c>
      <c r="O11" s="19">
        <f>IF(K11="","N/A",'Alts. Tax.'!X15)</f>
        <v>13367664.655369671</v>
      </c>
      <c r="P11" s="19">
        <f>IF(K11="","N/A",'Alts. PPLI'!X15)</f>
        <v>13689355.201878035</v>
      </c>
    </row>
    <row r="12" spans="1:16" x14ac:dyDescent="0.45">
      <c r="A12" s="1">
        <v>7</v>
      </c>
      <c r="B12" s="19">
        <f>IF(A12="","N/A",Custom!V16)</f>
        <v>14491980.251293432</v>
      </c>
      <c r="C12" s="19">
        <f>IF(A12="","N/A",'Trad. Tax.'!V16)</f>
        <v>13985269.522764722</v>
      </c>
      <c r="D12" s="19">
        <f>IF(A12="","N/A",'Trad. PPLI'!V16)</f>
        <v>14267764.050653148</v>
      </c>
      <c r="E12" s="19">
        <f>IF(A12="","N/A",'Alts. Tax.'!V16)</f>
        <v>14081397.429735988</v>
      </c>
      <c r="F12" s="19">
        <f>IF(A12="","N/A",'Alts. PPLI'!V16)</f>
        <v>14506313.898326522</v>
      </c>
      <c r="K12" s="1">
        <v>7</v>
      </c>
      <c r="L12" s="19">
        <f>IF(K12="","N/A",Custom!X16)</f>
        <v>14451314.431749906</v>
      </c>
      <c r="M12" s="19">
        <f>IF(K12="","N/A",'Trad. Tax.'!X16)</f>
        <v>13923085.208685623</v>
      </c>
      <c r="N12" s="19">
        <f>IF(K12="","N/A",'Trad. PPLI'!X16)</f>
        <v>14196506.895283565</v>
      </c>
      <c r="O12" s="19">
        <f>IF(K12="","N/A",'Alts. Tax.'!X16)</f>
        <v>14030230.280480137</v>
      </c>
      <c r="P12" s="19">
        <f>IF(K12="","N/A",'Alts. PPLI'!X16)</f>
        <v>14424922.587069506</v>
      </c>
    </row>
    <row r="13" spans="1:16" x14ac:dyDescent="0.45">
      <c r="A13" s="1">
        <v>8</v>
      </c>
      <c r="B13" s="19">
        <f>IF(A13="","N/A",Custom!V17)</f>
        <v>15288646.310955329</v>
      </c>
      <c r="C13" s="19">
        <f>IF(A13="","N/A",'Trad. Tax.'!V17)</f>
        <v>14683955.076276924</v>
      </c>
      <c r="D13" s="19">
        <f>IF(A13="","N/A",'Trad. PPLI'!V17)</f>
        <v>15025017.941964837</v>
      </c>
      <c r="E13" s="19">
        <f>IF(A13="","N/A",'Alts. Tax.'!V17)</f>
        <v>14797040.599457901</v>
      </c>
      <c r="F13" s="19">
        <f>IF(A13="","N/A",'Alts. PPLI'!V17)</f>
        <v>15314119.712144891</v>
      </c>
      <c r="K13" s="1">
        <v>8</v>
      </c>
      <c r="L13" s="19">
        <f>IF(K13="","N/A",Custom!X17)</f>
        <v>15231801.021579856</v>
      </c>
      <c r="M13" s="19">
        <f>IF(K13="","N/A",'Trad. Tax.'!X17)</f>
        <v>14597185.302149346</v>
      </c>
      <c r="N13" s="19">
        <f>IF(K13="","N/A",'Trad. PPLI'!X17)</f>
        <v>14925253.344437776</v>
      </c>
      <c r="O13" s="19">
        <f>IF(K13="","N/A",'Alts. Tax.'!X17)</f>
        <v>14725635.838286078</v>
      </c>
      <c r="P13" s="19">
        <f>IF(K13="","N/A",'Alts. PPLI'!X17)</f>
        <v>15200014.067455992</v>
      </c>
    </row>
    <row r="14" spans="1:16" x14ac:dyDescent="0.45">
      <c r="A14" s="1">
        <v>9</v>
      </c>
      <c r="B14" s="19">
        <f>IF(A14="","N/A",Custom!V18)</f>
        <v>16131067.295689099</v>
      </c>
      <c r="C14" s="19">
        <f>IF(A14="","N/A",'Trad. Tax.'!V18)</f>
        <v>15420678.349424003</v>
      </c>
      <c r="D14" s="19">
        <f>IF(A14="","N/A",'Trad. PPLI'!V18)</f>
        <v>15826105.186845167</v>
      </c>
      <c r="E14" s="19">
        <f>IF(A14="","N/A",'Alts. Tax.'!V18)</f>
        <v>15551600.531297278</v>
      </c>
      <c r="F14" s="19">
        <f>IF(A14="","N/A",'Alts. PPLI'!V18)</f>
        <v>16171020.004496805</v>
      </c>
      <c r="K14" s="1">
        <v>9</v>
      </c>
      <c r="L14" s="19">
        <f>IF(K14="","N/A",Custom!X18)</f>
        <v>16054440.131153341</v>
      </c>
      <c r="M14" s="19">
        <f>IF(K14="","N/A",'Trad. Tax.'!X18)</f>
        <v>15303922.625738209</v>
      </c>
      <c r="N14" s="19">
        <f>IF(K14="","N/A",'Trad. PPLI'!X18)</f>
        <v>15691408.389317131</v>
      </c>
      <c r="O14" s="19">
        <f>IF(K14="","N/A",'Alts. Tax.'!X18)</f>
        <v>15455509.033483559</v>
      </c>
      <c r="P14" s="19">
        <f>IF(K14="","N/A",'Alts. PPLI'!X18)</f>
        <v>16016753.383339791</v>
      </c>
    </row>
    <row r="15" spans="1:16" x14ac:dyDescent="0.45">
      <c r="A15" s="1">
        <v>10</v>
      </c>
      <c r="B15" s="19">
        <f>IF(A15="","N/A",Custom!V19)</f>
        <v>17021936.169888064</v>
      </c>
      <c r="C15" s="19">
        <f>IF(A15="","N/A",'Trad. Tax.'!V19)</f>
        <v>16197623.318704365</v>
      </c>
      <c r="D15" s="19">
        <f>IF(A15="","N/A",'Trad. PPLI'!V19)</f>
        <v>16673712.066947462</v>
      </c>
      <c r="E15" s="19">
        <f>IF(A15="","N/A",'Alts. Tax.'!V19)</f>
        <v>16347284.039972784</v>
      </c>
      <c r="F15" s="19">
        <f>IF(A15="","N/A",'Alts. PPLI'!V19)</f>
        <v>17080161.779292911</v>
      </c>
      <c r="K15" s="1">
        <v>10</v>
      </c>
      <c r="L15" s="19">
        <f>IF(K15="","N/A",Custom!X19)</f>
        <v>16921508.33375667</v>
      </c>
      <c r="M15" s="19">
        <f>IF(K15="","N/A",'Trad. Tax.'!X19)</f>
        <v>16044877.343585951</v>
      </c>
      <c r="N15" s="19">
        <f>IF(K15="","N/A",'Trad. PPLI'!X19)</f>
        <v>16496892.317884268</v>
      </c>
      <c r="O15" s="19">
        <f>IF(K15="","N/A",'Alts. Tax.'!X19)</f>
        <v>16221558.247626364</v>
      </c>
      <c r="P15" s="19">
        <f>IF(K15="","N/A",'Alts. PPLI'!X19)</f>
        <v>16877378.389536109</v>
      </c>
    </row>
    <row r="16" spans="1:16" x14ac:dyDescent="0.45">
      <c r="A16" s="1">
        <v>11</v>
      </c>
      <c r="B16" s="19">
        <f>IF(A16="","N/A",Custom!V20)</f>
        <v>17964106.503218219</v>
      </c>
      <c r="C16" s="19">
        <f>IF(A16="","N/A",'Trad. Tax.'!V20)</f>
        <v>17017103.105658203</v>
      </c>
      <c r="D16" s="19">
        <f>IF(A16="","N/A",'Trad. PPLI'!V20)</f>
        <v>17570695.636287741</v>
      </c>
      <c r="E16" s="19">
        <f>IF(A16="","N/A",'Alts. Tax.'!V20)</f>
        <v>17186426.149987958</v>
      </c>
      <c r="F16" s="19">
        <f>IF(A16="","N/A",'Alts. PPLI'!V20)</f>
        <v>18044900.34318069</v>
      </c>
      <c r="K16" s="1">
        <v>11</v>
      </c>
      <c r="L16" s="19">
        <f>IF(K16="","N/A",Custom!X20)</f>
        <v>17835405.155846201</v>
      </c>
      <c r="M16" s="19">
        <f>IF(K16="","N/A",'Trad. Tax.'!X20)</f>
        <v>16821706.125053007</v>
      </c>
      <c r="N16" s="19">
        <f>IF(K16="","N/A",'Trad. PPLI'!X20)</f>
        <v>17343723.991859756</v>
      </c>
      <c r="O16" s="19">
        <f>IF(K16="","N/A",'Alts. Tax.'!X20)</f>
        <v>17025576.537858315</v>
      </c>
      <c r="P16" s="19">
        <f>IF(K16="","N/A",'Alts. PPLI'!X20)</f>
        <v>17784247.187065374</v>
      </c>
    </row>
    <row r="17" spans="1:16" x14ac:dyDescent="0.45">
      <c r="A17" s="1">
        <v>12</v>
      </c>
      <c r="B17" s="19">
        <f>IF(A17="","N/A",Custom!V21)</f>
        <v>18960602.117422435</v>
      </c>
      <c r="C17" s="19">
        <f>IF(A17="","N/A",'Trad. Tax.'!V21)</f>
        <v>17881567.731440336</v>
      </c>
      <c r="D17" s="19">
        <f>IF(A17="","N/A",'Trad. PPLI'!V21)</f>
        <v>18520094.850198474</v>
      </c>
      <c r="E17" s="19">
        <f>IF(A17="","N/A",'Alts. Tax.'!V21)</f>
        <v>18071497.647535056</v>
      </c>
      <c r="F17" s="19">
        <f>IF(A17="","N/A",'Alts. PPLI'!V21)</f>
        <v>19068813.383205459</v>
      </c>
      <c r="K17" s="1">
        <v>12</v>
      </c>
      <c r="L17" s="19">
        <f>IF(K17="","N/A",Custom!X21)</f>
        <v>18798659.717503145</v>
      </c>
      <c r="M17" s="19">
        <f>IF(K17="","N/A",'Trad. Tax.'!X21)</f>
        <v>17636145.848803572</v>
      </c>
      <c r="N17" s="19">
        <f>IF(K17="","N/A",'Trad. PPLI'!X21)</f>
        <v>18234025.906789094</v>
      </c>
      <c r="O17" s="19">
        <f>IF(K17="","N/A",'Alts. Tax.'!X21)</f>
        <v>17869445.833841953</v>
      </c>
      <c r="P17" s="19">
        <f>IF(K17="","N/A",'Alts. PPLI'!X21)</f>
        <v>18739844.584318519</v>
      </c>
    </row>
    <row r="18" spans="1:16" x14ac:dyDescent="0.45">
      <c r="A18" s="1">
        <v>13</v>
      </c>
      <c r="B18" s="19">
        <f>IF(A18="","N/A",Custom!V22)</f>
        <v>20014627.314861838</v>
      </c>
      <c r="C18" s="19">
        <f>IF(A18="","N/A",'Trad. Tax.'!V22)</f>
        <v>18793612.340615802</v>
      </c>
      <c r="D18" s="19">
        <f>IF(A18="","N/A",'Trad. PPLI'!V22)</f>
        <v>19525142.433030881</v>
      </c>
      <c r="E18" s="19">
        <f>IF(A18="","N/A",'Alts. Tax.'!V22)</f>
        <v>19005113.080798078</v>
      </c>
      <c r="F18" s="19">
        <f>IF(A18="","N/A",'Alts. PPLI'!V22)</f>
        <v>20155716.010399818</v>
      </c>
      <c r="K18" s="1">
        <v>13</v>
      </c>
      <c r="L18" s="19">
        <f>IF(K18="","N/A",Custom!X22)</f>
        <v>19813937.731526054</v>
      </c>
      <c r="M18" s="19">
        <f>IF(K18="","N/A",'Trad. Tax.'!X22)</f>
        <v>18490017.486219246</v>
      </c>
      <c r="N18" s="19">
        <f>IF(K18="","N/A",'Trad. PPLI'!X22)</f>
        <v>19170029.511857118</v>
      </c>
      <c r="O18" s="19">
        <f>IF(K18="","N/A",'Alts. Tax.'!X22)</f>
        <v>18755141.342707161</v>
      </c>
      <c r="P18" s="19">
        <f>IF(K18="","N/A",'Alts. PPLI'!X22)</f>
        <v>19746788.905398786</v>
      </c>
    </row>
    <row r="19" spans="1:16" x14ac:dyDescent="0.45">
      <c r="A19" s="1">
        <v>14</v>
      </c>
      <c r="B19" s="19">
        <f>IF(A19="","N/A",Custom!V23)</f>
        <v>21129577.723956957</v>
      </c>
      <c r="C19" s="19">
        <f>IF(A19="","N/A",'Trad. Tax.'!V23)</f>
        <v>19755985.9226785</v>
      </c>
      <c r="D19" s="19">
        <f>IF(A19="","N/A",'Trad. PPLI'!V23)</f>
        <v>20589277.534387596</v>
      </c>
      <c r="E19" s="19">
        <f>IF(A19="","N/A",'Alts. Tax.'!V23)</f>
        <v>19990039.235410064</v>
      </c>
      <c r="F19" s="19">
        <f>IF(A19="","N/A",'Alts. PPLI'!V23)</f>
        <v>21309676.836393017</v>
      </c>
      <c r="K19" s="1">
        <v>14</v>
      </c>
      <c r="L19" s="19">
        <f>IF(K19="","N/A",Custom!X23)</f>
        <v>20884048.880530316</v>
      </c>
      <c r="M19" s="19">
        <f>IF(K19="","N/A",'Trad. Tax.'!X23)</f>
        <v>19385230.172832038</v>
      </c>
      <c r="N19" s="19">
        <f>IF(K19="","N/A",'Trad. PPLI'!X23)</f>
        <v>20154080.802783377</v>
      </c>
      <c r="O19" s="19">
        <f>IF(K19="","N/A",'Alts. Tax.'!X23)</f>
        <v>19684736.172330171</v>
      </c>
      <c r="P19" s="19">
        <f>IF(K19="","N/A",'Alts. PPLI'!X23)</f>
        <v>20807839.164294798</v>
      </c>
    </row>
    <row r="20" spans="1:16" x14ac:dyDescent="0.45">
      <c r="A20" s="1">
        <v>15</v>
      </c>
      <c r="B20" s="19">
        <f>IF(A20="","N/A",Custom!V24)</f>
        <v>22309051.798819967</v>
      </c>
      <c r="C20" s="19">
        <f>IF(A20="","N/A",'Trad. Tax.'!V24)</f>
        <v>20771600.561527595</v>
      </c>
      <c r="D20" s="19">
        <f>IF(A20="","N/A",'Trad. PPLI'!V24)</f>
        <v>21716159.227066386</v>
      </c>
      <c r="E20" s="19">
        <f>IF(A20="","N/A",'Alts. Tax.'!V24)</f>
        <v>21029204.113421332</v>
      </c>
      <c r="F20" s="19">
        <f>IF(A20="","N/A",'Alts. PPLI'!V24)</f>
        <v>22535035.154841058</v>
      </c>
      <c r="K20" s="1">
        <v>15</v>
      </c>
      <c r="L20" s="19">
        <f>IF(K20="","N/A",Custom!X24)</f>
        <v>22011954.592469998</v>
      </c>
      <c r="M20" s="19">
        <f>IF(K20="","N/A",'Trad. Tax.'!X24)</f>
        <v>20323785.476879876</v>
      </c>
      <c r="N20" s="19">
        <f>IF(K20="","N/A",'Trad. PPLI'!X24)</f>
        <v>21188646.201816496</v>
      </c>
      <c r="O20" s="19">
        <f>IF(K20="","N/A",'Alts. Tax.'!X24)</f>
        <v>20660406.18376448</v>
      </c>
      <c r="P20" s="19">
        <f>IF(K20="","N/A",'Alts. PPLI'!X24)</f>
        <v>21925902.624542017</v>
      </c>
    </row>
    <row r="21" spans="1:16" x14ac:dyDescent="0.45">
      <c r="A21" s="1">
        <v>16</v>
      </c>
      <c r="B21" s="19">
        <f>IF(A21="","N/A",Custom!V25)</f>
        <v>23556863.0126267</v>
      </c>
      <c r="C21" s="19">
        <f>IF(A21="","N/A",'Trad. Tax.'!V25)</f>
        <v>21843541.244976208</v>
      </c>
      <c r="D21" s="19">
        <f>IF(A21="","N/A",'Trad. PPLI'!V25)</f>
        <v>22909680.903529413</v>
      </c>
      <c r="E21" s="19">
        <f>IF(A21="","N/A",'Alts. Tax.'!V25)</f>
        <v>22125706.445833255</v>
      </c>
      <c r="F21" s="19">
        <f>IF(A21="","N/A",'Alts. PPLI'!V25)</f>
        <v>23836419.304521371</v>
      </c>
      <c r="K21" s="1">
        <v>16</v>
      </c>
      <c r="L21" s="19">
        <f>IF(K21="","N/A",Custom!X25)</f>
        <v>23200776.236100119</v>
      </c>
      <c r="M21" s="19">
        <f>IF(K21="","N/A",'Trad. Tax.'!X25)</f>
        <v>21307781.874528494</v>
      </c>
      <c r="N21" s="19">
        <f>IF(K21="","N/A",'Trad. PPLI'!X25)</f>
        <v>22276318.739565101</v>
      </c>
      <c r="O21" s="19">
        <f>IF(K21="","N/A",'Alts. Tax.'!X25)</f>
        <v>21684435.084181529</v>
      </c>
      <c r="P21" s="19">
        <f>IF(K21="","N/A",'Alts. PPLI'!X25)</f>
        <v>23104042.765086006</v>
      </c>
    </row>
    <row r="22" spans="1:16" x14ac:dyDescent="0.45">
      <c r="A22" s="1">
        <v>17</v>
      </c>
      <c r="B22" s="19">
        <f>IF(A22="","N/A",Custom!V26)</f>
        <v>24877052.786671493</v>
      </c>
      <c r="C22" s="19">
        <f>IF(A22="","N/A",'Trad. Tax.'!V26)</f>
        <v>22975076.268319096</v>
      </c>
      <c r="D22" s="19">
        <f>IF(A22="","N/A",'Trad. PPLI'!V26)</f>
        <v>24173985.631597135</v>
      </c>
      <c r="E22" s="19">
        <f>IF(A22="","N/A",'Alts. Tax.'!V26)</f>
        <v>23282825.770551566</v>
      </c>
      <c r="F22" s="19">
        <f>IF(A22="","N/A",'Alts. PPLI'!V26)</f>
        <v>25218766.296336211</v>
      </c>
      <c r="K22" s="1">
        <v>17</v>
      </c>
      <c r="L22" s="19">
        <f>IF(K22="","N/A",Custom!X26)</f>
        <v>24453803.759059414</v>
      </c>
      <c r="M22" s="19">
        <f>IF(K22="","N/A",'Trad. Tax.'!X26)</f>
        <v>22339419.441765666</v>
      </c>
      <c r="N22" s="19">
        <f>IF(K22="","N/A",'Trad. PPLI'!X26)</f>
        <v>23419824.554159448</v>
      </c>
      <c r="O22" s="19">
        <f>IF(K22="","N/A",'Alts. Tax.'!X26)</f>
        <v>22759219.772241969</v>
      </c>
      <c r="P22" s="19">
        <f>IF(K22="","N/A",'Alts. PPLI'!X26)</f>
        <v>24345487.674173817</v>
      </c>
    </row>
    <row r="23" spans="1:16" x14ac:dyDescent="0.45">
      <c r="A23" s="1">
        <v>18</v>
      </c>
      <c r="B23" s="19">
        <f>IF(A23="","N/A",Custom!V27)</f>
        <v>26273904.199587435</v>
      </c>
      <c r="C23" s="19">
        <f>IF(A23="","N/A",'Trad. Tax.'!V27)</f>
        <v>24169668.268056821</v>
      </c>
      <c r="D23" s="19">
        <f>IF(A23="","N/A",'Trad. PPLI'!V27)</f>
        <v>25513482.53421995</v>
      </c>
      <c r="E23" s="19">
        <f>IF(A23="","N/A",'Alts. Tax.'!V27)</f>
        <v>24504033.109521091</v>
      </c>
      <c r="F23" s="19">
        <f>IF(A23="","N/A",'Alts. PPLI'!V27)</f>
        <v>26687342.792252466</v>
      </c>
      <c r="K23" s="1">
        <v>18</v>
      </c>
      <c r="L23" s="19">
        <f>IF(K23="","N/A",Custom!X27)</f>
        <v>25774504.792478696</v>
      </c>
      <c r="M23" s="19">
        <f>IF(K23="","N/A",'Trad. Tax.'!X27)</f>
        <v>23421004.773458194</v>
      </c>
      <c r="N23" s="19">
        <f>IF(K23="","N/A",'Trad. PPLI'!X27)</f>
        <v>24622029.724033203</v>
      </c>
      <c r="O23" s="19">
        <f>IF(K23="","N/A",'Alts. Tax.'!X27)</f>
        <v>23887275.948409185</v>
      </c>
      <c r="P23" s="19">
        <f>IF(K23="","N/A",'Alts. PPLI'!X27)</f>
        <v>25653638.894272663</v>
      </c>
    </row>
    <row r="24" spans="1:16" x14ac:dyDescent="0.45">
      <c r="A24" s="1">
        <v>19</v>
      </c>
      <c r="B24" s="19">
        <f>IF(A24="","N/A",Custom!V28)</f>
        <v>27751956.523907755</v>
      </c>
      <c r="C24" s="19">
        <f>IF(A24="","N/A",'Trad. Tax.'!V28)</f>
        <v>25430985.924071021</v>
      </c>
      <c r="D24" s="19">
        <f>IF(A24="","N/A",'Trad. PPLI'!V28)</f>
        <v>26932864.26262169</v>
      </c>
      <c r="E24" s="19">
        <f>IF(A24="","N/A",'Alts. Tax.'!V28)</f>
        <v>25793002.280825745</v>
      </c>
      <c r="F24" s="19">
        <f>IF(A24="","N/A",'Alts. PPLI'!V28)</f>
        <v>28247767.530399349</v>
      </c>
      <c r="K24" s="1">
        <v>19</v>
      </c>
      <c r="L24" s="19">
        <f>IF(K24="","N/A",Custom!X28)</f>
        <v>27166534.247310888</v>
      </c>
      <c r="M24" s="19">
        <f>IF(K24="","N/A",'Trad. Tax.'!X28)</f>
        <v>24554956.140569948</v>
      </c>
      <c r="N24" s="19">
        <f>IF(K24="","N/A",'Trad. PPLI'!X28)</f>
        <v>25885947.451451052</v>
      </c>
      <c r="O24" s="19">
        <f>IF(K24="","N/A",'Alts. Tax.'!X28)</f>
        <v>25071244.003336895</v>
      </c>
      <c r="P24" s="19">
        <f>IF(K24="","N/A",'Alts. PPLI'!X28)</f>
        <v>27032080.742250834</v>
      </c>
    </row>
    <row r="25" spans="1:16" x14ac:dyDescent="0.45">
      <c r="A25" s="1">
        <v>20</v>
      </c>
      <c r="B25" s="19">
        <f>IF(A25="","N/A",Custom!V29)</f>
        <v>29316020.640000787</v>
      </c>
      <c r="C25" s="19">
        <f>IF(A25="","N/A",'Trad. Tax.'!V29)</f>
        <v>26762916.37087629</v>
      </c>
      <c r="D25" s="19">
        <f>IF(A25="","N/A",'Trad. PPLI'!V29)</f>
        <v>28437125.636857893</v>
      </c>
      <c r="E25" s="19">
        <f>IF(A25="","N/A",'Alts. Tax.'!V29)</f>
        <v>27153621.883681335</v>
      </c>
      <c r="F25" s="19">
        <f>IF(A25="","N/A",'Alts. PPLI'!V29)</f>
        <v>29906035.297179252</v>
      </c>
      <c r="K25" s="1">
        <v>20</v>
      </c>
      <c r="L25" s="19">
        <f>IF(K25="","N/A",Custom!X29)</f>
        <v>28633744.428939655</v>
      </c>
      <c r="M25" s="19">
        <f>IF(K25="","N/A",'Trad. Tax.'!X29)</f>
        <v>25743808.897071782</v>
      </c>
      <c r="N25" s="19">
        <f>IF(K25="","N/A",'Trad. PPLI'!X29)</f>
        <v>27214745.614786897</v>
      </c>
      <c r="O25" s="19">
        <f>IF(K25="","N/A",'Alts. Tax.'!X29)</f>
        <v>26313895.198113486</v>
      </c>
      <c r="P25" s="19">
        <f>IF(K25="","N/A",'Alts. PPLI'!X29)</f>
        <v>28484590.130358048</v>
      </c>
    </row>
    <row r="26" spans="1:16" x14ac:dyDescent="0.45">
      <c r="A26" s="1"/>
      <c r="B26" s="19" t="str">
        <f>IF(A26="","N/A",Custom!V30)</f>
        <v>N/A</v>
      </c>
      <c r="C26" s="19" t="str">
        <f>IF(A26="","N/A",'Trad. Tax.'!V30)</f>
        <v>N/A</v>
      </c>
      <c r="D26" s="19" t="str">
        <f>IF(A26="","N/A",'Trad. PPLI'!V30)</f>
        <v>N/A</v>
      </c>
      <c r="E26" s="19" t="str">
        <f>IF(A26="","N/A",'Alts. Tax.'!V30)</f>
        <v>N/A</v>
      </c>
      <c r="F26" s="19" t="str">
        <f>IF(A26="","N/A",'Alts. PPLI'!V30)</f>
        <v>N/A</v>
      </c>
      <c r="K26" s="1"/>
      <c r="L26" s="19" t="str">
        <f>IF(K26="","N/A",Custom!X30)</f>
        <v>N/A</v>
      </c>
      <c r="M26" s="19" t="str">
        <f>IF(K26="","N/A",'Trad. Tax.'!X30)</f>
        <v>N/A</v>
      </c>
      <c r="N26" s="19" t="str">
        <f>IF(K26="","N/A",'Trad. PPLI'!X30)</f>
        <v>N/A</v>
      </c>
      <c r="O26" s="19" t="str">
        <f>IF(K26="","N/A",'Alts. Tax.'!X30)</f>
        <v>N/A</v>
      </c>
      <c r="P26" s="19" t="str">
        <f>IF(K26="","N/A",'Alts. PPLI'!X30)</f>
        <v>N/A</v>
      </c>
    </row>
    <row r="27" spans="1:16" x14ac:dyDescent="0.45">
      <c r="A27" s="1"/>
      <c r="B27" s="19" t="str">
        <f>IF(A27="","N/A",Custom!V31)</f>
        <v>N/A</v>
      </c>
      <c r="C27" s="19" t="str">
        <f>IF(A27="","N/A",'Trad. Tax.'!V31)</f>
        <v>N/A</v>
      </c>
      <c r="D27" s="19" t="str">
        <f>IF(A27="","N/A",'Trad. PPLI'!V31)</f>
        <v>N/A</v>
      </c>
      <c r="E27" s="19" t="str">
        <f>IF(A27="","N/A",'Alts. Tax.'!V31)</f>
        <v>N/A</v>
      </c>
      <c r="F27" s="19" t="str">
        <f>IF(A27="","N/A",'Alts. PPLI'!V31)</f>
        <v>N/A</v>
      </c>
      <c r="K27" s="1"/>
      <c r="L27" s="19" t="str">
        <f>IF(K27="","N/A",Custom!X31)</f>
        <v>N/A</v>
      </c>
      <c r="M27" s="19" t="str">
        <f>IF(K27="","N/A",'Trad. Tax.'!X31)</f>
        <v>N/A</v>
      </c>
      <c r="N27" s="19" t="str">
        <f>IF(K27="","N/A",'Trad. PPLI'!X31)</f>
        <v>N/A</v>
      </c>
      <c r="O27" s="19" t="str">
        <f>IF(K27="","N/A",'Alts. Tax.'!X31)</f>
        <v>N/A</v>
      </c>
      <c r="P27" s="19" t="str">
        <f>IF(K27="","N/A",'Alts. PPLI'!X31)</f>
        <v>N/A</v>
      </c>
    </row>
    <row r="28" spans="1:16" x14ac:dyDescent="0.45">
      <c r="A28" s="1"/>
      <c r="B28" s="19" t="str">
        <f>IF(A28="","N/A",Custom!V32)</f>
        <v>N/A</v>
      </c>
      <c r="C28" s="19" t="str">
        <f>IF(A28="","N/A",'Trad. Tax.'!V32)</f>
        <v>N/A</v>
      </c>
      <c r="D28" s="19" t="str">
        <f>IF(A28="","N/A",'Trad. PPLI'!V32)</f>
        <v>N/A</v>
      </c>
      <c r="E28" s="19" t="str">
        <f>IF(A28="","N/A",'Alts. Tax.'!V32)</f>
        <v>N/A</v>
      </c>
      <c r="F28" s="19" t="str">
        <f>IF(A28="","N/A",'Alts. PPLI'!V32)</f>
        <v>N/A</v>
      </c>
      <c r="K28" s="1"/>
      <c r="L28" s="19" t="str">
        <f>IF(K28="","N/A",Custom!X32)</f>
        <v>N/A</v>
      </c>
      <c r="M28" s="19" t="str">
        <f>IF(K28="","N/A",'Trad. Tax.'!X32)</f>
        <v>N/A</v>
      </c>
      <c r="N28" s="19" t="str">
        <f>IF(K28="","N/A",'Trad. PPLI'!X32)</f>
        <v>N/A</v>
      </c>
      <c r="O28" s="19" t="str">
        <f>IF(K28="","N/A",'Alts. Tax.'!X32)</f>
        <v>N/A</v>
      </c>
      <c r="P28" s="19" t="str">
        <f>IF(K28="","N/A",'Alts. PPLI'!X32)</f>
        <v>N/A</v>
      </c>
    </row>
    <row r="29" spans="1:16" x14ac:dyDescent="0.45">
      <c r="A29" s="1"/>
      <c r="B29" s="19" t="str">
        <f>IF(A29="","N/A",Custom!V33)</f>
        <v>N/A</v>
      </c>
      <c r="C29" s="19" t="str">
        <f>IF(A29="","N/A",'Trad. Tax.'!V33)</f>
        <v>N/A</v>
      </c>
      <c r="D29" s="19" t="str">
        <f>IF(A29="","N/A",'Trad. PPLI'!V33)</f>
        <v>N/A</v>
      </c>
      <c r="E29" s="19" t="str">
        <f>IF(A29="","N/A",'Alts. Tax.'!V33)</f>
        <v>N/A</v>
      </c>
      <c r="F29" s="19" t="str">
        <f>IF(A29="","N/A",'Alts. PPLI'!V33)</f>
        <v>N/A</v>
      </c>
      <c r="K29" s="1"/>
      <c r="L29" s="19" t="str">
        <f>IF(K29="","N/A",Custom!X33)</f>
        <v>N/A</v>
      </c>
      <c r="M29" s="19" t="str">
        <f>IF(K29="","N/A",'Trad. Tax.'!X33)</f>
        <v>N/A</v>
      </c>
      <c r="N29" s="19" t="str">
        <f>IF(K29="","N/A",'Trad. PPLI'!X33)</f>
        <v>N/A</v>
      </c>
      <c r="O29" s="19" t="str">
        <f>IF(K29="","N/A",'Alts. Tax.'!X33)</f>
        <v>N/A</v>
      </c>
      <c r="P29" s="19" t="str">
        <f>IF(K29="","N/A",'Alts. PPLI'!X33)</f>
        <v>N/A</v>
      </c>
    </row>
    <row r="30" spans="1:16" x14ac:dyDescent="0.45">
      <c r="A30" s="1"/>
      <c r="B30" s="19" t="str">
        <f>IF(A30="","N/A",Custom!V34)</f>
        <v>N/A</v>
      </c>
      <c r="C30" s="19" t="str">
        <f>IF(A30="","N/A",'Trad. Tax.'!V34)</f>
        <v>N/A</v>
      </c>
      <c r="D30" s="19" t="str">
        <f>IF(A30="","N/A",'Trad. PPLI'!V34)</f>
        <v>N/A</v>
      </c>
      <c r="E30" s="19" t="str">
        <f>IF(A30="","N/A",'Alts. Tax.'!V34)</f>
        <v>N/A</v>
      </c>
      <c r="F30" s="19" t="str">
        <f>IF(A30="","N/A",'Alts. PPLI'!V34)</f>
        <v>N/A</v>
      </c>
      <c r="K30" s="1"/>
      <c r="L30" s="19" t="str">
        <f>IF(K30="","N/A",Custom!X34)</f>
        <v>N/A</v>
      </c>
      <c r="M30" s="19" t="str">
        <f>IF(K30="","N/A",'Trad. Tax.'!X34)</f>
        <v>N/A</v>
      </c>
      <c r="N30" s="19" t="str">
        <f>IF(K30="","N/A",'Trad. PPLI'!X34)</f>
        <v>N/A</v>
      </c>
      <c r="O30" s="19" t="str">
        <f>IF(K30="","N/A",'Alts. Tax.'!X34)</f>
        <v>N/A</v>
      </c>
      <c r="P30" s="19" t="str">
        <f>IF(K30="","N/A",'Alts. PPLI'!X34)</f>
        <v>N/A</v>
      </c>
    </row>
    <row r="31" spans="1:16" x14ac:dyDescent="0.45">
      <c r="A31" s="1"/>
      <c r="B31" s="19" t="str">
        <f>IF(A31="","N/A",Custom!V35)</f>
        <v>N/A</v>
      </c>
      <c r="C31" s="19" t="str">
        <f>IF(A31="","N/A",'Trad. Tax.'!V35)</f>
        <v>N/A</v>
      </c>
      <c r="D31" s="19" t="str">
        <f>IF(A31="","N/A",'Trad. PPLI'!V35)</f>
        <v>N/A</v>
      </c>
      <c r="E31" s="19" t="str">
        <f>IF(A31="","N/A",'Alts. Tax.'!V35)</f>
        <v>N/A</v>
      </c>
      <c r="F31" s="19" t="str">
        <f>IF(A31="","N/A",'Alts. PPLI'!V35)</f>
        <v>N/A</v>
      </c>
      <c r="K31" s="1"/>
      <c r="L31" s="19" t="str">
        <f>IF(K31="","N/A",Custom!X35)</f>
        <v>N/A</v>
      </c>
      <c r="M31" s="19" t="str">
        <f>IF(K31="","N/A",'Trad. Tax.'!X35)</f>
        <v>N/A</v>
      </c>
      <c r="N31" s="19" t="str">
        <f>IF(K31="","N/A",'Trad. PPLI'!X35)</f>
        <v>N/A</v>
      </c>
      <c r="O31" s="19" t="str">
        <f>IF(K31="","N/A",'Alts. Tax.'!X35)</f>
        <v>N/A</v>
      </c>
      <c r="P31" s="19" t="str">
        <f>IF(K31="","N/A",'Alts. PPLI'!X35)</f>
        <v>N/A</v>
      </c>
    </row>
    <row r="32" spans="1:16" x14ac:dyDescent="0.45">
      <c r="A32" s="1"/>
      <c r="B32" s="19" t="str">
        <f>IF(A32="","N/A",Custom!V36)</f>
        <v>N/A</v>
      </c>
      <c r="C32" s="19" t="str">
        <f>IF(A32="","N/A",'Trad. Tax.'!V36)</f>
        <v>N/A</v>
      </c>
      <c r="D32" s="19" t="str">
        <f>IF(A32="","N/A",'Trad. PPLI'!V36)</f>
        <v>N/A</v>
      </c>
      <c r="E32" s="19" t="str">
        <f>IF(A32="","N/A",'Alts. Tax.'!V36)</f>
        <v>N/A</v>
      </c>
      <c r="F32" s="19" t="str">
        <f>IF(A32="","N/A",'Alts. PPLI'!V36)</f>
        <v>N/A</v>
      </c>
      <c r="K32" s="1"/>
      <c r="L32" s="19" t="str">
        <f>IF(K32="","N/A",Custom!X36)</f>
        <v>N/A</v>
      </c>
      <c r="M32" s="19" t="str">
        <f>IF(K32="","N/A",'Trad. Tax.'!X36)</f>
        <v>N/A</v>
      </c>
      <c r="N32" s="19" t="str">
        <f>IF(K32="","N/A",'Trad. PPLI'!X36)</f>
        <v>N/A</v>
      </c>
      <c r="O32" s="19" t="str">
        <f>IF(K32="","N/A",'Alts. Tax.'!X36)</f>
        <v>N/A</v>
      </c>
      <c r="P32" s="19" t="str">
        <f>IF(K32="","N/A",'Alts. PPLI'!X36)</f>
        <v>N/A</v>
      </c>
    </row>
    <row r="33" spans="1:16" x14ac:dyDescent="0.45">
      <c r="A33" s="1"/>
      <c r="B33" s="19" t="str">
        <f>IF(A33="","N/A",Custom!V37)</f>
        <v>N/A</v>
      </c>
      <c r="C33" s="19" t="str">
        <f>IF(A33="","N/A",'Trad. Tax.'!V37)</f>
        <v>N/A</v>
      </c>
      <c r="D33" s="19" t="str">
        <f>IF(A33="","N/A",'Trad. PPLI'!V37)</f>
        <v>N/A</v>
      </c>
      <c r="E33" s="19" t="str">
        <f>IF(A33="","N/A",'Alts. Tax.'!V37)</f>
        <v>N/A</v>
      </c>
      <c r="F33" s="19" t="str">
        <f>IF(A33="","N/A",'Alts. PPLI'!V37)</f>
        <v>N/A</v>
      </c>
      <c r="K33" s="1"/>
      <c r="L33" s="19" t="str">
        <f>IF(K33="","N/A",Custom!X37)</f>
        <v>N/A</v>
      </c>
      <c r="M33" s="19" t="str">
        <f>IF(K33="","N/A",'Trad. Tax.'!X37)</f>
        <v>N/A</v>
      </c>
      <c r="N33" s="19" t="str">
        <f>IF(K33="","N/A",'Trad. PPLI'!X37)</f>
        <v>N/A</v>
      </c>
      <c r="O33" s="19" t="str">
        <f>IF(K33="","N/A",'Alts. Tax.'!X37)</f>
        <v>N/A</v>
      </c>
      <c r="P33" s="19" t="str">
        <f>IF(K33="","N/A",'Alts. PPLI'!X37)</f>
        <v>N/A</v>
      </c>
    </row>
    <row r="34" spans="1:16" x14ac:dyDescent="0.45">
      <c r="A34" s="1"/>
      <c r="B34" s="19" t="str">
        <f>IF(A34="","N/A",Custom!V38)</f>
        <v>N/A</v>
      </c>
      <c r="C34" s="19" t="str">
        <f>IF(A34="","N/A",'Trad. Tax.'!V38)</f>
        <v>N/A</v>
      </c>
      <c r="D34" s="19" t="str">
        <f>IF(A34="","N/A",'Trad. PPLI'!V38)</f>
        <v>N/A</v>
      </c>
      <c r="E34" s="19" t="str">
        <f>IF(A34="","N/A",'Alts. Tax.'!V38)</f>
        <v>N/A</v>
      </c>
      <c r="F34" s="19" t="str">
        <f>IF(A34="","N/A",'Alts. PPLI'!V38)</f>
        <v>N/A</v>
      </c>
      <c r="K34" s="1"/>
      <c r="L34" s="19" t="str">
        <f>IF(K34="","N/A",Custom!X38)</f>
        <v>N/A</v>
      </c>
      <c r="M34" s="19" t="str">
        <f>IF(K34="","N/A",'Trad. Tax.'!X38)</f>
        <v>N/A</v>
      </c>
      <c r="N34" s="19" t="str">
        <f>IF(K34="","N/A",'Trad. PPLI'!X38)</f>
        <v>N/A</v>
      </c>
      <c r="O34" s="19" t="str">
        <f>IF(K34="","N/A",'Alts. Tax.'!X38)</f>
        <v>N/A</v>
      </c>
      <c r="P34" s="19" t="str">
        <f>IF(K34="","N/A",'Alts. PPLI'!X38)</f>
        <v>N/A</v>
      </c>
    </row>
    <row r="35" spans="1:16" x14ac:dyDescent="0.45">
      <c r="A35" s="1"/>
      <c r="B35" s="19" t="str">
        <f>IF(A35="","N/A",Custom!V39)</f>
        <v>N/A</v>
      </c>
      <c r="C35" s="19" t="str">
        <f>IF(A35="","N/A",'Trad. Tax.'!V39)</f>
        <v>N/A</v>
      </c>
      <c r="D35" s="19" t="str">
        <f>IF(A35="","N/A",'Trad. PPLI'!V39)</f>
        <v>N/A</v>
      </c>
      <c r="E35" s="19" t="str">
        <f>IF(A35="","N/A",'Alts. Tax.'!V39)</f>
        <v>N/A</v>
      </c>
      <c r="F35" s="19" t="str">
        <f>IF(A35="","N/A",'Alts. PPLI'!V39)</f>
        <v>N/A</v>
      </c>
      <c r="K35" s="1"/>
      <c r="L35" s="19" t="str">
        <f>IF(K35="","N/A",Custom!X39)</f>
        <v>N/A</v>
      </c>
      <c r="M35" s="19" t="str">
        <f>IF(K35="","N/A",'Trad. Tax.'!X39)</f>
        <v>N/A</v>
      </c>
      <c r="N35" s="19" t="str">
        <f>IF(K35="","N/A",'Trad. PPLI'!X39)</f>
        <v>N/A</v>
      </c>
      <c r="O35" s="19" t="str">
        <f>IF(K35="","N/A",'Alts. Tax.'!X39)</f>
        <v>N/A</v>
      </c>
      <c r="P35" s="19" t="str">
        <f>IF(K35="","N/A",'Alts. PPLI'!X39)</f>
        <v>N/A</v>
      </c>
    </row>
    <row r="36" spans="1:16" x14ac:dyDescent="0.45">
      <c r="A36" s="1"/>
      <c r="B36" s="19" t="str">
        <f>IF(A36="","N/A",Custom!V40)</f>
        <v>N/A</v>
      </c>
      <c r="C36" s="19" t="str">
        <f>IF(A36="","N/A",'Trad. Tax.'!V40)</f>
        <v>N/A</v>
      </c>
      <c r="D36" s="19" t="str">
        <f>IF(A36="","N/A",'Trad. PPLI'!V40)</f>
        <v>N/A</v>
      </c>
      <c r="E36" s="19" t="str">
        <f>IF(A36="","N/A",'Alts. Tax.'!V40)</f>
        <v>N/A</v>
      </c>
      <c r="F36" s="19" t="str">
        <f>IF(A36="","N/A",'Alts. PPLI'!V40)</f>
        <v>N/A</v>
      </c>
      <c r="K36" s="1"/>
      <c r="L36" s="19" t="str">
        <f>IF(K36="","N/A",Custom!X40)</f>
        <v>N/A</v>
      </c>
      <c r="M36" s="19" t="str">
        <f>IF(K36="","N/A",'Trad. Tax.'!X40)</f>
        <v>N/A</v>
      </c>
      <c r="N36" s="19" t="str">
        <f>IF(K36="","N/A",'Trad. PPLI'!X40)</f>
        <v>N/A</v>
      </c>
      <c r="O36" s="19" t="str">
        <f>IF(K36="","N/A",'Alts. Tax.'!X40)</f>
        <v>N/A</v>
      </c>
      <c r="P36" s="19" t="str">
        <f>IF(K36="","N/A",'Alts. PPLI'!X40)</f>
        <v>N/A</v>
      </c>
    </row>
    <row r="37" spans="1:16" x14ac:dyDescent="0.45">
      <c r="A37" s="1"/>
      <c r="B37" s="19" t="str">
        <f>IF(A37="","N/A",Custom!V41)</f>
        <v>N/A</v>
      </c>
      <c r="C37" s="19" t="str">
        <f>IF(A37="","N/A",'Trad. Tax.'!V41)</f>
        <v>N/A</v>
      </c>
      <c r="D37" s="19" t="str">
        <f>IF(A37="","N/A",'Trad. PPLI'!V41)</f>
        <v>N/A</v>
      </c>
      <c r="E37" s="19" t="str">
        <f>IF(A37="","N/A",'Alts. Tax.'!V41)</f>
        <v>N/A</v>
      </c>
      <c r="F37" s="19" t="str">
        <f>IF(A37="","N/A",'Alts. PPLI'!V41)</f>
        <v>N/A</v>
      </c>
      <c r="K37" s="1"/>
      <c r="L37" s="19" t="str">
        <f>IF(K37="","N/A",Custom!X41)</f>
        <v>N/A</v>
      </c>
      <c r="M37" s="19" t="str">
        <f>IF(K37="","N/A",'Trad. Tax.'!X41)</f>
        <v>N/A</v>
      </c>
      <c r="N37" s="19" t="str">
        <f>IF(K37="","N/A",'Trad. PPLI'!X41)</f>
        <v>N/A</v>
      </c>
      <c r="O37" s="19" t="str">
        <f>IF(K37="","N/A",'Alts. Tax.'!X41)</f>
        <v>N/A</v>
      </c>
      <c r="P37" s="19" t="str">
        <f>IF(K37="","N/A",'Alts. PPLI'!X41)</f>
        <v>N/A</v>
      </c>
    </row>
    <row r="38" spans="1:16" x14ac:dyDescent="0.45">
      <c r="A38" s="1"/>
      <c r="B38" s="19" t="str">
        <f>IF(A38="","N/A",Custom!V42)</f>
        <v>N/A</v>
      </c>
      <c r="C38" s="19" t="str">
        <f>IF(A38="","N/A",'Trad. Tax.'!V42)</f>
        <v>N/A</v>
      </c>
      <c r="D38" s="19" t="str">
        <f>IF(A38="","N/A",'Trad. PPLI'!V42)</f>
        <v>N/A</v>
      </c>
      <c r="E38" s="19" t="str">
        <f>IF(A38="","N/A",'Alts. Tax.'!V42)</f>
        <v>N/A</v>
      </c>
      <c r="F38" s="19" t="str">
        <f>IF(A38="","N/A",'Alts. PPLI'!V42)</f>
        <v>N/A</v>
      </c>
      <c r="K38" s="1"/>
      <c r="L38" s="19" t="str">
        <f>IF(K38="","N/A",Custom!X42)</f>
        <v>N/A</v>
      </c>
      <c r="M38" s="19" t="str">
        <f>IF(K38="","N/A",'Trad. Tax.'!X42)</f>
        <v>N/A</v>
      </c>
      <c r="N38" s="19" t="str">
        <f>IF(K38="","N/A",'Trad. PPLI'!X42)</f>
        <v>N/A</v>
      </c>
      <c r="O38" s="19" t="str">
        <f>IF(K38="","N/A",'Alts. Tax.'!X42)</f>
        <v>N/A</v>
      </c>
      <c r="P38" s="19" t="str">
        <f>IF(K38="","N/A",'Alts. PPLI'!X42)</f>
        <v>N/A</v>
      </c>
    </row>
    <row r="39" spans="1:16" x14ac:dyDescent="0.45">
      <c r="A39" s="1"/>
      <c r="B39" s="19" t="str">
        <f>IF(A39="","N/A",Custom!V43)</f>
        <v>N/A</v>
      </c>
      <c r="C39" s="19" t="str">
        <f>IF(A39="","N/A",'Trad. Tax.'!V43)</f>
        <v>N/A</v>
      </c>
      <c r="D39" s="19" t="str">
        <f>IF(A39="","N/A",'Trad. PPLI'!V43)</f>
        <v>N/A</v>
      </c>
      <c r="E39" s="19" t="str">
        <f>IF(A39="","N/A",'Alts. Tax.'!V43)</f>
        <v>N/A</v>
      </c>
      <c r="F39" s="19" t="str">
        <f>IF(A39="","N/A",'Alts. PPLI'!V43)</f>
        <v>N/A</v>
      </c>
      <c r="K39" s="1"/>
      <c r="L39" s="19" t="str">
        <f>IF(K39="","N/A",Custom!X43)</f>
        <v>N/A</v>
      </c>
      <c r="M39" s="19" t="str">
        <f>IF(K39="","N/A",'Trad. Tax.'!X43)</f>
        <v>N/A</v>
      </c>
      <c r="N39" s="19" t="str">
        <f>IF(K39="","N/A",'Trad. PPLI'!X43)</f>
        <v>N/A</v>
      </c>
      <c r="O39" s="19" t="str">
        <f>IF(K39="","N/A",'Alts. Tax.'!X43)</f>
        <v>N/A</v>
      </c>
      <c r="P39" s="19" t="str">
        <f>IF(K39="","N/A",'Alts. PPLI'!X43)</f>
        <v>N/A</v>
      </c>
    </row>
    <row r="40" spans="1:16" x14ac:dyDescent="0.45">
      <c r="A40" s="1"/>
      <c r="B40" s="19" t="str">
        <f>IF(A40="","N/A",Custom!V44)</f>
        <v>N/A</v>
      </c>
      <c r="C40" s="19" t="str">
        <f>IF(A40="","N/A",'Trad. Tax.'!V44)</f>
        <v>N/A</v>
      </c>
      <c r="D40" s="19" t="str">
        <f>IF(A40="","N/A",'Trad. PPLI'!V44)</f>
        <v>N/A</v>
      </c>
      <c r="E40" s="19" t="str">
        <f>IF(A40="","N/A",'Alts. Tax.'!V44)</f>
        <v>N/A</v>
      </c>
      <c r="F40" s="19" t="str">
        <f>IF(A40="","N/A",'Alts. PPLI'!V44)</f>
        <v>N/A</v>
      </c>
      <c r="K40" s="1"/>
      <c r="L40" s="19" t="str">
        <f>IF(K40="","N/A",Custom!X44)</f>
        <v>N/A</v>
      </c>
      <c r="M40" s="19" t="str">
        <f>IF(K40="","N/A",'Trad. Tax.'!X44)</f>
        <v>N/A</v>
      </c>
      <c r="N40" s="19" t="str">
        <f>IF(K40="","N/A",'Trad. PPLI'!X44)</f>
        <v>N/A</v>
      </c>
      <c r="O40" s="19" t="str">
        <f>IF(K40="","N/A",'Alts. Tax.'!X44)</f>
        <v>N/A</v>
      </c>
      <c r="P40" s="19" t="str">
        <f>IF(K40="","N/A",'Alts. PPLI'!X44)</f>
        <v>N/A</v>
      </c>
    </row>
    <row r="41" spans="1:16" x14ac:dyDescent="0.45">
      <c r="A41" s="1"/>
      <c r="B41" s="19" t="str">
        <f>IF(A41="","N/A",Custom!V45)</f>
        <v>N/A</v>
      </c>
      <c r="C41" s="19" t="str">
        <f>IF(A41="","N/A",'Trad. Tax.'!V45)</f>
        <v>N/A</v>
      </c>
      <c r="D41" s="19" t="str">
        <f>IF(A41="","N/A",'Trad. PPLI'!V45)</f>
        <v>N/A</v>
      </c>
      <c r="E41" s="19" t="str">
        <f>IF(A41="","N/A",'Alts. Tax.'!V45)</f>
        <v>N/A</v>
      </c>
      <c r="F41" s="19" t="str">
        <f>IF(A41="","N/A",'Alts. PPLI'!V45)</f>
        <v>N/A</v>
      </c>
      <c r="K41" s="1"/>
      <c r="L41" s="19" t="str">
        <f>IF(K41="","N/A",Custom!X45)</f>
        <v>N/A</v>
      </c>
      <c r="M41" s="19" t="str">
        <f>IF(K41="","N/A",'Trad. Tax.'!X45)</f>
        <v>N/A</v>
      </c>
      <c r="N41" s="19" t="str">
        <f>IF(K41="","N/A",'Trad. PPLI'!X45)</f>
        <v>N/A</v>
      </c>
      <c r="O41" s="19" t="str">
        <f>IF(K41="","N/A",'Alts. Tax.'!X45)</f>
        <v>N/A</v>
      </c>
      <c r="P41" s="19" t="str">
        <f>IF(K41="","N/A",'Alts. PPLI'!X45)</f>
        <v>N/A</v>
      </c>
    </row>
    <row r="42" spans="1:16" x14ac:dyDescent="0.45">
      <c r="A42" s="1"/>
      <c r="B42" s="19" t="str">
        <f>IF(A42="","N/A",Custom!V46)</f>
        <v>N/A</v>
      </c>
      <c r="C42" s="19" t="str">
        <f>IF(A42="","N/A",'Trad. Tax.'!V46)</f>
        <v>N/A</v>
      </c>
      <c r="D42" s="19" t="str">
        <f>IF(A42="","N/A",'Trad. PPLI'!V46)</f>
        <v>N/A</v>
      </c>
      <c r="E42" s="19" t="str">
        <f>IF(A42="","N/A",'Alts. Tax.'!V46)</f>
        <v>N/A</v>
      </c>
      <c r="F42" s="19" t="str">
        <f>IF(A42="","N/A",'Alts. PPLI'!V46)</f>
        <v>N/A</v>
      </c>
      <c r="K42" s="1"/>
      <c r="L42" s="19" t="str">
        <f>IF(K42="","N/A",Custom!X46)</f>
        <v>N/A</v>
      </c>
      <c r="M42" s="19" t="str">
        <f>IF(K42="","N/A",'Trad. Tax.'!X46)</f>
        <v>N/A</v>
      </c>
      <c r="N42" s="19" t="str">
        <f>IF(K42="","N/A",'Trad. PPLI'!X46)</f>
        <v>N/A</v>
      </c>
      <c r="O42" s="19" t="str">
        <f>IF(K42="","N/A",'Alts. Tax.'!X46)</f>
        <v>N/A</v>
      </c>
      <c r="P42" s="19" t="str">
        <f>IF(K42="","N/A",'Alts. PPLI'!X46)</f>
        <v>N/A</v>
      </c>
    </row>
    <row r="43" spans="1:16" x14ac:dyDescent="0.45">
      <c r="A43" s="1"/>
      <c r="B43" s="19" t="str">
        <f>IF(A43="","N/A",Custom!V47)</f>
        <v>N/A</v>
      </c>
      <c r="C43" s="19" t="str">
        <f>IF(A43="","N/A",'Trad. Tax.'!V47)</f>
        <v>N/A</v>
      </c>
      <c r="D43" s="19" t="str">
        <f>IF(A43="","N/A",'Trad. PPLI'!V47)</f>
        <v>N/A</v>
      </c>
      <c r="E43" s="19" t="str">
        <f>IF(A43="","N/A",'Alts. Tax.'!V47)</f>
        <v>N/A</v>
      </c>
      <c r="F43" s="19" t="str">
        <f>IF(A43="","N/A",'Alts. PPLI'!V47)</f>
        <v>N/A</v>
      </c>
      <c r="K43" s="1"/>
      <c r="L43" s="19" t="str">
        <f>IF(K43="","N/A",Custom!X47)</f>
        <v>N/A</v>
      </c>
      <c r="M43" s="19" t="str">
        <f>IF(K43="","N/A",'Trad. Tax.'!X47)</f>
        <v>N/A</v>
      </c>
      <c r="N43" s="19" t="str">
        <f>IF(K43="","N/A",'Trad. PPLI'!X47)</f>
        <v>N/A</v>
      </c>
      <c r="O43" s="19" t="str">
        <f>IF(K43="","N/A",'Alts. Tax.'!X47)</f>
        <v>N/A</v>
      </c>
      <c r="P43" s="19" t="str">
        <f>IF(K43="","N/A",'Alts. PPLI'!X47)</f>
        <v>N/A</v>
      </c>
    </row>
    <row r="44" spans="1:16" x14ac:dyDescent="0.45">
      <c r="A44" s="1"/>
      <c r="B44" s="19" t="str">
        <f>IF(A44="","N/A",Custom!V48)</f>
        <v>N/A</v>
      </c>
      <c r="C44" s="19" t="str">
        <f>IF(A44="","N/A",'Trad. Tax.'!V48)</f>
        <v>N/A</v>
      </c>
      <c r="D44" s="19" t="str">
        <f>IF(A44="","N/A",'Trad. PPLI'!V48)</f>
        <v>N/A</v>
      </c>
      <c r="E44" s="19" t="str">
        <f>IF(A44="","N/A",'Alts. Tax.'!V48)</f>
        <v>N/A</v>
      </c>
      <c r="F44" s="19" t="str">
        <f>IF(A44="","N/A",'Alts. PPLI'!V48)</f>
        <v>N/A</v>
      </c>
      <c r="K44" s="1"/>
      <c r="L44" s="19" t="str">
        <f>IF(K44="","N/A",Custom!X48)</f>
        <v>N/A</v>
      </c>
      <c r="M44" s="19" t="str">
        <f>IF(K44="","N/A",'Trad. Tax.'!X48)</f>
        <v>N/A</v>
      </c>
      <c r="N44" s="19" t="str">
        <f>IF(K44="","N/A",'Trad. PPLI'!X48)</f>
        <v>N/A</v>
      </c>
      <c r="O44" s="19" t="str">
        <f>IF(K44="","N/A",'Alts. Tax.'!X48)</f>
        <v>N/A</v>
      </c>
      <c r="P44" s="19" t="str">
        <f>IF(K44="","N/A",'Alts. PPLI'!X48)</f>
        <v>N/A</v>
      </c>
    </row>
    <row r="45" spans="1:16" x14ac:dyDescent="0.45">
      <c r="A45" s="1"/>
      <c r="B45" s="19" t="str">
        <f>IF(A45="","N/A",Custom!V49)</f>
        <v>N/A</v>
      </c>
      <c r="C45" s="19" t="str">
        <f>IF(A45="","N/A",'Trad. Tax.'!V49)</f>
        <v>N/A</v>
      </c>
      <c r="D45" s="19" t="str">
        <f>IF(A45="","N/A",'Trad. PPLI'!V49)</f>
        <v>N/A</v>
      </c>
      <c r="E45" s="19" t="str">
        <f>IF(A45="","N/A",'Alts. Tax.'!V49)</f>
        <v>N/A</v>
      </c>
      <c r="F45" s="19" t="str">
        <f>IF(A45="","N/A",'Alts. PPLI'!V49)</f>
        <v>N/A</v>
      </c>
      <c r="K45" s="1"/>
      <c r="L45" s="19" t="str">
        <f>IF(K45="","N/A",Custom!X49)</f>
        <v>N/A</v>
      </c>
      <c r="M45" s="19" t="str">
        <f>IF(K45="","N/A",'Trad. Tax.'!X49)</f>
        <v>N/A</v>
      </c>
      <c r="N45" s="19" t="str">
        <f>IF(K45="","N/A",'Trad. PPLI'!X49)</f>
        <v>N/A</v>
      </c>
      <c r="O45" s="19" t="str">
        <f>IF(K45="","N/A",'Alts. Tax.'!X49)</f>
        <v>N/A</v>
      </c>
      <c r="P45" s="19" t="str">
        <f>IF(K45="","N/A",'Alts. PPLI'!X49)</f>
        <v>N/A</v>
      </c>
    </row>
    <row r="46" spans="1:16" x14ac:dyDescent="0.45">
      <c r="A46" s="1"/>
      <c r="B46" s="19" t="str">
        <f>IF(A46="","N/A",Custom!V50)</f>
        <v>N/A</v>
      </c>
      <c r="C46" s="19" t="str">
        <f>IF(A46="","N/A",'Trad. Tax.'!V50)</f>
        <v>N/A</v>
      </c>
      <c r="D46" s="19" t="str">
        <f>IF(A46="","N/A",'Trad. PPLI'!V50)</f>
        <v>N/A</v>
      </c>
      <c r="E46" s="19" t="str">
        <f>IF(A46="","N/A",'Alts. Tax.'!V50)</f>
        <v>N/A</v>
      </c>
      <c r="F46" s="19" t="str">
        <f>IF(A46="","N/A",'Alts. PPLI'!V50)</f>
        <v>N/A</v>
      </c>
      <c r="K46" s="1"/>
      <c r="L46" s="19" t="str">
        <f>IF(K46="","N/A",Custom!X50)</f>
        <v>N/A</v>
      </c>
      <c r="M46" s="19" t="str">
        <f>IF(K46="","N/A",'Trad. Tax.'!X50)</f>
        <v>N/A</v>
      </c>
      <c r="N46" s="19" t="str">
        <f>IF(K46="","N/A",'Trad. PPLI'!X50)</f>
        <v>N/A</v>
      </c>
      <c r="O46" s="19" t="str">
        <f>IF(K46="","N/A",'Alts. Tax.'!X50)</f>
        <v>N/A</v>
      </c>
      <c r="P46" s="19" t="str">
        <f>IF(K46="","N/A",'Alts. PPLI'!X50)</f>
        <v>N/A</v>
      </c>
    </row>
    <row r="47" spans="1:16" x14ac:dyDescent="0.45">
      <c r="A47" s="1"/>
      <c r="B47" s="19" t="str">
        <f>IF(A47="","N/A",Custom!V51)</f>
        <v>N/A</v>
      </c>
      <c r="C47" s="19" t="str">
        <f>IF(A47="","N/A",'Trad. Tax.'!V51)</f>
        <v>N/A</v>
      </c>
      <c r="D47" s="19" t="str">
        <f>IF(A47="","N/A",'Trad. PPLI'!V51)</f>
        <v>N/A</v>
      </c>
      <c r="E47" s="19" t="str">
        <f>IF(A47="","N/A",'Alts. Tax.'!V51)</f>
        <v>N/A</v>
      </c>
      <c r="F47" s="19" t="str">
        <f>IF(A47="","N/A",'Alts. PPLI'!V51)</f>
        <v>N/A</v>
      </c>
      <c r="K47" s="1"/>
      <c r="L47" s="19" t="str">
        <f>IF(K47="","N/A",Custom!X51)</f>
        <v>N/A</v>
      </c>
      <c r="M47" s="19" t="str">
        <f>IF(K47="","N/A",'Trad. Tax.'!X51)</f>
        <v>N/A</v>
      </c>
      <c r="N47" s="19" t="str">
        <f>IF(K47="","N/A",'Trad. PPLI'!X51)</f>
        <v>N/A</v>
      </c>
      <c r="O47" s="19" t="str">
        <f>IF(K47="","N/A",'Alts. Tax.'!X51)</f>
        <v>N/A</v>
      </c>
      <c r="P47" s="19" t="str">
        <f>IF(K47="","N/A",'Alts. PPLI'!X51)</f>
        <v>N/A</v>
      </c>
    </row>
    <row r="48" spans="1:16" x14ac:dyDescent="0.45">
      <c r="A48" s="1"/>
      <c r="B48" s="19" t="str">
        <f>IF(A48="","N/A",Custom!V52)</f>
        <v>N/A</v>
      </c>
      <c r="C48" s="19" t="str">
        <f>IF(A48="","N/A",'Trad. Tax.'!V52)</f>
        <v>N/A</v>
      </c>
      <c r="D48" s="19" t="str">
        <f>IF(A48="","N/A",'Trad. PPLI'!V52)</f>
        <v>N/A</v>
      </c>
      <c r="E48" s="19" t="str">
        <f>IF(A48="","N/A",'Alts. Tax.'!V52)</f>
        <v>N/A</v>
      </c>
      <c r="F48" s="19" t="str">
        <f>IF(A48="","N/A",'Alts. PPLI'!V52)</f>
        <v>N/A</v>
      </c>
      <c r="K48" s="1"/>
      <c r="L48" s="19" t="str">
        <f>IF(K48="","N/A",Custom!X52)</f>
        <v>N/A</v>
      </c>
      <c r="M48" s="19" t="str">
        <f>IF(K48="","N/A",'Trad. Tax.'!X52)</f>
        <v>N/A</v>
      </c>
      <c r="N48" s="19" t="str">
        <f>IF(K48="","N/A",'Trad. PPLI'!X52)</f>
        <v>N/A</v>
      </c>
      <c r="O48" s="19" t="str">
        <f>IF(K48="","N/A",'Alts. Tax.'!X52)</f>
        <v>N/A</v>
      </c>
      <c r="P48" s="19" t="str">
        <f>IF(K48="","N/A",'Alts. PPLI'!X52)</f>
        <v>N/A</v>
      </c>
    </row>
    <row r="49" spans="1:16" x14ac:dyDescent="0.45">
      <c r="A49" s="1"/>
      <c r="B49" s="19" t="str">
        <f>IF(A49="","N/A",Custom!V53)</f>
        <v>N/A</v>
      </c>
      <c r="C49" s="19" t="str">
        <f>IF(A49="","N/A",'Trad. Tax.'!V53)</f>
        <v>N/A</v>
      </c>
      <c r="D49" s="19" t="str">
        <f>IF(A49="","N/A",'Trad. PPLI'!V53)</f>
        <v>N/A</v>
      </c>
      <c r="E49" s="19" t="str">
        <f>IF(A49="","N/A",'Alts. Tax.'!V53)</f>
        <v>N/A</v>
      </c>
      <c r="F49" s="19" t="str">
        <f>IF(A49="","N/A",'Alts. PPLI'!V53)</f>
        <v>N/A</v>
      </c>
      <c r="K49" s="1"/>
      <c r="L49" s="19" t="str">
        <f>IF(K49="","N/A",Custom!X53)</f>
        <v>N/A</v>
      </c>
      <c r="M49" s="19" t="str">
        <f>IF(K49="","N/A",'Trad. Tax.'!X53)</f>
        <v>N/A</v>
      </c>
      <c r="N49" s="19" t="str">
        <f>IF(K49="","N/A",'Trad. PPLI'!X53)</f>
        <v>N/A</v>
      </c>
      <c r="O49" s="19" t="str">
        <f>IF(K49="","N/A",'Alts. Tax.'!X53)</f>
        <v>N/A</v>
      </c>
      <c r="P49" s="19" t="str">
        <f>IF(K49="","N/A",'Alts. PPLI'!X53)</f>
        <v>N/A</v>
      </c>
    </row>
    <row r="50" spans="1:16" x14ac:dyDescent="0.45">
      <c r="A50" s="1"/>
      <c r="B50" s="19" t="str">
        <f>IF(A50="","N/A",Custom!V54)</f>
        <v>N/A</v>
      </c>
      <c r="C50" s="19" t="str">
        <f>IF(A50="","N/A",'Trad. Tax.'!V54)</f>
        <v>N/A</v>
      </c>
      <c r="D50" s="19" t="str">
        <f>IF(A50="","N/A",'Trad. PPLI'!V54)</f>
        <v>N/A</v>
      </c>
      <c r="E50" s="19" t="str">
        <f>IF(A50="","N/A",'Alts. Tax.'!V54)</f>
        <v>N/A</v>
      </c>
      <c r="F50" s="19" t="str">
        <f>IF(A50="","N/A",'Alts. PPLI'!V54)</f>
        <v>N/A</v>
      </c>
      <c r="K50" s="1"/>
      <c r="L50" s="19" t="str">
        <f>IF(K50="","N/A",Custom!X54)</f>
        <v>N/A</v>
      </c>
      <c r="M50" s="19" t="str">
        <f>IF(K50="","N/A",'Trad. Tax.'!X54)</f>
        <v>N/A</v>
      </c>
      <c r="N50" s="19" t="str">
        <f>IF(K50="","N/A",'Trad. PPLI'!X54)</f>
        <v>N/A</v>
      </c>
      <c r="O50" s="19" t="str">
        <f>IF(K50="","N/A",'Alts. Tax.'!X54)</f>
        <v>N/A</v>
      </c>
      <c r="P50" s="19" t="str">
        <f>IF(K50="","N/A",'Alts. PPLI'!X54)</f>
        <v>N/A</v>
      </c>
    </row>
    <row r="51" spans="1:16" x14ac:dyDescent="0.45">
      <c r="A51" s="1"/>
      <c r="B51" s="19" t="str">
        <f>IF(A51="","N/A",Custom!V55)</f>
        <v>N/A</v>
      </c>
      <c r="C51" s="19" t="str">
        <f>IF(A51="","N/A",'Trad. Tax.'!V55)</f>
        <v>N/A</v>
      </c>
      <c r="D51" s="19" t="str">
        <f>IF(A51="","N/A",'Trad. PPLI'!V55)</f>
        <v>N/A</v>
      </c>
      <c r="E51" s="19" t="str">
        <f>IF(A51="","N/A",'Alts. Tax.'!V55)</f>
        <v>N/A</v>
      </c>
      <c r="F51" s="19" t="str">
        <f>IF(A51="","N/A",'Alts. PPLI'!V55)</f>
        <v>N/A</v>
      </c>
      <c r="K51" s="1"/>
      <c r="L51" s="19" t="str">
        <f>IF(K51="","N/A",Custom!X55)</f>
        <v>N/A</v>
      </c>
      <c r="M51" s="19" t="str">
        <f>IF(K51="","N/A",'Trad. Tax.'!X55)</f>
        <v>N/A</v>
      </c>
      <c r="N51" s="19" t="str">
        <f>IF(K51="","N/A",'Trad. PPLI'!X55)</f>
        <v>N/A</v>
      </c>
      <c r="O51" s="19" t="str">
        <f>IF(K51="","N/A",'Alts. Tax.'!X55)</f>
        <v>N/A</v>
      </c>
      <c r="P51" s="19" t="str">
        <f>IF(K51="","N/A",'Alts. PPLI'!X55)</f>
        <v>N/A</v>
      </c>
    </row>
    <row r="52" spans="1:16" x14ac:dyDescent="0.45">
      <c r="A52" s="1"/>
      <c r="B52" s="19" t="str">
        <f>IF(A52="","N/A",Custom!V56)</f>
        <v>N/A</v>
      </c>
      <c r="C52" s="19" t="str">
        <f>IF(A52="","N/A",'Trad. Tax.'!V56)</f>
        <v>N/A</v>
      </c>
      <c r="D52" s="19" t="str">
        <f>IF(A52="","N/A",'Trad. PPLI'!V56)</f>
        <v>N/A</v>
      </c>
      <c r="E52" s="19" t="str">
        <f>IF(A52="","N/A",'Alts. Tax.'!V56)</f>
        <v>N/A</v>
      </c>
      <c r="F52" s="19" t="str">
        <f>IF(A52="","N/A",'Alts. PPLI'!V56)</f>
        <v>N/A</v>
      </c>
      <c r="K52" s="1"/>
      <c r="L52" s="19" t="str">
        <f>IF(K52="","N/A",Custom!X56)</f>
        <v>N/A</v>
      </c>
      <c r="M52" s="19" t="str">
        <f>IF(K52="","N/A",'Trad. Tax.'!X56)</f>
        <v>N/A</v>
      </c>
      <c r="N52" s="19" t="str">
        <f>IF(K52="","N/A",'Trad. PPLI'!X56)</f>
        <v>N/A</v>
      </c>
      <c r="O52" s="19" t="str">
        <f>IF(K52="","N/A",'Alts. Tax.'!X56)</f>
        <v>N/A</v>
      </c>
      <c r="P52" s="19" t="str">
        <f>IF(K52="","N/A",'Alts. PPLI'!X56)</f>
        <v>N/A</v>
      </c>
    </row>
    <row r="53" spans="1:16" x14ac:dyDescent="0.45">
      <c r="A53" s="1"/>
      <c r="B53" s="19" t="str">
        <f>IF(A53="","N/A",Custom!V57)</f>
        <v>N/A</v>
      </c>
      <c r="C53" s="19" t="str">
        <f>IF(A53="","N/A",'Trad. Tax.'!V57)</f>
        <v>N/A</v>
      </c>
      <c r="D53" s="19" t="str">
        <f>IF(A53="","N/A",'Trad. PPLI'!V57)</f>
        <v>N/A</v>
      </c>
      <c r="E53" s="19" t="str">
        <f>IF(A53="","N/A",'Alts. Tax.'!V57)</f>
        <v>N/A</v>
      </c>
      <c r="F53" s="19" t="str">
        <f>IF(A53="","N/A",'Alts. PPLI'!V57)</f>
        <v>N/A</v>
      </c>
      <c r="K53" s="1"/>
      <c r="L53" s="19" t="str">
        <f>IF(K53="","N/A",Custom!X57)</f>
        <v>N/A</v>
      </c>
      <c r="M53" s="19" t="str">
        <f>IF(K53="","N/A",'Trad. Tax.'!X57)</f>
        <v>N/A</v>
      </c>
      <c r="N53" s="19" t="str">
        <f>IF(K53="","N/A",'Trad. PPLI'!X57)</f>
        <v>N/A</v>
      </c>
      <c r="O53" s="19" t="str">
        <f>IF(K53="","N/A",'Alts. Tax.'!X57)</f>
        <v>N/A</v>
      </c>
      <c r="P53" s="19" t="str">
        <f>IF(K53="","N/A",'Alts. PPLI'!X57)</f>
        <v>N/A</v>
      </c>
    </row>
    <row r="54" spans="1:16" x14ac:dyDescent="0.45">
      <c r="A54" s="1"/>
      <c r="B54" s="19" t="str">
        <f>IF(A54="","N/A",Custom!V58)</f>
        <v>N/A</v>
      </c>
      <c r="C54" s="19" t="str">
        <f>IF(A54="","N/A",'Trad. Tax.'!V58)</f>
        <v>N/A</v>
      </c>
      <c r="D54" s="19" t="str">
        <f>IF(A54="","N/A",'Trad. PPLI'!V58)</f>
        <v>N/A</v>
      </c>
      <c r="E54" s="19" t="str">
        <f>IF(A54="","N/A",'Alts. Tax.'!V58)</f>
        <v>N/A</v>
      </c>
      <c r="F54" s="19" t="str">
        <f>IF(A54="","N/A",'Alts. PPLI'!V58)</f>
        <v>N/A</v>
      </c>
      <c r="K54" s="1"/>
      <c r="L54" s="19" t="str">
        <f>IF(K54="","N/A",Custom!X58)</f>
        <v>N/A</v>
      </c>
      <c r="M54" s="19" t="str">
        <f>IF(K54="","N/A",'Trad. Tax.'!X58)</f>
        <v>N/A</v>
      </c>
      <c r="N54" s="19" t="str">
        <f>IF(K54="","N/A",'Trad. PPLI'!X58)</f>
        <v>N/A</v>
      </c>
      <c r="O54" s="19" t="str">
        <f>IF(K54="","N/A",'Alts. Tax.'!X58)</f>
        <v>N/A</v>
      </c>
      <c r="P54" s="19" t="str">
        <f>IF(K54="","N/A",'Alts. PPLI'!X58)</f>
        <v>N/A</v>
      </c>
    </row>
    <row r="55" spans="1:16" x14ac:dyDescent="0.45">
      <c r="A55" s="1"/>
      <c r="B55" s="19" t="str">
        <f>IF(A55="","N/A",Custom!V59)</f>
        <v>N/A</v>
      </c>
      <c r="C55" s="19" t="str">
        <f>IF(A55="","N/A",'Trad. Tax.'!V59)</f>
        <v>N/A</v>
      </c>
      <c r="D55" s="19" t="str">
        <f>IF(A55="","N/A",'Trad. PPLI'!V59)</f>
        <v>N/A</v>
      </c>
      <c r="E55" s="19" t="str">
        <f>IF(A55="","N/A",'Alts. Tax.'!V59)</f>
        <v>N/A</v>
      </c>
      <c r="F55" s="19" t="str">
        <f>IF(A55="","N/A",'Alts. PPLI'!V59)</f>
        <v>N/A</v>
      </c>
      <c r="K55" s="1"/>
      <c r="L55" s="19" t="str">
        <f>IF(K55="","N/A",Custom!X59)</f>
        <v>N/A</v>
      </c>
      <c r="M55" s="19" t="str">
        <f>IF(K55="","N/A",'Trad. Tax.'!X59)</f>
        <v>N/A</v>
      </c>
      <c r="N55" s="19" t="str">
        <f>IF(K55="","N/A",'Trad. PPLI'!X59)</f>
        <v>N/A</v>
      </c>
      <c r="O55" s="19" t="str">
        <f>IF(K55="","N/A",'Alts. Tax.'!X59)</f>
        <v>N/A</v>
      </c>
      <c r="P55" s="19" t="str">
        <f>IF(K55="","N/A",'Alts. PPLI'!X59)</f>
        <v>N/A</v>
      </c>
    </row>
    <row r="56" spans="1:16" x14ac:dyDescent="0.45">
      <c r="A56" s="1"/>
      <c r="B56" s="19" t="str">
        <f>IF(A56="","N/A",Custom!V60)</f>
        <v>N/A</v>
      </c>
      <c r="C56" s="19" t="str">
        <f>IF(A56="","N/A",'Trad. Tax.'!V60)</f>
        <v>N/A</v>
      </c>
      <c r="D56" s="19" t="str">
        <f>IF(A56="","N/A",'Trad. PPLI'!V60)</f>
        <v>N/A</v>
      </c>
      <c r="E56" s="19" t="str">
        <f>IF(A56="","N/A",'Alts. Tax.'!V60)</f>
        <v>N/A</v>
      </c>
      <c r="F56" s="19" t="str">
        <f>IF(A56="","N/A",'Alts. PPLI'!V60)</f>
        <v>N/A</v>
      </c>
      <c r="K56" s="1"/>
      <c r="L56" s="19" t="str">
        <f>IF(K56="","N/A",Custom!X60)</f>
        <v>N/A</v>
      </c>
      <c r="M56" s="19" t="str">
        <f>IF(K56="","N/A",'Trad. Tax.'!X60)</f>
        <v>N/A</v>
      </c>
      <c r="N56" s="19" t="str">
        <f>IF(K56="","N/A",'Trad. PPLI'!X60)</f>
        <v>N/A</v>
      </c>
      <c r="O56" s="19" t="str">
        <f>IF(K56="","N/A",'Alts. Tax.'!X60)</f>
        <v>N/A</v>
      </c>
      <c r="P56" s="19" t="str">
        <f>IF(K56="","N/A",'Alts. PPLI'!X60)</f>
        <v>N/A</v>
      </c>
    </row>
    <row r="57" spans="1:16" x14ac:dyDescent="0.45">
      <c r="A57" s="1"/>
      <c r="B57" s="19" t="str">
        <f>IF(A57="","N/A",Custom!V61)</f>
        <v>N/A</v>
      </c>
      <c r="C57" s="19" t="str">
        <f>IF(A57="","N/A",'Trad. Tax.'!V61)</f>
        <v>N/A</v>
      </c>
      <c r="D57" s="19" t="str">
        <f>IF(A57="","N/A",'Trad. PPLI'!V61)</f>
        <v>N/A</v>
      </c>
      <c r="E57" s="19" t="str">
        <f>IF(A57="","N/A",'Alts. Tax.'!V61)</f>
        <v>N/A</v>
      </c>
      <c r="F57" s="19" t="str">
        <f>IF(A57="","N/A",'Alts. PPLI'!V61)</f>
        <v>N/A</v>
      </c>
      <c r="K57" s="1"/>
      <c r="L57" s="19" t="str">
        <f>IF(K57="","N/A",Custom!X61)</f>
        <v>N/A</v>
      </c>
      <c r="M57" s="19" t="str">
        <f>IF(K57="","N/A",'Trad. Tax.'!X61)</f>
        <v>N/A</v>
      </c>
      <c r="N57" s="19" t="str">
        <f>IF(K57="","N/A",'Trad. PPLI'!X61)</f>
        <v>N/A</v>
      </c>
      <c r="O57" s="19" t="str">
        <f>IF(K57="","N/A",'Alts. Tax.'!X61)</f>
        <v>N/A</v>
      </c>
      <c r="P57" s="19" t="str">
        <f>IF(K57="","N/A",'Alts. PPLI'!X61)</f>
        <v>N/A</v>
      </c>
    </row>
    <row r="58" spans="1:16" x14ac:dyDescent="0.45">
      <c r="A58" s="1"/>
      <c r="B58" s="19" t="str">
        <f>IF(A58="","N/A",Custom!V62)</f>
        <v>N/A</v>
      </c>
      <c r="C58" s="19" t="str">
        <f>IF(A58="","N/A",'Trad. Tax.'!V62)</f>
        <v>N/A</v>
      </c>
      <c r="D58" s="19" t="str">
        <f>IF(A58="","N/A",'Trad. PPLI'!V62)</f>
        <v>N/A</v>
      </c>
      <c r="E58" s="19" t="str">
        <f>IF(A58="","N/A",'Alts. Tax.'!V62)</f>
        <v>N/A</v>
      </c>
      <c r="F58" s="19" t="str">
        <f>IF(A58="","N/A",'Alts. PPLI'!V62)</f>
        <v>N/A</v>
      </c>
      <c r="K58" s="1"/>
      <c r="L58" s="19" t="str">
        <f>IF(K58="","N/A",Custom!X62)</f>
        <v>N/A</v>
      </c>
      <c r="M58" s="19" t="str">
        <f>IF(K58="","N/A",'Trad. Tax.'!X62)</f>
        <v>N/A</v>
      </c>
      <c r="N58" s="19" t="str">
        <f>IF(K58="","N/A",'Trad. PPLI'!X62)</f>
        <v>N/A</v>
      </c>
      <c r="O58" s="19" t="str">
        <f>IF(K58="","N/A",'Alts. Tax.'!X62)</f>
        <v>N/A</v>
      </c>
      <c r="P58" s="19" t="str">
        <f>IF(K58="","N/A",'Alts. PPLI'!X62)</f>
        <v>N/A</v>
      </c>
    </row>
    <row r="59" spans="1:16" x14ac:dyDescent="0.45">
      <c r="A59" s="1"/>
      <c r="B59" s="19" t="str">
        <f>IF(A59="","N/A",Custom!V63)</f>
        <v>N/A</v>
      </c>
      <c r="C59" s="19" t="str">
        <f>IF(A59="","N/A",'Trad. Tax.'!V63)</f>
        <v>N/A</v>
      </c>
      <c r="D59" s="19" t="str">
        <f>IF(A59="","N/A",'Trad. PPLI'!V63)</f>
        <v>N/A</v>
      </c>
      <c r="E59" s="19" t="str">
        <f>IF(A59="","N/A",'Alts. Tax.'!V63)</f>
        <v>N/A</v>
      </c>
      <c r="F59" s="19" t="str">
        <f>IF(A59="","N/A",'Alts. PPLI'!V63)</f>
        <v>N/A</v>
      </c>
      <c r="K59" s="1"/>
      <c r="L59" s="19" t="str">
        <f>IF(K59="","N/A",Custom!X63)</f>
        <v>N/A</v>
      </c>
      <c r="M59" s="19" t="str">
        <f>IF(K59="","N/A",'Trad. Tax.'!X63)</f>
        <v>N/A</v>
      </c>
      <c r="N59" s="19" t="str">
        <f>IF(K59="","N/A",'Trad. PPLI'!X63)</f>
        <v>N/A</v>
      </c>
      <c r="O59" s="19" t="str">
        <f>IF(K59="","N/A",'Alts. Tax.'!X63)</f>
        <v>N/A</v>
      </c>
      <c r="P59" s="19" t="str">
        <f>IF(K59="","N/A",'Alts. PPLI'!X63)</f>
        <v>N/A</v>
      </c>
    </row>
    <row r="60" spans="1:16" x14ac:dyDescent="0.45">
      <c r="A60" s="1"/>
      <c r="B60" s="19" t="str">
        <f>IF(A60="","N/A",Custom!V64)</f>
        <v>N/A</v>
      </c>
      <c r="C60" s="19" t="str">
        <f>IF(A60="","N/A",'Trad. Tax.'!V64)</f>
        <v>N/A</v>
      </c>
      <c r="D60" s="19" t="str">
        <f>IF(A60="","N/A",'Trad. PPLI'!V64)</f>
        <v>N/A</v>
      </c>
      <c r="E60" s="19" t="str">
        <f>IF(A60="","N/A",'Alts. Tax.'!V64)</f>
        <v>N/A</v>
      </c>
      <c r="F60" s="19" t="str">
        <f>IF(A60="","N/A",'Alts. PPLI'!V64)</f>
        <v>N/A</v>
      </c>
      <c r="K60" s="1"/>
      <c r="L60" s="19" t="str">
        <f>IF(K60="","N/A",Custom!X64)</f>
        <v>N/A</v>
      </c>
      <c r="M60" s="19" t="str">
        <f>IF(K60="","N/A",'Trad. Tax.'!X64)</f>
        <v>N/A</v>
      </c>
      <c r="N60" s="19" t="str">
        <f>IF(K60="","N/A",'Trad. PPLI'!X64)</f>
        <v>N/A</v>
      </c>
      <c r="O60" s="19" t="str">
        <f>IF(K60="","N/A",'Alts. Tax.'!X64)</f>
        <v>N/A</v>
      </c>
      <c r="P60" s="19" t="str">
        <f>IF(K60="","N/A",'Alts. PPLI'!X64)</f>
        <v>N/A</v>
      </c>
    </row>
    <row r="61" spans="1:16" x14ac:dyDescent="0.45">
      <c r="A61" s="1"/>
      <c r="B61" s="19" t="str">
        <f>IF(A61="","N/A",Custom!V65)</f>
        <v>N/A</v>
      </c>
      <c r="C61" s="19" t="str">
        <f>IF(A61="","N/A",'Trad. Tax.'!V65)</f>
        <v>N/A</v>
      </c>
      <c r="D61" s="19" t="str">
        <f>IF(A61="","N/A",'Trad. PPLI'!V65)</f>
        <v>N/A</v>
      </c>
      <c r="E61" s="19" t="str">
        <f>IF(A61="","N/A",'Alts. Tax.'!V65)</f>
        <v>N/A</v>
      </c>
      <c r="F61" s="19" t="str">
        <f>IF(A61="","N/A",'Alts. PPLI'!V65)</f>
        <v>N/A</v>
      </c>
      <c r="K61" s="1"/>
      <c r="L61" s="19" t="str">
        <f>IF(K61="","N/A",Custom!X65)</f>
        <v>N/A</v>
      </c>
      <c r="M61" s="19" t="str">
        <f>IF(K61="","N/A",'Trad. Tax.'!X65)</f>
        <v>N/A</v>
      </c>
      <c r="N61" s="19" t="str">
        <f>IF(K61="","N/A",'Trad. PPLI'!X65)</f>
        <v>N/A</v>
      </c>
      <c r="O61" s="19" t="str">
        <f>IF(K61="","N/A",'Alts. Tax.'!X65)</f>
        <v>N/A</v>
      </c>
      <c r="P61" s="19" t="str">
        <f>IF(K61="","N/A",'Alts. PPLI'!X65)</f>
        <v>N/A</v>
      </c>
    </row>
    <row r="62" spans="1:16" x14ac:dyDescent="0.45">
      <c r="A62" s="1"/>
      <c r="B62" s="19" t="str">
        <f>IF(A62="","N/A",Custom!V66)</f>
        <v>N/A</v>
      </c>
      <c r="C62" s="19" t="str">
        <f>IF(A62="","N/A",'Trad. Tax.'!V66)</f>
        <v>N/A</v>
      </c>
      <c r="D62" s="19" t="str">
        <f>IF(A62="","N/A",'Trad. PPLI'!V66)</f>
        <v>N/A</v>
      </c>
      <c r="E62" s="19" t="str">
        <f>IF(A62="","N/A",'Alts. Tax.'!V66)</f>
        <v>N/A</v>
      </c>
      <c r="F62" s="19" t="str">
        <f>IF(A62="","N/A",'Alts. PPLI'!V66)</f>
        <v>N/A</v>
      </c>
      <c r="K62" s="1"/>
      <c r="L62" s="19" t="str">
        <f>IF(K62="","N/A",Custom!X66)</f>
        <v>N/A</v>
      </c>
      <c r="M62" s="19" t="str">
        <f>IF(K62="","N/A",'Trad. Tax.'!X66)</f>
        <v>N/A</v>
      </c>
      <c r="N62" s="19" t="str">
        <f>IF(K62="","N/A",'Trad. PPLI'!X66)</f>
        <v>N/A</v>
      </c>
      <c r="O62" s="19" t="str">
        <f>IF(K62="","N/A",'Alts. Tax.'!X66)</f>
        <v>N/A</v>
      </c>
      <c r="P62" s="19" t="str">
        <f>IF(K62="","N/A",'Alts. PPLI'!X66)</f>
        <v>N/A</v>
      </c>
    </row>
    <row r="63" spans="1:16" x14ac:dyDescent="0.45">
      <c r="A63" s="1"/>
      <c r="B63" s="19" t="str">
        <f>IF(A63="","N/A",Custom!V67)</f>
        <v>N/A</v>
      </c>
      <c r="C63" s="19" t="str">
        <f>IF(A63="","N/A",'Trad. Tax.'!V67)</f>
        <v>N/A</v>
      </c>
      <c r="D63" s="19" t="str">
        <f>IF(A63="","N/A",'Trad. PPLI'!V67)</f>
        <v>N/A</v>
      </c>
      <c r="E63" s="19" t="str">
        <f>IF(A63="","N/A",'Alts. Tax.'!V67)</f>
        <v>N/A</v>
      </c>
      <c r="F63" s="19" t="str">
        <f>IF(A63="","N/A",'Alts. PPLI'!V67)</f>
        <v>N/A</v>
      </c>
      <c r="K63" s="1"/>
      <c r="L63" s="19" t="str">
        <f>IF(K63="","N/A",Custom!X67)</f>
        <v>N/A</v>
      </c>
      <c r="M63" s="19" t="str">
        <f>IF(K63="","N/A",'Trad. Tax.'!X67)</f>
        <v>N/A</v>
      </c>
      <c r="N63" s="19" t="str">
        <f>IF(K63="","N/A",'Trad. PPLI'!X67)</f>
        <v>N/A</v>
      </c>
      <c r="O63" s="19" t="str">
        <f>IF(K63="","N/A",'Alts. Tax.'!X67)</f>
        <v>N/A</v>
      </c>
      <c r="P63" s="19" t="str">
        <f>IF(K63="","N/A",'Alts. PPLI'!X67)</f>
        <v>N/A</v>
      </c>
    </row>
    <row r="64" spans="1:16" x14ac:dyDescent="0.45">
      <c r="A64" s="1"/>
      <c r="B64" s="19" t="str">
        <f>IF(A64="","N/A",Custom!V68)</f>
        <v>N/A</v>
      </c>
      <c r="C64" s="19" t="str">
        <f>IF(A64="","N/A",'Trad. Tax.'!V68)</f>
        <v>N/A</v>
      </c>
      <c r="D64" s="19" t="str">
        <f>IF(A64="","N/A",'Trad. PPLI'!V68)</f>
        <v>N/A</v>
      </c>
      <c r="E64" s="19" t="str">
        <f>IF(A64="","N/A",'Alts. Tax.'!V68)</f>
        <v>N/A</v>
      </c>
      <c r="F64" s="19" t="str">
        <f>IF(A64="","N/A",'Alts. PPLI'!V68)</f>
        <v>N/A</v>
      </c>
      <c r="K64" s="1"/>
      <c r="L64" s="19" t="str">
        <f>IF(K64="","N/A",Custom!X68)</f>
        <v>N/A</v>
      </c>
      <c r="M64" s="19" t="str">
        <f>IF(K64="","N/A",'Trad. Tax.'!X68)</f>
        <v>N/A</v>
      </c>
      <c r="N64" s="19" t="str">
        <f>IF(K64="","N/A",'Trad. PPLI'!X68)</f>
        <v>N/A</v>
      </c>
      <c r="O64" s="19" t="str">
        <f>IF(K64="","N/A",'Alts. Tax.'!X68)</f>
        <v>N/A</v>
      </c>
      <c r="P64" s="19" t="str">
        <f>IF(K64="","N/A",'Alts. PPLI'!X68)</f>
        <v>N/A</v>
      </c>
    </row>
    <row r="65" spans="1:16" x14ac:dyDescent="0.45">
      <c r="A65" s="1"/>
      <c r="B65" s="19" t="str">
        <f>IF(A65="","N/A",Custom!V69)</f>
        <v>N/A</v>
      </c>
      <c r="C65" s="19" t="str">
        <f>IF(A65="","N/A",'Trad. Tax.'!V69)</f>
        <v>N/A</v>
      </c>
      <c r="D65" s="19" t="str">
        <f>IF(A65="","N/A",'Trad. PPLI'!V69)</f>
        <v>N/A</v>
      </c>
      <c r="E65" s="19" t="str">
        <f>IF(A65="","N/A",'Alts. Tax.'!V69)</f>
        <v>N/A</v>
      </c>
      <c r="F65" s="19" t="str">
        <f>IF(A65="","N/A",'Alts. PPLI'!V69)</f>
        <v>N/A</v>
      </c>
      <c r="K65" s="1"/>
      <c r="L65" s="19" t="str">
        <f>IF(K65="","N/A",Custom!X69)</f>
        <v>N/A</v>
      </c>
      <c r="M65" s="19" t="str">
        <f>IF(K65="","N/A",'Trad. Tax.'!X69)</f>
        <v>N/A</v>
      </c>
      <c r="N65" s="19" t="str">
        <f>IF(K65="","N/A",'Trad. PPLI'!X69)</f>
        <v>N/A</v>
      </c>
      <c r="O65" s="19" t="str">
        <f>IF(K65="","N/A",'Alts. Tax.'!X69)</f>
        <v>N/A</v>
      </c>
      <c r="P65" s="19" t="str">
        <f>IF(K65="","N/A",'Alts. PPLI'!X69)</f>
        <v>N/A</v>
      </c>
    </row>
    <row r="66" spans="1:16" x14ac:dyDescent="0.45">
      <c r="A66" s="1"/>
      <c r="B66" s="19" t="str">
        <f>IF(A66="","N/A",Custom!V70)</f>
        <v>N/A</v>
      </c>
      <c r="C66" s="19" t="str">
        <f>IF(A66="","N/A",'Trad. Tax.'!V70)</f>
        <v>N/A</v>
      </c>
      <c r="D66" s="19" t="str">
        <f>IF(A66="","N/A",'Trad. PPLI'!V70)</f>
        <v>N/A</v>
      </c>
      <c r="E66" s="19" t="str">
        <f>IF(A66="","N/A",'Alts. Tax.'!V70)</f>
        <v>N/A</v>
      </c>
      <c r="F66" s="19" t="str">
        <f>IF(A66="","N/A",'Alts. PPLI'!V70)</f>
        <v>N/A</v>
      </c>
      <c r="K66" s="1"/>
      <c r="L66" s="19" t="str">
        <f>IF(K66="","N/A",Custom!X70)</f>
        <v>N/A</v>
      </c>
      <c r="M66" s="19" t="str">
        <f>IF(K66="","N/A",'Trad. Tax.'!X70)</f>
        <v>N/A</v>
      </c>
      <c r="N66" s="19" t="str">
        <f>IF(K66="","N/A",'Trad. PPLI'!X70)</f>
        <v>N/A</v>
      </c>
      <c r="O66" s="19" t="str">
        <f>IF(K66="","N/A",'Alts. Tax.'!X70)</f>
        <v>N/A</v>
      </c>
      <c r="P66" s="19" t="str">
        <f>IF(K66="","N/A",'Alts. PPLI'!X70)</f>
        <v>N/A</v>
      </c>
    </row>
    <row r="67" spans="1:16" x14ac:dyDescent="0.45">
      <c r="A67" s="1"/>
      <c r="B67" s="19" t="str">
        <f>IF(A67="","N/A",Custom!V71)</f>
        <v>N/A</v>
      </c>
      <c r="C67" s="19" t="str">
        <f>IF(A67="","N/A",'Trad. Tax.'!V71)</f>
        <v>N/A</v>
      </c>
      <c r="D67" s="19" t="str">
        <f>IF(A67="","N/A",'Trad. PPLI'!V71)</f>
        <v>N/A</v>
      </c>
      <c r="E67" s="19" t="str">
        <f>IF(A67="","N/A",'Alts. Tax.'!V71)</f>
        <v>N/A</v>
      </c>
      <c r="F67" s="19" t="str">
        <f>IF(A67="","N/A",'Alts. PPLI'!V71)</f>
        <v>N/A</v>
      </c>
      <c r="K67" s="1"/>
      <c r="L67" s="19" t="str">
        <f>IF(K67="","N/A",Custom!X71)</f>
        <v>N/A</v>
      </c>
      <c r="M67" s="19" t="str">
        <f>IF(K67="","N/A",'Trad. Tax.'!X71)</f>
        <v>N/A</v>
      </c>
      <c r="N67" s="19" t="str">
        <f>IF(K67="","N/A",'Trad. PPLI'!X71)</f>
        <v>N/A</v>
      </c>
      <c r="O67" s="19" t="str">
        <f>IF(K67="","N/A",'Alts. Tax.'!X71)</f>
        <v>N/A</v>
      </c>
      <c r="P67" s="19" t="str">
        <f>IF(K67="","N/A",'Alts. PPLI'!X71)</f>
        <v>N/A</v>
      </c>
    </row>
    <row r="68" spans="1:16" x14ac:dyDescent="0.45">
      <c r="A68" s="1"/>
      <c r="B68" s="19" t="str">
        <f>IF(A68="","N/A",Custom!V72)</f>
        <v>N/A</v>
      </c>
      <c r="C68" s="19" t="str">
        <f>IF(A68="","N/A",'Trad. Tax.'!V72)</f>
        <v>N/A</v>
      </c>
      <c r="D68" s="19" t="str">
        <f>IF(A68="","N/A",'Trad. PPLI'!V72)</f>
        <v>N/A</v>
      </c>
      <c r="E68" s="19" t="str">
        <f>IF(A68="","N/A",'Alts. Tax.'!V72)</f>
        <v>N/A</v>
      </c>
      <c r="F68" s="19" t="str">
        <f>IF(A68="","N/A",'Alts. PPLI'!V72)</f>
        <v>N/A</v>
      </c>
      <c r="K68" s="1"/>
      <c r="L68" s="19" t="str">
        <f>IF(K68="","N/A",Custom!X72)</f>
        <v>N/A</v>
      </c>
      <c r="M68" s="19" t="str">
        <f>IF(K68="","N/A",'Trad. Tax.'!X72)</f>
        <v>N/A</v>
      </c>
      <c r="N68" s="19" t="str">
        <f>IF(K68="","N/A",'Trad. PPLI'!X72)</f>
        <v>N/A</v>
      </c>
      <c r="O68" s="19" t="str">
        <f>IF(K68="","N/A",'Alts. Tax.'!X72)</f>
        <v>N/A</v>
      </c>
      <c r="P68" s="19" t="str">
        <f>IF(K68="","N/A",'Alts. PPLI'!X72)</f>
        <v>N/A</v>
      </c>
    </row>
    <row r="69" spans="1:16" x14ac:dyDescent="0.45">
      <c r="A69" s="1"/>
      <c r="B69" s="19" t="str">
        <f>IF(A69="","N/A",Custom!V73)</f>
        <v>N/A</v>
      </c>
      <c r="C69" s="19" t="str">
        <f>IF(A69="","N/A",'Trad. Tax.'!V73)</f>
        <v>N/A</v>
      </c>
      <c r="D69" s="19" t="str">
        <f>IF(A69="","N/A",'Trad. PPLI'!V73)</f>
        <v>N/A</v>
      </c>
      <c r="E69" s="19" t="str">
        <f>IF(A69="","N/A",'Alts. Tax.'!V73)</f>
        <v>N/A</v>
      </c>
      <c r="F69" s="19" t="str">
        <f>IF(A69="","N/A",'Alts. PPLI'!V73)</f>
        <v>N/A</v>
      </c>
      <c r="K69" s="1"/>
      <c r="L69" s="19" t="str">
        <f>IF(K69="","N/A",Custom!X73)</f>
        <v>N/A</v>
      </c>
      <c r="M69" s="19" t="str">
        <f>IF(K69="","N/A",'Trad. Tax.'!X73)</f>
        <v>N/A</v>
      </c>
      <c r="N69" s="19" t="str">
        <f>IF(K69="","N/A",'Trad. PPLI'!X73)</f>
        <v>N/A</v>
      </c>
      <c r="O69" s="19" t="str">
        <f>IF(K69="","N/A",'Alts. Tax.'!X73)</f>
        <v>N/A</v>
      </c>
      <c r="P69" s="19" t="str">
        <f>IF(K69="","N/A",'Alts. PPLI'!X73)</f>
        <v>N/A</v>
      </c>
    </row>
    <row r="70" spans="1:16" x14ac:dyDescent="0.45">
      <c r="A70" s="1"/>
      <c r="B70" s="19" t="str">
        <f>IF(A70="","N/A",Custom!V74)</f>
        <v>N/A</v>
      </c>
      <c r="C70" s="19" t="str">
        <f>IF(A70="","N/A",'Trad. Tax.'!V74)</f>
        <v>N/A</v>
      </c>
      <c r="D70" s="19" t="str">
        <f>IF(A70="","N/A",'Trad. PPLI'!V74)</f>
        <v>N/A</v>
      </c>
      <c r="E70" s="19" t="str">
        <f>IF(A70="","N/A",'Alts. Tax.'!V74)</f>
        <v>N/A</v>
      </c>
      <c r="F70" s="19" t="str">
        <f>IF(A70="","N/A",'Alts. PPLI'!V74)</f>
        <v>N/A</v>
      </c>
      <c r="K70" s="1"/>
      <c r="L70" s="19" t="str">
        <f>IF(K70="","N/A",Custom!X74)</f>
        <v>N/A</v>
      </c>
      <c r="M70" s="19" t="str">
        <f>IF(K70="","N/A",'Trad. Tax.'!X74)</f>
        <v>N/A</v>
      </c>
      <c r="N70" s="19" t="str">
        <f>IF(K70="","N/A",'Trad. PPLI'!X74)</f>
        <v>N/A</v>
      </c>
      <c r="O70" s="19" t="str">
        <f>IF(K70="","N/A",'Alts. Tax.'!X74)</f>
        <v>N/A</v>
      </c>
      <c r="P70" s="19" t="str">
        <f>IF(K70="","N/A",'Alts. PPLI'!X74)</f>
        <v>N/A</v>
      </c>
    </row>
    <row r="71" spans="1:16" x14ac:dyDescent="0.45">
      <c r="A71" s="1"/>
      <c r="B71" s="19" t="str">
        <f>IF(A71="","N/A",Custom!V75)</f>
        <v>N/A</v>
      </c>
      <c r="C71" s="19" t="str">
        <f>IF(A71="","N/A",'Trad. Tax.'!V75)</f>
        <v>N/A</v>
      </c>
      <c r="D71" s="19" t="str">
        <f>IF(A71="","N/A",'Trad. PPLI'!V75)</f>
        <v>N/A</v>
      </c>
      <c r="E71" s="19" t="str">
        <f>IF(A71="","N/A",'Alts. Tax.'!V75)</f>
        <v>N/A</v>
      </c>
      <c r="F71" s="19" t="str">
        <f>IF(A71="","N/A",'Alts. PPLI'!V75)</f>
        <v>N/A</v>
      </c>
      <c r="K71" s="1"/>
      <c r="L71" s="19" t="str">
        <f>IF(K71="","N/A",Custom!X75)</f>
        <v>N/A</v>
      </c>
      <c r="M71" s="19" t="str">
        <f>IF(K71="","N/A",'Trad. Tax.'!X75)</f>
        <v>N/A</v>
      </c>
      <c r="N71" s="19" t="str">
        <f>IF(K71="","N/A",'Trad. PPLI'!X75)</f>
        <v>N/A</v>
      </c>
      <c r="O71" s="19" t="str">
        <f>IF(K71="","N/A",'Alts. Tax.'!X75)</f>
        <v>N/A</v>
      </c>
      <c r="P71" s="19" t="str">
        <f>IF(K71="","N/A",'Alts. PPLI'!X75)</f>
        <v>N/A</v>
      </c>
    </row>
    <row r="72" spans="1:16" x14ac:dyDescent="0.45">
      <c r="A72" s="1"/>
      <c r="B72" s="19" t="str">
        <f>IF(A72="","N/A",Custom!V76)</f>
        <v>N/A</v>
      </c>
      <c r="C72" s="19" t="str">
        <f>IF(A72="","N/A",'Trad. Tax.'!V76)</f>
        <v>N/A</v>
      </c>
      <c r="D72" s="19" t="str">
        <f>IF(A72="","N/A",'Trad. PPLI'!V76)</f>
        <v>N/A</v>
      </c>
      <c r="E72" s="19" t="str">
        <f>IF(A72="","N/A",'Alts. Tax.'!V76)</f>
        <v>N/A</v>
      </c>
      <c r="F72" s="19" t="str">
        <f>IF(A72="","N/A",'Alts. PPLI'!V76)</f>
        <v>N/A</v>
      </c>
      <c r="K72" s="1"/>
      <c r="L72" s="19" t="str">
        <f>IF(K72="","N/A",Custom!X76)</f>
        <v>N/A</v>
      </c>
      <c r="M72" s="19" t="str">
        <f>IF(K72="","N/A",'Trad. Tax.'!X76)</f>
        <v>N/A</v>
      </c>
      <c r="N72" s="19" t="str">
        <f>IF(K72="","N/A",'Trad. PPLI'!X76)</f>
        <v>N/A</v>
      </c>
      <c r="O72" s="19" t="str">
        <f>IF(K72="","N/A",'Alts. Tax.'!X76)</f>
        <v>N/A</v>
      </c>
      <c r="P72" s="19" t="str">
        <f>IF(K72="","N/A",'Alts. PPLI'!X76)</f>
        <v>N/A</v>
      </c>
    </row>
    <row r="73" spans="1:16" x14ac:dyDescent="0.45">
      <c r="A73" s="1"/>
      <c r="B73" s="19" t="str">
        <f>IF(A73="","N/A",Custom!V77)</f>
        <v>N/A</v>
      </c>
      <c r="C73" s="19" t="str">
        <f>IF(A73="","N/A",'Trad. Tax.'!V77)</f>
        <v>N/A</v>
      </c>
      <c r="D73" s="19" t="str">
        <f>IF(A73="","N/A",'Trad. PPLI'!V77)</f>
        <v>N/A</v>
      </c>
      <c r="E73" s="19" t="str">
        <f>IF(A73="","N/A",'Alts. Tax.'!V77)</f>
        <v>N/A</v>
      </c>
      <c r="F73" s="19" t="str">
        <f>IF(A73="","N/A",'Alts. PPLI'!V77)</f>
        <v>N/A</v>
      </c>
      <c r="K73" s="1"/>
      <c r="L73" s="19" t="str">
        <f>IF(K73="","N/A",Custom!X77)</f>
        <v>N/A</v>
      </c>
      <c r="M73" s="19" t="str">
        <f>IF(K73="","N/A",'Trad. Tax.'!X77)</f>
        <v>N/A</v>
      </c>
      <c r="N73" s="19" t="str">
        <f>IF(K73="","N/A",'Trad. PPLI'!X77)</f>
        <v>N/A</v>
      </c>
      <c r="O73" s="19" t="str">
        <f>IF(K73="","N/A",'Alts. Tax.'!X77)</f>
        <v>N/A</v>
      </c>
      <c r="P73" s="19" t="str">
        <f>IF(K73="","N/A",'Alts. PPLI'!X77)</f>
        <v>N/A</v>
      </c>
    </row>
    <row r="74" spans="1:16" x14ac:dyDescent="0.45">
      <c r="A74" s="1"/>
      <c r="B74" s="19" t="str">
        <f>IF(A74="","N/A",Custom!V78)</f>
        <v>N/A</v>
      </c>
      <c r="C74" s="19" t="str">
        <f>IF(A74="","N/A",'Trad. Tax.'!V78)</f>
        <v>N/A</v>
      </c>
      <c r="D74" s="19" t="str">
        <f>IF(A74="","N/A",'Trad. PPLI'!V78)</f>
        <v>N/A</v>
      </c>
      <c r="E74" s="19" t="str">
        <f>IF(A74="","N/A",'Alts. Tax.'!V78)</f>
        <v>N/A</v>
      </c>
      <c r="F74" s="19" t="str">
        <f>IF(A74="","N/A",'Alts. PPLI'!V78)</f>
        <v>N/A</v>
      </c>
      <c r="K74" s="1"/>
      <c r="L74" s="19" t="str">
        <f>IF(K74="","N/A",Custom!X78)</f>
        <v>N/A</v>
      </c>
      <c r="M74" s="19" t="str">
        <f>IF(K74="","N/A",'Trad. Tax.'!X78)</f>
        <v>N/A</v>
      </c>
      <c r="N74" s="19" t="str">
        <f>IF(K74="","N/A",'Trad. PPLI'!X78)</f>
        <v>N/A</v>
      </c>
      <c r="O74" s="19" t="str">
        <f>IF(K74="","N/A",'Alts. Tax.'!X78)</f>
        <v>N/A</v>
      </c>
      <c r="P74" s="19" t="str">
        <f>IF(K74="","N/A",'Alts. PPLI'!X78)</f>
        <v>N/A</v>
      </c>
    </row>
    <row r="75" spans="1:16" x14ac:dyDescent="0.45">
      <c r="A75" s="1"/>
      <c r="B75" s="19" t="str">
        <f>IF(A75="","N/A",Custom!V79)</f>
        <v>N/A</v>
      </c>
      <c r="C75" s="19" t="str">
        <f>IF(A75="","N/A",'Trad. Tax.'!V79)</f>
        <v>N/A</v>
      </c>
      <c r="D75" s="19" t="str">
        <f>IF(A75="","N/A",'Trad. PPLI'!V79)</f>
        <v>N/A</v>
      </c>
      <c r="E75" s="19" t="str">
        <f>IF(A75="","N/A",'Alts. Tax.'!V79)</f>
        <v>N/A</v>
      </c>
      <c r="F75" s="19" t="str">
        <f>IF(A75="","N/A",'Alts. PPLI'!V79)</f>
        <v>N/A</v>
      </c>
      <c r="K75" s="1"/>
      <c r="L75" s="19" t="str">
        <f>IF(K75="","N/A",Custom!X79)</f>
        <v>N/A</v>
      </c>
      <c r="M75" s="19" t="str">
        <f>IF(K75="","N/A",'Trad. Tax.'!X79)</f>
        <v>N/A</v>
      </c>
      <c r="N75" s="19" t="str">
        <f>IF(K75="","N/A",'Trad. PPLI'!X79)</f>
        <v>N/A</v>
      </c>
      <c r="O75" s="19" t="str">
        <f>IF(K75="","N/A",'Alts. Tax.'!X79)</f>
        <v>N/A</v>
      </c>
      <c r="P75" s="19" t="str">
        <f>IF(K75="","N/A",'Alts. PPLI'!X79)</f>
        <v>N/A</v>
      </c>
    </row>
    <row r="76" spans="1:16" x14ac:dyDescent="0.45">
      <c r="A76" s="1"/>
      <c r="B76" s="19" t="str">
        <f>IF(A76="","N/A",Custom!V80)</f>
        <v>N/A</v>
      </c>
      <c r="C76" s="19" t="str">
        <f>IF(A76="","N/A",'Trad. Tax.'!V80)</f>
        <v>N/A</v>
      </c>
      <c r="D76" s="19" t="str">
        <f>IF(A76="","N/A",'Trad. PPLI'!V80)</f>
        <v>N/A</v>
      </c>
      <c r="E76" s="19" t="str">
        <f>IF(A76="","N/A",'Alts. Tax.'!V80)</f>
        <v>N/A</v>
      </c>
      <c r="F76" s="19" t="str">
        <f>IF(A76="","N/A",'Alts. PPLI'!V80)</f>
        <v>N/A</v>
      </c>
      <c r="K76" s="1"/>
      <c r="L76" s="19" t="str">
        <f>IF(K76="","N/A",Custom!X80)</f>
        <v>N/A</v>
      </c>
      <c r="M76" s="19" t="str">
        <f>IF(K76="","N/A",'Trad. Tax.'!X80)</f>
        <v>N/A</v>
      </c>
      <c r="N76" s="19" t="str">
        <f>IF(K76="","N/A",'Trad. PPLI'!X80)</f>
        <v>N/A</v>
      </c>
      <c r="O76" s="19" t="str">
        <f>IF(K76="","N/A",'Alts. Tax.'!X80)</f>
        <v>N/A</v>
      </c>
      <c r="P76" s="19" t="str">
        <f>IF(K76="","N/A",'Alts. PPLI'!X80)</f>
        <v>N/A</v>
      </c>
    </row>
    <row r="77" spans="1:16" x14ac:dyDescent="0.45">
      <c r="A77" s="1"/>
      <c r="B77" s="19" t="str">
        <f>IF(A77="","N/A",Custom!V81)</f>
        <v>N/A</v>
      </c>
      <c r="C77" s="19" t="str">
        <f>IF(A77="","N/A",'Trad. Tax.'!V81)</f>
        <v>N/A</v>
      </c>
      <c r="D77" s="19" t="str">
        <f>IF(A77="","N/A",'Trad. PPLI'!V81)</f>
        <v>N/A</v>
      </c>
      <c r="E77" s="19" t="str">
        <f>IF(A77="","N/A",'Alts. Tax.'!V81)</f>
        <v>N/A</v>
      </c>
      <c r="F77" s="19" t="str">
        <f>IF(A77="","N/A",'Alts. PPLI'!V81)</f>
        <v>N/A</v>
      </c>
      <c r="K77" s="1"/>
      <c r="L77" s="19" t="str">
        <f>IF(K77="","N/A",Custom!X81)</f>
        <v>N/A</v>
      </c>
      <c r="M77" s="19" t="str">
        <f>IF(K77="","N/A",'Trad. Tax.'!X81)</f>
        <v>N/A</v>
      </c>
      <c r="N77" s="19" t="str">
        <f>IF(K77="","N/A",'Trad. PPLI'!X81)</f>
        <v>N/A</v>
      </c>
      <c r="O77" s="19" t="str">
        <f>IF(K77="","N/A",'Alts. Tax.'!X81)</f>
        <v>N/A</v>
      </c>
      <c r="P77" s="19" t="str">
        <f>IF(K77="","N/A",'Alts. PPLI'!X81)</f>
        <v>N/A</v>
      </c>
    </row>
    <row r="78" spans="1:16" x14ac:dyDescent="0.45">
      <c r="A78" s="1"/>
      <c r="B78" s="19" t="str">
        <f>IF(A78="","N/A",Custom!V82)</f>
        <v>N/A</v>
      </c>
      <c r="C78" s="19" t="str">
        <f>IF(A78="","N/A",'Trad. Tax.'!V82)</f>
        <v>N/A</v>
      </c>
      <c r="D78" s="19" t="str">
        <f>IF(A78="","N/A",'Trad. PPLI'!V82)</f>
        <v>N/A</v>
      </c>
      <c r="E78" s="19" t="str">
        <f>IF(A78="","N/A",'Alts. Tax.'!V82)</f>
        <v>N/A</v>
      </c>
      <c r="F78" s="19" t="str">
        <f>IF(A78="","N/A",'Alts. PPLI'!V82)</f>
        <v>N/A</v>
      </c>
      <c r="K78" s="1"/>
      <c r="L78" s="19" t="str">
        <f>IF(K78="","N/A",Custom!X82)</f>
        <v>N/A</v>
      </c>
      <c r="M78" s="19" t="str">
        <f>IF(K78="","N/A",'Trad. Tax.'!X82)</f>
        <v>N/A</v>
      </c>
      <c r="N78" s="19" t="str">
        <f>IF(K78="","N/A",'Trad. PPLI'!X82)</f>
        <v>N/A</v>
      </c>
      <c r="O78" s="19" t="str">
        <f>IF(K78="","N/A",'Alts. Tax.'!X82)</f>
        <v>N/A</v>
      </c>
      <c r="P78" s="19" t="str">
        <f>IF(K78="","N/A",'Alts. PPLI'!X82)</f>
        <v>N/A</v>
      </c>
    </row>
    <row r="79" spans="1:16" x14ac:dyDescent="0.45">
      <c r="A79" s="1"/>
      <c r="B79" s="19" t="str">
        <f>IF(A79="","N/A",Custom!V83)</f>
        <v>N/A</v>
      </c>
      <c r="C79" s="19" t="str">
        <f>IF(A79="","N/A",'Trad. Tax.'!V83)</f>
        <v>N/A</v>
      </c>
      <c r="D79" s="19" t="str">
        <f>IF(A79="","N/A",'Trad. PPLI'!V83)</f>
        <v>N/A</v>
      </c>
      <c r="E79" s="19" t="str">
        <f>IF(A79="","N/A",'Alts. Tax.'!V83)</f>
        <v>N/A</v>
      </c>
      <c r="F79" s="19" t="str">
        <f>IF(A79="","N/A",'Alts. PPLI'!V83)</f>
        <v>N/A</v>
      </c>
      <c r="K79" s="1"/>
      <c r="L79" s="19" t="str">
        <f>IF(K79="","N/A",Custom!X83)</f>
        <v>N/A</v>
      </c>
      <c r="M79" s="19" t="str">
        <f>IF(K79="","N/A",'Trad. Tax.'!X83)</f>
        <v>N/A</v>
      </c>
      <c r="N79" s="19" t="str">
        <f>IF(K79="","N/A",'Trad. PPLI'!X83)</f>
        <v>N/A</v>
      </c>
      <c r="O79" s="19" t="str">
        <f>IF(K79="","N/A",'Alts. Tax.'!X83)</f>
        <v>N/A</v>
      </c>
      <c r="P79" s="19" t="str">
        <f>IF(K79="","N/A",'Alts. PPLI'!X83)</f>
        <v>N/A</v>
      </c>
    </row>
    <row r="80" spans="1:16" x14ac:dyDescent="0.45">
      <c r="A80" s="1"/>
      <c r="B80" s="19" t="str">
        <f>IF(A80="","N/A",Custom!V84)</f>
        <v>N/A</v>
      </c>
      <c r="C80" s="19" t="str">
        <f>IF(A80="","N/A",'Trad. Tax.'!V84)</f>
        <v>N/A</v>
      </c>
      <c r="D80" s="19" t="str">
        <f>IF(A80="","N/A",'Trad. PPLI'!V84)</f>
        <v>N/A</v>
      </c>
      <c r="E80" s="19" t="str">
        <f>IF(A80="","N/A",'Alts. Tax.'!V84)</f>
        <v>N/A</v>
      </c>
      <c r="F80" s="19" t="str">
        <f>IF(A80="","N/A",'Alts. PPLI'!V84)</f>
        <v>N/A</v>
      </c>
      <c r="K80" s="1"/>
      <c r="L80" s="19" t="str">
        <f>IF(K80="","N/A",Custom!X84)</f>
        <v>N/A</v>
      </c>
      <c r="M80" s="19" t="str">
        <f>IF(K80="","N/A",'Trad. Tax.'!X84)</f>
        <v>N/A</v>
      </c>
      <c r="N80" s="19" t="str">
        <f>IF(K80="","N/A",'Trad. PPLI'!X84)</f>
        <v>N/A</v>
      </c>
      <c r="O80" s="19" t="str">
        <f>IF(K80="","N/A",'Alts. Tax.'!X84)</f>
        <v>N/A</v>
      </c>
      <c r="P80" s="19" t="str">
        <f>IF(K80="","N/A",'Alts. PPLI'!X84)</f>
        <v>N/A</v>
      </c>
    </row>
    <row r="81" spans="1:16" x14ac:dyDescent="0.45">
      <c r="A81" s="1"/>
      <c r="B81" s="19" t="str">
        <f>IF(A81="","N/A",Custom!V85)</f>
        <v>N/A</v>
      </c>
      <c r="C81" s="19" t="str">
        <f>IF(A81="","N/A",'Trad. Tax.'!V85)</f>
        <v>N/A</v>
      </c>
      <c r="D81" s="19" t="str">
        <f>IF(A81="","N/A",'Trad. PPLI'!V85)</f>
        <v>N/A</v>
      </c>
      <c r="E81" s="19" t="str">
        <f>IF(A81="","N/A",'Alts. Tax.'!V85)</f>
        <v>N/A</v>
      </c>
      <c r="F81" s="19" t="str">
        <f>IF(A81="","N/A",'Alts. PPLI'!V85)</f>
        <v>N/A</v>
      </c>
      <c r="K81" s="1"/>
      <c r="L81" s="19" t="str">
        <f>IF(K81="","N/A",Custom!X85)</f>
        <v>N/A</v>
      </c>
      <c r="M81" s="19" t="str">
        <f>IF(K81="","N/A",'Trad. Tax.'!X85)</f>
        <v>N/A</v>
      </c>
      <c r="N81" s="19" t="str">
        <f>IF(K81="","N/A",'Trad. PPLI'!X85)</f>
        <v>N/A</v>
      </c>
      <c r="O81" s="19" t="str">
        <f>IF(K81="","N/A",'Alts. Tax.'!X85)</f>
        <v>N/A</v>
      </c>
      <c r="P81" s="19" t="str">
        <f>IF(K81="","N/A",'Alts. PPLI'!X85)</f>
        <v>N/A</v>
      </c>
    </row>
    <row r="82" spans="1:16" x14ac:dyDescent="0.45">
      <c r="A82" s="1"/>
      <c r="B82" s="19" t="str">
        <f>IF(A82="","N/A",Custom!V86)</f>
        <v>N/A</v>
      </c>
      <c r="C82" s="19" t="str">
        <f>IF(A82="","N/A",'Trad. Tax.'!V86)</f>
        <v>N/A</v>
      </c>
      <c r="D82" s="19" t="str">
        <f>IF(A82="","N/A",'Trad. PPLI'!V86)</f>
        <v>N/A</v>
      </c>
      <c r="E82" s="19" t="str">
        <f>IF(A82="","N/A",'Alts. Tax.'!V86)</f>
        <v>N/A</v>
      </c>
      <c r="F82" s="19" t="str">
        <f>IF(A82="","N/A",'Alts. PPLI'!V86)</f>
        <v>N/A</v>
      </c>
      <c r="K82" s="1"/>
      <c r="L82" s="19" t="str">
        <f>IF(K82="","N/A",Custom!X86)</f>
        <v>N/A</v>
      </c>
      <c r="M82" s="19" t="str">
        <f>IF(K82="","N/A",'Trad. Tax.'!X86)</f>
        <v>N/A</v>
      </c>
      <c r="N82" s="19" t="str">
        <f>IF(K82="","N/A",'Trad. PPLI'!X86)</f>
        <v>N/A</v>
      </c>
      <c r="O82" s="19" t="str">
        <f>IF(K82="","N/A",'Alts. Tax.'!X86)</f>
        <v>N/A</v>
      </c>
      <c r="P82" s="19" t="str">
        <f>IF(K82="","N/A",'Alts. PPLI'!X86)</f>
        <v>N/A</v>
      </c>
    </row>
    <row r="83" spans="1:16" x14ac:dyDescent="0.45">
      <c r="A83" s="1"/>
      <c r="B83" s="19" t="str">
        <f>IF(A83="","N/A",Custom!V87)</f>
        <v>N/A</v>
      </c>
      <c r="C83" s="19" t="str">
        <f>IF(A83="","N/A",'Trad. Tax.'!V87)</f>
        <v>N/A</v>
      </c>
      <c r="D83" s="19" t="str">
        <f>IF(A83="","N/A",'Trad. PPLI'!V87)</f>
        <v>N/A</v>
      </c>
      <c r="E83" s="19" t="str">
        <f>IF(A83="","N/A",'Alts. Tax.'!V87)</f>
        <v>N/A</v>
      </c>
      <c r="F83" s="19" t="str">
        <f>IF(A83="","N/A",'Alts. PPLI'!V87)</f>
        <v>N/A</v>
      </c>
      <c r="K83" s="1"/>
      <c r="L83" s="19" t="str">
        <f>IF(K83="","N/A",Custom!X87)</f>
        <v>N/A</v>
      </c>
      <c r="M83" s="19" t="str">
        <f>IF(K83="","N/A",'Trad. Tax.'!X87)</f>
        <v>N/A</v>
      </c>
      <c r="N83" s="19" t="str">
        <f>IF(K83="","N/A",'Trad. PPLI'!X87)</f>
        <v>N/A</v>
      </c>
      <c r="O83" s="19" t="str">
        <f>IF(K83="","N/A",'Alts. Tax.'!X87)</f>
        <v>N/A</v>
      </c>
      <c r="P83" s="19" t="str">
        <f>IF(K83="","N/A",'Alts. PPLI'!X87)</f>
        <v>N/A</v>
      </c>
    </row>
    <row r="84" spans="1:16" x14ac:dyDescent="0.45">
      <c r="A84" s="1"/>
      <c r="B84" s="19" t="str">
        <f>IF(A84="","N/A",Custom!V88)</f>
        <v>N/A</v>
      </c>
      <c r="C84" s="19" t="str">
        <f>IF(A84="","N/A",'Trad. Tax.'!V88)</f>
        <v>N/A</v>
      </c>
      <c r="D84" s="19" t="str">
        <f>IF(A84="","N/A",'Trad. PPLI'!V88)</f>
        <v>N/A</v>
      </c>
      <c r="E84" s="19" t="str">
        <f>IF(A84="","N/A",'Alts. Tax.'!V88)</f>
        <v>N/A</v>
      </c>
      <c r="F84" s="19" t="str">
        <f>IF(A84="","N/A",'Alts. PPLI'!V88)</f>
        <v>N/A</v>
      </c>
      <c r="K84" s="1"/>
      <c r="L84" s="19" t="str">
        <f>IF(K84="","N/A",Custom!X88)</f>
        <v>N/A</v>
      </c>
      <c r="M84" s="19" t="str">
        <f>IF(K84="","N/A",'Trad. Tax.'!X88)</f>
        <v>N/A</v>
      </c>
      <c r="N84" s="19" t="str">
        <f>IF(K84="","N/A",'Trad. PPLI'!X88)</f>
        <v>N/A</v>
      </c>
      <c r="O84" s="19" t="str">
        <f>IF(K84="","N/A",'Alts. Tax.'!X88)</f>
        <v>N/A</v>
      </c>
      <c r="P84" s="19" t="str">
        <f>IF(K84="","N/A",'Alts. PPLI'!X88)</f>
        <v>N/A</v>
      </c>
    </row>
    <row r="85" spans="1:16" x14ac:dyDescent="0.45">
      <c r="A85" s="1"/>
      <c r="B85" s="19" t="str">
        <f>IF(A85="","N/A",Custom!V89)</f>
        <v>N/A</v>
      </c>
      <c r="C85" s="19" t="str">
        <f>IF(A85="","N/A",'Trad. Tax.'!V89)</f>
        <v>N/A</v>
      </c>
      <c r="D85" s="19" t="str">
        <f>IF(A85="","N/A",'Trad. PPLI'!V89)</f>
        <v>N/A</v>
      </c>
      <c r="E85" s="19" t="str">
        <f>IF(A85="","N/A",'Alts. Tax.'!V89)</f>
        <v>N/A</v>
      </c>
      <c r="F85" s="19" t="str">
        <f>IF(A85="","N/A",'Alts. PPLI'!V89)</f>
        <v>N/A</v>
      </c>
      <c r="K85" s="1"/>
      <c r="L85" s="19" t="str">
        <f>IF(K85="","N/A",Custom!X89)</f>
        <v>N/A</v>
      </c>
      <c r="M85" s="19" t="str">
        <f>IF(K85="","N/A",'Trad. Tax.'!X89)</f>
        <v>N/A</v>
      </c>
      <c r="N85" s="19" t="str">
        <f>IF(K85="","N/A",'Trad. PPLI'!X89)</f>
        <v>N/A</v>
      </c>
      <c r="O85" s="19" t="str">
        <f>IF(K85="","N/A",'Alts. Tax.'!X89)</f>
        <v>N/A</v>
      </c>
      <c r="P85" s="19" t="str">
        <f>IF(K85="","N/A",'Alts. PPLI'!X89)</f>
        <v>N/A</v>
      </c>
    </row>
    <row r="86" spans="1:16" x14ac:dyDescent="0.45">
      <c r="A86" s="1"/>
      <c r="B86" s="19" t="str">
        <f>IF(A86="","N/A",Custom!V90)</f>
        <v>N/A</v>
      </c>
      <c r="C86" s="19" t="str">
        <f>IF(A86="","N/A",'Trad. Tax.'!V90)</f>
        <v>N/A</v>
      </c>
      <c r="D86" s="19" t="str">
        <f>IF(A86="","N/A",'Trad. PPLI'!V90)</f>
        <v>N/A</v>
      </c>
      <c r="E86" s="19" t="str">
        <f>IF(A86="","N/A",'Alts. Tax.'!V90)</f>
        <v>N/A</v>
      </c>
      <c r="F86" s="19" t="str">
        <f>IF(A86="","N/A",'Alts. PPLI'!V90)</f>
        <v>N/A</v>
      </c>
      <c r="K86" s="1"/>
      <c r="L86" s="19" t="str">
        <f>IF(K86="","N/A",Custom!X90)</f>
        <v>N/A</v>
      </c>
      <c r="M86" s="19" t="str">
        <f>IF(K86="","N/A",'Trad. Tax.'!X90)</f>
        <v>N/A</v>
      </c>
      <c r="N86" s="19" t="str">
        <f>IF(K86="","N/A",'Trad. PPLI'!X90)</f>
        <v>N/A</v>
      </c>
      <c r="O86" s="19" t="str">
        <f>IF(K86="","N/A",'Alts. Tax.'!X90)</f>
        <v>N/A</v>
      </c>
      <c r="P86" s="19" t="str">
        <f>IF(K86="","N/A",'Alts. PPLI'!X90)</f>
        <v>N/A</v>
      </c>
    </row>
    <row r="87" spans="1:16" x14ac:dyDescent="0.45">
      <c r="A87" s="1"/>
      <c r="B87" s="19" t="str">
        <f>IF(A87="","N/A",Custom!V91)</f>
        <v>N/A</v>
      </c>
      <c r="C87" s="19" t="str">
        <f>IF(A87="","N/A",'Trad. Tax.'!V91)</f>
        <v>N/A</v>
      </c>
      <c r="D87" s="19" t="str">
        <f>IF(A87="","N/A",'Trad. PPLI'!V91)</f>
        <v>N/A</v>
      </c>
      <c r="E87" s="19" t="str">
        <f>IF(A87="","N/A",'Alts. Tax.'!V91)</f>
        <v>N/A</v>
      </c>
      <c r="F87" s="19" t="str">
        <f>IF(A87="","N/A",'Alts. PPLI'!V91)</f>
        <v>N/A</v>
      </c>
      <c r="K87" s="1"/>
      <c r="L87" s="19" t="str">
        <f>IF(K87="","N/A",Custom!X91)</f>
        <v>N/A</v>
      </c>
      <c r="M87" s="19" t="str">
        <f>IF(K87="","N/A",'Trad. Tax.'!X91)</f>
        <v>N/A</v>
      </c>
      <c r="N87" s="19" t="str">
        <f>IF(K87="","N/A",'Trad. PPLI'!X91)</f>
        <v>N/A</v>
      </c>
      <c r="O87" s="19" t="str">
        <f>IF(K87="","N/A",'Alts. Tax.'!X91)</f>
        <v>N/A</v>
      </c>
      <c r="P87" s="19" t="str">
        <f>IF(K87="","N/A",'Alts. PPLI'!X91)</f>
        <v>N/A</v>
      </c>
    </row>
    <row r="88" spans="1:16" x14ac:dyDescent="0.45">
      <c r="A88" s="1"/>
      <c r="B88" s="19" t="str">
        <f>IF(A88="","N/A",Custom!V92)</f>
        <v>N/A</v>
      </c>
      <c r="C88" s="19" t="str">
        <f>IF(A88="","N/A",'Trad. Tax.'!V92)</f>
        <v>N/A</v>
      </c>
      <c r="D88" s="19" t="str">
        <f>IF(A88="","N/A",'Trad. PPLI'!V92)</f>
        <v>N/A</v>
      </c>
      <c r="E88" s="19" t="str">
        <f>IF(A88="","N/A",'Alts. Tax.'!V92)</f>
        <v>N/A</v>
      </c>
      <c r="F88" s="19" t="str">
        <f>IF(A88="","N/A",'Alts. PPLI'!V92)</f>
        <v>N/A</v>
      </c>
      <c r="K88" s="1"/>
      <c r="L88" s="19" t="str">
        <f>IF(K88="","N/A",Custom!X92)</f>
        <v>N/A</v>
      </c>
      <c r="M88" s="19" t="str">
        <f>IF(K88="","N/A",'Trad. Tax.'!X92)</f>
        <v>N/A</v>
      </c>
      <c r="N88" s="19" t="str">
        <f>IF(K88="","N/A",'Trad. PPLI'!X92)</f>
        <v>N/A</v>
      </c>
      <c r="O88" s="19" t="str">
        <f>IF(K88="","N/A",'Alts. Tax.'!X92)</f>
        <v>N/A</v>
      </c>
      <c r="P88" s="19" t="str">
        <f>IF(K88="","N/A",'Alts. PPLI'!X92)</f>
        <v>N/A</v>
      </c>
    </row>
    <row r="89" spans="1:16" x14ac:dyDescent="0.45">
      <c r="A89" s="1"/>
      <c r="B89" s="19" t="str">
        <f>IF(A89="","N/A",Custom!V93)</f>
        <v>N/A</v>
      </c>
      <c r="C89" s="19" t="str">
        <f>IF(A89="","N/A",'Trad. Tax.'!V93)</f>
        <v>N/A</v>
      </c>
      <c r="D89" s="19" t="str">
        <f>IF(A89="","N/A",'Trad. PPLI'!V93)</f>
        <v>N/A</v>
      </c>
      <c r="E89" s="19" t="str">
        <f>IF(A89="","N/A",'Alts. Tax.'!V93)</f>
        <v>N/A</v>
      </c>
      <c r="F89" s="19" t="str">
        <f>IF(A89="","N/A",'Alts. PPLI'!V93)</f>
        <v>N/A</v>
      </c>
      <c r="K89" s="1"/>
      <c r="L89" s="19" t="str">
        <f>IF(K89="","N/A",Custom!X93)</f>
        <v>N/A</v>
      </c>
      <c r="M89" s="19" t="str">
        <f>IF(K89="","N/A",'Trad. Tax.'!X93)</f>
        <v>N/A</v>
      </c>
      <c r="N89" s="19" t="str">
        <f>IF(K89="","N/A",'Trad. PPLI'!X93)</f>
        <v>N/A</v>
      </c>
      <c r="O89" s="19" t="str">
        <f>IF(K89="","N/A",'Alts. Tax.'!X93)</f>
        <v>N/A</v>
      </c>
      <c r="P89" s="19" t="str">
        <f>IF(K89="","N/A",'Alts. PPLI'!X93)</f>
        <v>N/A</v>
      </c>
    </row>
    <row r="90" spans="1:16" x14ac:dyDescent="0.45">
      <c r="A90" s="1"/>
      <c r="B90" s="19" t="str">
        <f>IF(A90="","N/A",Custom!V94)</f>
        <v>N/A</v>
      </c>
      <c r="C90" s="19" t="str">
        <f>IF(A90="","N/A",'Trad. Tax.'!V94)</f>
        <v>N/A</v>
      </c>
      <c r="D90" s="19" t="str">
        <f>IF(A90="","N/A",'Trad. PPLI'!V94)</f>
        <v>N/A</v>
      </c>
      <c r="E90" s="19" t="str">
        <f>IF(A90="","N/A",'Alts. Tax.'!V94)</f>
        <v>N/A</v>
      </c>
      <c r="F90" s="19" t="str">
        <f>IF(A90="","N/A",'Alts. PPLI'!V94)</f>
        <v>N/A</v>
      </c>
      <c r="K90" s="1"/>
      <c r="L90" s="19" t="str">
        <f>IF(K90="","N/A",Custom!X94)</f>
        <v>N/A</v>
      </c>
      <c r="M90" s="19" t="str">
        <f>IF(K90="","N/A",'Trad. Tax.'!X94)</f>
        <v>N/A</v>
      </c>
      <c r="N90" s="19" t="str">
        <f>IF(K90="","N/A",'Trad. PPLI'!X94)</f>
        <v>N/A</v>
      </c>
      <c r="O90" s="19" t="str">
        <f>IF(K90="","N/A",'Alts. Tax.'!X94)</f>
        <v>N/A</v>
      </c>
      <c r="P90" s="19" t="str">
        <f>IF(K90="","N/A",'Alts. PPLI'!X94)</f>
        <v>N/A</v>
      </c>
    </row>
    <row r="91" spans="1:16" x14ac:dyDescent="0.45">
      <c r="A91" s="1"/>
      <c r="B91" s="19" t="str">
        <f>IF(A91="","N/A",Custom!V95)</f>
        <v>N/A</v>
      </c>
      <c r="C91" s="19" t="str">
        <f>IF(A91="","N/A",'Trad. Tax.'!V95)</f>
        <v>N/A</v>
      </c>
      <c r="D91" s="19" t="str">
        <f>IF(A91="","N/A",'Trad. PPLI'!V95)</f>
        <v>N/A</v>
      </c>
      <c r="E91" s="19" t="str">
        <f>IF(A91="","N/A",'Alts. Tax.'!V95)</f>
        <v>N/A</v>
      </c>
      <c r="F91" s="19" t="str">
        <f>IF(A91="","N/A",'Alts. PPLI'!V95)</f>
        <v>N/A</v>
      </c>
      <c r="K91" s="1"/>
      <c r="L91" s="19" t="str">
        <f>IF(K91="","N/A",Custom!X95)</f>
        <v>N/A</v>
      </c>
      <c r="M91" s="19" t="str">
        <f>IF(K91="","N/A",'Trad. Tax.'!X95)</f>
        <v>N/A</v>
      </c>
      <c r="N91" s="19" t="str">
        <f>IF(K91="","N/A",'Trad. PPLI'!X95)</f>
        <v>N/A</v>
      </c>
      <c r="O91" s="19" t="str">
        <f>IF(K91="","N/A",'Alts. Tax.'!X95)</f>
        <v>N/A</v>
      </c>
      <c r="P91" s="19" t="str">
        <f>IF(K91="","N/A",'Alts. PPLI'!X95)</f>
        <v>N/A</v>
      </c>
    </row>
    <row r="92" spans="1:16" x14ac:dyDescent="0.45">
      <c r="A92" s="1"/>
      <c r="B92" s="19" t="str">
        <f>IF(A92="","N/A",Custom!V96)</f>
        <v>N/A</v>
      </c>
      <c r="C92" s="19" t="str">
        <f>IF(A92="","N/A",'Trad. Tax.'!V96)</f>
        <v>N/A</v>
      </c>
      <c r="D92" s="19" t="str">
        <f>IF(A92="","N/A",'Trad. PPLI'!V96)</f>
        <v>N/A</v>
      </c>
      <c r="E92" s="19" t="str">
        <f>IF(A92="","N/A",'Alts. Tax.'!V96)</f>
        <v>N/A</v>
      </c>
      <c r="F92" s="19" t="str">
        <f>IF(A92="","N/A",'Alts. PPLI'!V96)</f>
        <v>N/A</v>
      </c>
      <c r="K92" s="1"/>
      <c r="L92" s="19" t="str">
        <f>IF(K92="","N/A",Custom!X96)</f>
        <v>N/A</v>
      </c>
      <c r="M92" s="19" t="str">
        <f>IF(K92="","N/A",'Trad. Tax.'!X96)</f>
        <v>N/A</v>
      </c>
      <c r="N92" s="19" t="str">
        <f>IF(K92="","N/A",'Trad. PPLI'!X96)</f>
        <v>N/A</v>
      </c>
      <c r="O92" s="19" t="str">
        <f>IF(K92="","N/A",'Alts. Tax.'!X96)</f>
        <v>N/A</v>
      </c>
      <c r="P92" s="19" t="str">
        <f>IF(K92="","N/A",'Alts. PPLI'!X96)</f>
        <v>N/A</v>
      </c>
    </row>
    <row r="93" spans="1:16" x14ac:dyDescent="0.45">
      <c r="A93" s="1"/>
      <c r="B93" s="19" t="str">
        <f>IF(A93="","N/A",Custom!V97)</f>
        <v>N/A</v>
      </c>
      <c r="C93" s="19" t="str">
        <f>IF(A93="","N/A",'Trad. Tax.'!V97)</f>
        <v>N/A</v>
      </c>
      <c r="D93" s="19" t="str">
        <f>IF(A93="","N/A",'Trad. PPLI'!V97)</f>
        <v>N/A</v>
      </c>
      <c r="E93" s="19" t="str">
        <f>IF(A93="","N/A",'Alts. Tax.'!V97)</f>
        <v>N/A</v>
      </c>
      <c r="F93" s="19" t="str">
        <f>IF(A93="","N/A",'Alts. PPLI'!V97)</f>
        <v>N/A</v>
      </c>
      <c r="K93" s="1"/>
      <c r="L93" s="19" t="str">
        <f>IF(K93="","N/A",Custom!X97)</f>
        <v>N/A</v>
      </c>
      <c r="M93" s="19" t="str">
        <f>IF(K93="","N/A",'Trad. Tax.'!X97)</f>
        <v>N/A</v>
      </c>
      <c r="N93" s="19" t="str">
        <f>IF(K93="","N/A",'Trad. PPLI'!X97)</f>
        <v>N/A</v>
      </c>
      <c r="O93" s="19" t="str">
        <f>IF(K93="","N/A",'Alts. Tax.'!X97)</f>
        <v>N/A</v>
      </c>
      <c r="P93" s="19" t="str">
        <f>IF(K93="","N/A",'Alts. PPLI'!X97)</f>
        <v>N/A</v>
      </c>
    </row>
    <row r="94" spans="1:16" x14ac:dyDescent="0.45">
      <c r="A94" s="1"/>
      <c r="B94" s="19" t="str">
        <f>IF(A94="","N/A",Custom!V98)</f>
        <v>N/A</v>
      </c>
      <c r="C94" s="19" t="str">
        <f>IF(A94="","N/A",'Trad. Tax.'!V98)</f>
        <v>N/A</v>
      </c>
      <c r="D94" s="19" t="str">
        <f>IF(A94="","N/A",'Trad. PPLI'!V98)</f>
        <v>N/A</v>
      </c>
      <c r="E94" s="19" t="str">
        <f>IF(A94="","N/A",'Alts. Tax.'!V98)</f>
        <v>N/A</v>
      </c>
      <c r="F94" s="19" t="str">
        <f>IF(A94="","N/A",'Alts. PPLI'!V98)</f>
        <v>N/A</v>
      </c>
      <c r="K94" s="1"/>
      <c r="L94" s="19" t="str">
        <f>IF(K94="","N/A",Custom!X98)</f>
        <v>N/A</v>
      </c>
      <c r="M94" s="19" t="str">
        <f>IF(K94="","N/A",'Trad. Tax.'!X98)</f>
        <v>N/A</v>
      </c>
      <c r="N94" s="19" t="str">
        <f>IF(K94="","N/A",'Trad. PPLI'!X98)</f>
        <v>N/A</v>
      </c>
      <c r="O94" s="19" t="str">
        <f>IF(K94="","N/A",'Alts. Tax.'!X98)</f>
        <v>N/A</v>
      </c>
      <c r="P94" s="19" t="str">
        <f>IF(K94="","N/A",'Alts. PPLI'!X98)</f>
        <v>N/A</v>
      </c>
    </row>
    <row r="95" spans="1:16" x14ac:dyDescent="0.45">
      <c r="A95" s="1"/>
      <c r="B95" s="19" t="str">
        <f>IF(A95="","N/A",Custom!V99)</f>
        <v>N/A</v>
      </c>
      <c r="C95" s="19" t="str">
        <f>IF(A95="","N/A",'Trad. Tax.'!V99)</f>
        <v>N/A</v>
      </c>
      <c r="D95" s="19" t="str">
        <f>IF(A95="","N/A",'Trad. PPLI'!V99)</f>
        <v>N/A</v>
      </c>
      <c r="E95" s="19" t="str">
        <f>IF(A95="","N/A",'Alts. Tax.'!V99)</f>
        <v>N/A</v>
      </c>
      <c r="F95" s="19" t="str">
        <f>IF(A95="","N/A",'Alts. PPLI'!V99)</f>
        <v>N/A</v>
      </c>
      <c r="K95" s="1"/>
      <c r="L95" s="19" t="str">
        <f>IF(K95="","N/A",Custom!X99)</f>
        <v>N/A</v>
      </c>
      <c r="M95" s="19" t="str">
        <f>IF(K95="","N/A",'Trad. Tax.'!X99)</f>
        <v>N/A</v>
      </c>
      <c r="N95" s="19" t="str">
        <f>IF(K95="","N/A",'Trad. PPLI'!X99)</f>
        <v>N/A</v>
      </c>
      <c r="O95" s="19" t="str">
        <f>IF(K95="","N/A",'Alts. Tax.'!X99)</f>
        <v>N/A</v>
      </c>
      <c r="P95" s="19" t="str">
        <f>IF(K95="","N/A",'Alts. PPLI'!X99)</f>
        <v>N/A</v>
      </c>
    </row>
    <row r="96" spans="1:16" x14ac:dyDescent="0.45">
      <c r="A96" s="1"/>
      <c r="B96" s="19" t="str">
        <f>IF(A96="","N/A",Custom!V100)</f>
        <v>N/A</v>
      </c>
      <c r="C96" s="19" t="str">
        <f>IF(A96="","N/A",'Trad. Tax.'!V100)</f>
        <v>N/A</v>
      </c>
      <c r="D96" s="19" t="str">
        <f>IF(A96="","N/A",'Trad. PPLI'!V100)</f>
        <v>N/A</v>
      </c>
      <c r="E96" s="19" t="str">
        <f>IF(A96="","N/A",'Alts. Tax.'!V100)</f>
        <v>N/A</v>
      </c>
      <c r="F96" s="19" t="str">
        <f>IF(A96="","N/A",'Alts. PPLI'!V100)</f>
        <v>N/A</v>
      </c>
      <c r="K96" s="1"/>
      <c r="L96" s="19" t="str">
        <f>IF(K96="","N/A",Custom!X100)</f>
        <v>N/A</v>
      </c>
      <c r="M96" s="19" t="str">
        <f>IF(K96="","N/A",'Trad. Tax.'!X100)</f>
        <v>N/A</v>
      </c>
      <c r="N96" s="19" t="str">
        <f>IF(K96="","N/A",'Trad. PPLI'!X100)</f>
        <v>N/A</v>
      </c>
      <c r="O96" s="19" t="str">
        <f>IF(K96="","N/A",'Alts. Tax.'!X100)</f>
        <v>N/A</v>
      </c>
      <c r="P96" s="19" t="str">
        <f>IF(K96="","N/A",'Alts. PPLI'!X100)</f>
        <v>N/A</v>
      </c>
    </row>
    <row r="97" spans="1:16" x14ac:dyDescent="0.45">
      <c r="A97" s="1"/>
      <c r="B97" s="19" t="str">
        <f>IF(A97="","N/A",Custom!V101)</f>
        <v>N/A</v>
      </c>
      <c r="C97" s="19" t="str">
        <f>IF(A97="","N/A",'Trad. Tax.'!V101)</f>
        <v>N/A</v>
      </c>
      <c r="D97" s="19" t="str">
        <f>IF(A97="","N/A",'Trad. PPLI'!V101)</f>
        <v>N/A</v>
      </c>
      <c r="E97" s="19" t="str">
        <f>IF(A97="","N/A",'Alts. Tax.'!V101)</f>
        <v>N/A</v>
      </c>
      <c r="F97" s="19" t="str">
        <f>IF(A97="","N/A",'Alts. PPLI'!V101)</f>
        <v>N/A</v>
      </c>
      <c r="K97" s="1"/>
      <c r="L97" s="19" t="str">
        <f>IF(K97="","N/A",Custom!X101)</f>
        <v>N/A</v>
      </c>
      <c r="M97" s="19" t="str">
        <f>IF(K97="","N/A",'Trad. Tax.'!X101)</f>
        <v>N/A</v>
      </c>
      <c r="N97" s="19" t="str">
        <f>IF(K97="","N/A",'Trad. PPLI'!X101)</f>
        <v>N/A</v>
      </c>
      <c r="O97" s="19" t="str">
        <f>IF(K97="","N/A",'Alts. Tax.'!X101)</f>
        <v>N/A</v>
      </c>
      <c r="P97" s="19" t="str">
        <f>IF(K97="","N/A",'Alts. PPLI'!X101)</f>
        <v>N/A</v>
      </c>
    </row>
    <row r="98" spans="1:16" x14ac:dyDescent="0.45">
      <c r="A98" s="1"/>
      <c r="B98" s="19" t="str">
        <f>IF(A98="","N/A",Custom!V102)</f>
        <v>N/A</v>
      </c>
      <c r="C98" s="19" t="str">
        <f>IF(A98="","N/A",'Trad. Tax.'!V102)</f>
        <v>N/A</v>
      </c>
      <c r="D98" s="19" t="str">
        <f>IF(A98="","N/A",'Trad. PPLI'!V102)</f>
        <v>N/A</v>
      </c>
      <c r="E98" s="19" t="str">
        <f>IF(A98="","N/A",'Alts. Tax.'!V102)</f>
        <v>N/A</v>
      </c>
      <c r="F98" s="19" t="str">
        <f>IF(A98="","N/A",'Alts. PPLI'!V102)</f>
        <v>N/A</v>
      </c>
      <c r="K98" s="1"/>
      <c r="L98" s="19" t="str">
        <f>IF(K98="","N/A",Custom!X102)</f>
        <v>N/A</v>
      </c>
      <c r="M98" s="19" t="str">
        <f>IF(K98="","N/A",'Trad. Tax.'!X102)</f>
        <v>N/A</v>
      </c>
      <c r="N98" s="19" t="str">
        <f>IF(K98="","N/A",'Trad. PPLI'!X102)</f>
        <v>N/A</v>
      </c>
      <c r="O98" s="19" t="str">
        <f>IF(K98="","N/A",'Alts. Tax.'!X102)</f>
        <v>N/A</v>
      </c>
      <c r="P98" s="19" t="str">
        <f>IF(K98="","N/A",'Alts. PPLI'!X102)</f>
        <v>N/A</v>
      </c>
    </row>
    <row r="99" spans="1:16" x14ac:dyDescent="0.45">
      <c r="A99" s="1"/>
      <c r="B99" s="19" t="str">
        <f>IF(A99="","N/A",Custom!V103)</f>
        <v>N/A</v>
      </c>
      <c r="C99" s="19" t="str">
        <f>IF(A99="","N/A",'Trad. Tax.'!V103)</f>
        <v>N/A</v>
      </c>
      <c r="D99" s="19" t="str">
        <f>IF(A99="","N/A",'Trad. PPLI'!V103)</f>
        <v>N/A</v>
      </c>
      <c r="E99" s="19" t="str">
        <f>IF(A99="","N/A",'Alts. Tax.'!V103)</f>
        <v>N/A</v>
      </c>
      <c r="F99" s="19" t="str">
        <f>IF(A99="","N/A",'Alts. PPLI'!V103)</f>
        <v>N/A</v>
      </c>
      <c r="K99" s="1"/>
      <c r="L99" s="19" t="str">
        <f>IF(K99="","N/A",Custom!X103)</f>
        <v>N/A</v>
      </c>
      <c r="M99" s="19" t="str">
        <f>IF(K99="","N/A",'Trad. Tax.'!X103)</f>
        <v>N/A</v>
      </c>
      <c r="N99" s="19" t="str">
        <f>IF(K99="","N/A",'Trad. PPLI'!X103)</f>
        <v>N/A</v>
      </c>
      <c r="O99" s="19" t="str">
        <f>IF(K99="","N/A",'Alts. Tax.'!X103)</f>
        <v>N/A</v>
      </c>
      <c r="P99" s="19" t="str">
        <f>IF(K99="","N/A",'Alts. PPLI'!X103)</f>
        <v>N/A</v>
      </c>
    </row>
    <row r="100" spans="1:16" x14ac:dyDescent="0.45">
      <c r="A100" s="1"/>
      <c r="B100" s="19" t="str">
        <f>IF(A100="","N/A",Custom!V104)</f>
        <v>N/A</v>
      </c>
      <c r="C100" s="19" t="str">
        <f>IF(A100="","N/A",'Trad. Tax.'!V104)</f>
        <v>N/A</v>
      </c>
      <c r="D100" s="19" t="str">
        <f>IF(A100="","N/A",'Trad. PPLI'!V104)</f>
        <v>N/A</v>
      </c>
      <c r="E100" s="19" t="str">
        <f>IF(A100="","N/A",'Alts. Tax.'!V104)</f>
        <v>N/A</v>
      </c>
      <c r="F100" s="19" t="str">
        <f>IF(A100="","N/A",'Alts. PPLI'!V104)</f>
        <v>N/A</v>
      </c>
      <c r="K100" s="1"/>
      <c r="L100" s="19" t="str">
        <f>IF(K100="","N/A",Custom!X104)</f>
        <v>N/A</v>
      </c>
      <c r="M100" s="19" t="str">
        <f>IF(K100="","N/A",'Trad. Tax.'!X104)</f>
        <v>N/A</v>
      </c>
      <c r="N100" s="19" t="str">
        <f>IF(K100="","N/A",'Trad. PPLI'!X104)</f>
        <v>N/A</v>
      </c>
      <c r="O100" s="19" t="str">
        <f>IF(K100="","N/A",'Alts. Tax.'!X104)</f>
        <v>N/A</v>
      </c>
      <c r="P100" s="19" t="str">
        <f>IF(K100="","N/A",'Alts. PPLI'!X104)</f>
        <v>N/A</v>
      </c>
    </row>
    <row r="101" spans="1:16" x14ac:dyDescent="0.45">
      <c r="A101" s="1"/>
      <c r="B101" s="19" t="str">
        <f>IF(A101="","N/A",Custom!V105)</f>
        <v>N/A</v>
      </c>
      <c r="C101" s="19" t="str">
        <f>IF(A101="","N/A",'Trad. Tax.'!V105)</f>
        <v>N/A</v>
      </c>
      <c r="D101" s="19" t="str">
        <f>IF(A101="","N/A",'Trad. PPLI'!V105)</f>
        <v>N/A</v>
      </c>
      <c r="E101" s="19" t="str">
        <f>IF(A101="","N/A",'Alts. Tax.'!V105)</f>
        <v>N/A</v>
      </c>
      <c r="F101" s="19" t="str">
        <f>IF(A101="","N/A",'Alts. PPLI'!V105)</f>
        <v>N/A</v>
      </c>
      <c r="K101" s="1"/>
      <c r="L101" s="19" t="str">
        <f>IF(K101="","N/A",Custom!X105)</f>
        <v>N/A</v>
      </c>
      <c r="M101" s="19" t="str">
        <f>IF(K101="","N/A",'Trad. Tax.'!X105)</f>
        <v>N/A</v>
      </c>
      <c r="N101" s="19" t="str">
        <f>IF(K101="","N/A",'Trad. PPLI'!X105)</f>
        <v>N/A</v>
      </c>
      <c r="O101" s="19" t="str">
        <f>IF(K101="","N/A",'Alts. Tax.'!X105)</f>
        <v>N/A</v>
      </c>
      <c r="P101" s="19" t="str">
        <f>IF(K101="","N/A",'Alts. PPLI'!X105)</f>
        <v>N/A</v>
      </c>
    </row>
    <row r="102" spans="1:16" x14ac:dyDescent="0.45">
      <c r="A102" s="1"/>
      <c r="B102" s="19" t="str">
        <f>IF(A102="","N/A",Custom!V106)</f>
        <v>N/A</v>
      </c>
      <c r="C102" s="19" t="str">
        <f>IF(A102="","N/A",'Trad. Tax.'!V106)</f>
        <v>N/A</v>
      </c>
      <c r="D102" s="19" t="str">
        <f>IF(A102="","N/A",'Trad. PPLI'!V106)</f>
        <v>N/A</v>
      </c>
      <c r="E102" s="19" t="str">
        <f>IF(A102="","N/A",'Alts. Tax.'!V106)</f>
        <v>N/A</v>
      </c>
      <c r="F102" s="19" t="str">
        <f>IF(A102="","N/A",'Alts. PPLI'!V106)</f>
        <v>N/A</v>
      </c>
      <c r="K102" s="1"/>
      <c r="L102" s="19" t="str">
        <f>IF(K102="","N/A",Custom!X106)</f>
        <v>N/A</v>
      </c>
      <c r="M102" s="19" t="str">
        <f>IF(K102="","N/A",'Trad. Tax.'!X106)</f>
        <v>N/A</v>
      </c>
      <c r="N102" s="19" t="str">
        <f>IF(K102="","N/A",'Trad. PPLI'!X106)</f>
        <v>N/A</v>
      </c>
      <c r="O102" s="19" t="str">
        <f>IF(K102="","N/A",'Alts. Tax.'!X106)</f>
        <v>N/A</v>
      </c>
      <c r="P102" s="19" t="str">
        <f>IF(K102="","N/A",'Alts. PPLI'!X106)</f>
        <v>N/A</v>
      </c>
    </row>
    <row r="103" spans="1:16" x14ac:dyDescent="0.45">
      <c r="A103" s="1"/>
      <c r="B103" s="19" t="str">
        <f>IF(A103="","N/A",Custom!V107)</f>
        <v>N/A</v>
      </c>
      <c r="C103" s="19" t="str">
        <f>IF(A103="","N/A",'Trad. Tax.'!V107)</f>
        <v>N/A</v>
      </c>
      <c r="D103" s="19" t="str">
        <f>IF(A103="","N/A",'Trad. PPLI'!V107)</f>
        <v>N/A</v>
      </c>
      <c r="E103" s="19" t="str">
        <f>IF(A103="","N/A",'Alts. Tax.'!V107)</f>
        <v>N/A</v>
      </c>
      <c r="F103" s="19" t="str">
        <f>IF(A103="","N/A",'Alts. PPLI'!V107)</f>
        <v>N/A</v>
      </c>
      <c r="K103" s="1"/>
      <c r="L103" s="19" t="str">
        <f>IF(K103="","N/A",Custom!X107)</f>
        <v>N/A</v>
      </c>
      <c r="M103" s="19" t="str">
        <f>IF(K103="","N/A",'Trad. Tax.'!X107)</f>
        <v>N/A</v>
      </c>
      <c r="N103" s="19" t="str">
        <f>IF(K103="","N/A",'Trad. PPLI'!X107)</f>
        <v>N/A</v>
      </c>
      <c r="O103" s="19" t="str">
        <f>IF(K103="","N/A",'Alts. Tax.'!X107)</f>
        <v>N/A</v>
      </c>
      <c r="P103" s="19" t="str">
        <f>IF(K103="","N/A",'Alts. PPLI'!X107)</f>
        <v>N/A</v>
      </c>
    </row>
    <row r="104" spans="1:16" x14ac:dyDescent="0.45">
      <c r="A104" s="1"/>
      <c r="B104" s="19" t="str">
        <f>IF(A104="","N/A",Custom!V108)</f>
        <v>N/A</v>
      </c>
      <c r="C104" s="19" t="str">
        <f>IF(A104="","N/A",'Trad. Tax.'!V108)</f>
        <v>N/A</v>
      </c>
      <c r="D104" s="19" t="str">
        <f>IF(A104="","N/A",'Trad. PPLI'!V108)</f>
        <v>N/A</v>
      </c>
      <c r="E104" s="19" t="str">
        <f>IF(A104="","N/A",'Alts. Tax.'!V108)</f>
        <v>N/A</v>
      </c>
      <c r="F104" s="19" t="str">
        <f>IF(A104="","N/A",'Alts. PPLI'!V108)</f>
        <v>N/A</v>
      </c>
      <c r="K104" s="1"/>
      <c r="L104" s="19" t="str">
        <f>IF(K104="","N/A",Custom!X108)</f>
        <v>N/A</v>
      </c>
      <c r="M104" s="19" t="str">
        <f>IF(K104="","N/A",'Trad. Tax.'!X108)</f>
        <v>N/A</v>
      </c>
      <c r="N104" s="19" t="str">
        <f>IF(K104="","N/A",'Trad. PPLI'!X108)</f>
        <v>N/A</v>
      </c>
      <c r="O104" s="19" t="str">
        <f>IF(K104="","N/A",'Alts. Tax.'!X108)</f>
        <v>N/A</v>
      </c>
      <c r="P104" s="19" t="str">
        <f>IF(K104="","N/A",'Alts. PPLI'!X108)</f>
        <v>N/A</v>
      </c>
    </row>
    <row r="105" spans="1:16" x14ac:dyDescent="0.45">
      <c r="A105" s="1"/>
      <c r="B105" s="19" t="str">
        <f>IF(A105="","N/A",Custom!V109)</f>
        <v>N/A</v>
      </c>
      <c r="C105" s="19" t="str">
        <f>IF(A105="","N/A",'Trad. Tax.'!V109)</f>
        <v>N/A</v>
      </c>
      <c r="D105" s="19" t="str">
        <f>IF(A105="","N/A",'Trad. PPLI'!V109)</f>
        <v>N/A</v>
      </c>
      <c r="E105" s="19" t="str">
        <f>IF(A105="","N/A",'Alts. Tax.'!V109)</f>
        <v>N/A</v>
      </c>
      <c r="F105" s="19" t="str">
        <f>IF(A105="","N/A",'Alts. PPLI'!V109)</f>
        <v>N/A</v>
      </c>
      <c r="K105" s="1"/>
      <c r="L105" s="19" t="str">
        <f>IF(K105="","N/A",Custom!X109)</f>
        <v>N/A</v>
      </c>
      <c r="M105" s="19" t="str">
        <f>IF(K105="","N/A",'Trad. Tax.'!X109)</f>
        <v>N/A</v>
      </c>
      <c r="N105" s="19" t="str">
        <f>IF(K105="","N/A",'Trad. PPLI'!X109)</f>
        <v>N/A</v>
      </c>
      <c r="O105" s="19" t="str">
        <f>IF(K105="","N/A",'Alts. Tax.'!X109)</f>
        <v>N/A</v>
      </c>
      <c r="P105" s="19" t="str">
        <f>IF(K105="","N/A",'Alts. PPLI'!X109)</f>
        <v>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D68-3574-4B3D-935C-0784400CD5E5}">
  <sheetPr>
    <tabColor theme="0" tint="-0.499984740745262"/>
  </sheetPr>
  <dimension ref="A1:P14"/>
  <sheetViews>
    <sheetView workbookViewId="0">
      <selection activeCell="A2" sqref="A2"/>
    </sheetView>
  </sheetViews>
  <sheetFormatPr defaultRowHeight="14.25" x14ac:dyDescent="0.45"/>
  <cols>
    <col min="1" max="1" width="10.59765625" bestFit="1" customWidth="1"/>
    <col min="3" max="3" width="29.1328125" bestFit="1" customWidth="1"/>
    <col min="4" max="4" width="13.3984375" bestFit="1" customWidth="1"/>
    <col min="5" max="5" width="13.3984375" customWidth="1"/>
    <col min="9" max="9" width="27.796875" bestFit="1" customWidth="1"/>
    <col min="10" max="12" width="19.19921875" customWidth="1"/>
  </cols>
  <sheetData>
    <row r="1" spans="1:16" x14ac:dyDescent="0.45">
      <c r="A1" t="s">
        <v>76</v>
      </c>
    </row>
    <row r="2" spans="1:16" x14ac:dyDescent="0.45">
      <c r="A2">
        <f>Page!C4</f>
        <v>20</v>
      </c>
      <c r="C2" s="34" t="s">
        <v>45</v>
      </c>
      <c r="D2" s="8">
        <f>Page!H5</f>
        <v>29316020.640000787</v>
      </c>
      <c r="E2" s="10">
        <f>Page!H14</f>
        <v>5.5249732996052181E-2</v>
      </c>
      <c r="F2">
        <f>_xlfn.RANK.EQ(D2,$D$2:$D$6,0)</f>
        <v>2</v>
      </c>
      <c r="G2" t="str">
        <f>_xlfn.XLOOKUP(F2,$O$2:$O$6,$P$2:$P$6)</f>
        <v>2nd</v>
      </c>
      <c r="I2" t="str" cm="1">
        <f t="array" ref="I2:M6">_xlfn._xlws.SORT(C2:G6,2,-1)</f>
        <v>Alternatives Enhanced (PPLI)</v>
      </c>
      <c r="J2" s="8">
        <v>29906035.297179252</v>
      </c>
      <c r="K2" s="9">
        <v>5.6301610832222737E-2</v>
      </c>
      <c r="L2">
        <v>1</v>
      </c>
      <c r="M2" t="str">
        <v>1st</v>
      </c>
      <c r="O2">
        <v>1</v>
      </c>
      <c r="P2" t="s">
        <v>68</v>
      </c>
    </row>
    <row r="3" spans="1:16" x14ac:dyDescent="0.45">
      <c r="C3" s="34" t="s">
        <v>48</v>
      </c>
      <c r="D3" s="8">
        <f>Page!K5</f>
        <v>26762916.37087629</v>
      </c>
      <c r="E3" s="10">
        <f>Page!K14</f>
        <v>5.0453111597547506E-2</v>
      </c>
      <c r="F3">
        <f t="shared" ref="F3:F6" si="0">_xlfn.RANK.EQ(D3,$D$2:$D$6,0)</f>
        <v>5</v>
      </c>
      <c r="G3" t="str">
        <f>_xlfn.XLOOKUP(F3,$O$2:$O$6,$P$2:$P$6)</f>
        <v>5th</v>
      </c>
      <c r="I3" t="str">
        <v>Custom</v>
      </c>
      <c r="J3" s="8">
        <v>29316020.640000787</v>
      </c>
      <c r="K3" s="9">
        <v>5.5249732996052181E-2</v>
      </c>
      <c r="L3">
        <v>2</v>
      </c>
      <c r="M3" t="str">
        <v>2nd</v>
      </c>
      <c r="O3">
        <v>2</v>
      </c>
      <c r="P3" t="s">
        <v>69</v>
      </c>
    </row>
    <row r="4" spans="1:16" x14ac:dyDescent="0.45">
      <c r="C4" s="34" t="s">
        <v>49</v>
      </c>
      <c r="D4" s="8">
        <f>Page!N5</f>
        <v>28437125.636857893</v>
      </c>
      <c r="E4" s="10">
        <f>Page!N14</f>
        <v>5.3644937539511162E-2</v>
      </c>
      <c r="F4">
        <f t="shared" si="0"/>
        <v>3</v>
      </c>
      <c r="G4" t="str">
        <f>_xlfn.XLOOKUP(F4,$O$2:$O$6,$P$2:$P$6)</f>
        <v>3rd</v>
      </c>
      <c r="I4" t="str">
        <v>Traditional (PPLI)</v>
      </c>
      <c r="J4" s="8">
        <v>28437125.636857893</v>
      </c>
      <c r="K4" s="9">
        <v>5.3644937539511162E-2</v>
      </c>
      <c r="L4">
        <v>3</v>
      </c>
      <c r="M4" t="str">
        <v>3rd</v>
      </c>
      <c r="O4">
        <v>3</v>
      </c>
      <c r="P4" t="s">
        <v>70</v>
      </c>
    </row>
    <row r="5" spans="1:16" x14ac:dyDescent="0.45">
      <c r="C5" s="34" t="s">
        <v>46</v>
      </c>
      <c r="D5" s="8">
        <f>Page!Q5</f>
        <v>27153621.883681335</v>
      </c>
      <c r="E5" s="10">
        <f>Page!Q14</f>
        <v>5.1214610322372733E-2</v>
      </c>
      <c r="F5">
        <f t="shared" si="0"/>
        <v>4</v>
      </c>
      <c r="G5" t="str">
        <f>_xlfn.XLOOKUP(F5,$O$2:$O$6,$P$2:$P$6)</f>
        <v>4th</v>
      </c>
      <c r="I5" t="str">
        <v>Alternatives Enhanced (Taxable)</v>
      </c>
      <c r="J5" s="8">
        <v>27153621.883681335</v>
      </c>
      <c r="K5" s="9">
        <v>5.1214610322372733E-2</v>
      </c>
      <c r="L5">
        <v>4</v>
      </c>
      <c r="M5" t="str">
        <v>4th</v>
      </c>
      <c r="O5">
        <v>4</v>
      </c>
      <c r="P5" t="s">
        <v>71</v>
      </c>
    </row>
    <row r="6" spans="1:16" x14ac:dyDescent="0.45">
      <c r="C6" s="34" t="s">
        <v>47</v>
      </c>
      <c r="D6" s="8">
        <f>Page!T5</f>
        <v>29906035.297179252</v>
      </c>
      <c r="E6" s="10">
        <f>Page!T14</f>
        <v>5.6301610832222737E-2</v>
      </c>
      <c r="F6">
        <f t="shared" si="0"/>
        <v>1</v>
      </c>
      <c r="G6" t="str">
        <f>_xlfn.XLOOKUP(F6,$O$2:$O$6,$P$2:$P$6)</f>
        <v>1st</v>
      </c>
      <c r="I6" t="str">
        <v>Traditional (Taxable)</v>
      </c>
      <c r="J6" s="8">
        <v>26762916.37087629</v>
      </c>
      <c r="K6" s="9">
        <v>5.0453111597547506E-2</v>
      </c>
      <c r="L6">
        <v>5</v>
      </c>
      <c r="M6" t="str">
        <v>5th</v>
      </c>
      <c r="O6">
        <v>5</v>
      </c>
      <c r="P6" t="s">
        <v>72</v>
      </c>
    </row>
    <row r="9" spans="1:16" x14ac:dyDescent="0.45">
      <c r="A9" t="s">
        <v>77</v>
      </c>
    </row>
    <row r="10" spans="1:16" x14ac:dyDescent="0.45">
      <c r="A10">
        <f>A2</f>
        <v>20</v>
      </c>
      <c r="C10" s="34" t="s">
        <v>45</v>
      </c>
      <c r="D10" s="8">
        <f>Page!W5</f>
        <v>28633744.428939655</v>
      </c>
      <c r="E10" s="10">
        <f>Page!W14</f>
        <v>5.4008000000000056E-2</v>
      </c>
      <c r="F10">
        <f>_xlfn.RANK.EQ(D10,$D$10:$D$14,0)</f>
        <v>1</v>
      </c>
      <c r="G10" t="str">
        <f>_xlfn.XLOOKUP(F10,$O$2:$O$6,$P$2:$P$6)</f>
        <v>1st</v>
      </c>
      <c r="I10" t="str" cm="1">
        <f t="array" ref="I10:M14">_xlfn._xlws.SORT(C10:G14,2,-1)</f>
        <v>Custom</v>
      </c>
      <c r="J10" s="8">
        <v>28633744.428939655</v>
      </c>
      <c r="K10" s="9">
        <v>5.4008000000000056E-2</v>
      </c>
      <c r="L10">
        <v>1</v>
      </c>
      <c r="M10" t="str">
        <v>1st</v>
      </c>
      <c r="O10">
        <v>1</v>
      </c>
      <c r="P10" t="s">
        <v>68</v>
      </c>
    </row>
    <row r="11" spans="1:16" x14ac:dyDescent="0.45">
      <c r="C11" s="34" t="s">
        <v>48</v>
      </c>
      <c r="D11" s="8">
        <f>Page!Z5</f>
        <v>25743808.897071782</v>
      </c>
      <c r="E11" s="10">
        <f>Page!Z14</f>
        <v>4.8416000000000015E-2</v>
      </c>
      <c r="F11">
        <f t="shared" ref="F11:F14" si="1">_xlfn.RANK.EQ(D11,$D$10:$D$14,0)</f>
        <v>5</v>
      </c>
      <c r="G11" t="str">
        <f>_xlfn.XLOOKUP(F11,$O$2:$O$6,$P$2:$P$6)</f>
        <v>5th</v>
      </c>
      <c r="I11" t="str">
        <v>Alternatives Enhanced (PPLI)</v>
      </c>
      <c r="J11" s="8">
        <v>28484590.130358048</v>
      </c>
      <c r="K11" s="9">
        <v>5.3732799999999914E-2</v>
      </c>
      <c r="L11">
        <v>2</v>
      </c>
      <c r="M11" t="str">
        <v>2nd</v>
      </c>
      <c r="O11">
        <v>2</v>
      </c>
      <c r="P11" t="s">
        <v>69</v>
      </c>
    </row>
    <row r="12" spans="1:16" x14ac:dyDescent="0.45">
      <c r="C12" s="34" t="s">
        <v>49</v>
      </c>
      <c r="D12" s="8">
        <f>Page!AC5</f>
        <v>27214745.614786897</v>
      </c>
      <c r="E12" s="10">
        <f>Page!AC14</f>
        <v>5.1332799999999956E-2</v>
      </c>
      <c r="F12">
        <f t="shared" si="1"/>
        <v>3</v>
      </c>
      <c r="G12" t="str">
        <f>_xlfn.XLOOKUP(F12,$O$2:$O$6,$P$2:$P$6)</f>
        <v>3rd</v>
      </c>
      <c r="I12" t="str">
        <v>Traditional (PPLI)</v>
      </c>
      <c r="J12" s="8">
        <v>27214745.614786897</v>
      </c>
      <c r="K12" s="9">
        <v>5.1332799999999956E-2</v>
      </c>
      <c r="L12">
        <v>3</v>
      </c>
      <c r="M12" t="str">
        <v>3rd</v>
      </c>
      <c r="O12">
        <v>3</v>
      </c>
      <c r="P12" t="s">
        <v>70</v>
      </c>
    </row>
    <row r="13" spans="1:16" x14ac:dyDescent="0.45">
      <c r="C13" s="34" t="s">
        <v>46</v>
      </c>
      <c r="D13" s="8">
        <f>Page!AF5</f>
        <v>26313895.198113486</v>
      </c>
      <c r="E13" s="10">
        <f>Page!AF14</f>
        <v>4.9564799999999964E-2</v>
      </c>
      <c r="F13">
        <f t="shared" si="1"/>
        <v>4</v>
      </c>
      <c r="G13" t="str">
        <f>_xlfn.XLOOKUP(F13,$O$2:$O$6,$P$2:$P$6)</f>
        <v>4th</v>
      </c>
      <c r="I13" t="str">
        <v>Alternatives Enhanced (Taxable)</v>
      </c>
      <c r="J13" s="8">
        <v>26313895.198113486</v>
      </c>
      <c r="K13" s="9">
        <v>4.9564799999999964E-2</v>
      </c>
      <c r="L13">
        <v>4</v>
      </c>
      <c r="M13" t="str">
        <v>4th</v>
      </c>
      <c r="O13">
        <v>4</v>
      </c>
      <c r="P13" t="s">
        <v>71</v>
      </c>
    </row>
    <row r="14" spans="1:16" x14ac:dyDescent="0.45">
      <c r="C14" s="34" t="s">
        <v>47</v>
      </c>
      <c r="D14" s="8">
        <f>Page!AI5</f>
        <v>28484590.130358048</v>
      </c>
      <c r="E14" s="10">
        <f>Page!AI14</f>
        <v>5.3732799999999914E-2</v>
      </c>
      <c r="F14">
        <f t="shared" si="1"/>
        <v>2</v>
      </c>
      <c r="G14" t="str">
        <f>_xlfn.XLOOKUP(F14,$O$2:$O$6,$P$2:$P$6)</f>
        <v>2nd</v>
      </c>
      <c r="I14" t="str">
        <v>Traditional (Taxable)</v>
      </c>
      <c r="J14" s="8">
        <v>25743808.897071782</v>
      </c>
      <c r="K14" s="9">
        <v>4.8416000000000015E-2</v>
      </c>
      <c r="L14">
        <v>5</v>
      </c>
      <c r="M14" t="str">
        <v>5th</v>
      </c>
      <c r="O14">
        <v>5</v>
      </c>
      <c r="P14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6D55-03B6-4453-A589-024B67973175}">
  <sheetPr>
    <tabColor theme="3" tint="9.9978637043366805E-2"/>
  </sheetPr>
  <dimension ref="A1"/>
  <sheetViews>
    <sheetView workbookViewId="0">
      <selection activeCell="G34" sqref="G34"/>
    </sheetView>
  </sheetViews>
  <sheetFormatPr defaultRowHeight="14.25" x14ac:dyDescent="0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B55-86D5-496D-9C0C-1DB47AC6FC25}">
  <sheetPr>
    <tabColor theme="3" tint="0.249977111117893"/>
  </sheetPr>
  <dimension ref="B1:AP109"/>
  <sheetViews>
    <sheetView workbookViewId="0">
      <selection activeCell="C16" sqref="C16"/>
    </sheetView>
  </sheetViews>
  <sheetFormatPr defaultRowHeight="14.25" x14ac:dyDescent="0.45"/>
  <cols>
    <col min="1" max="1" width="0.9296875" customWidth="1"/>
    <col min="2" max="2" width="23.132812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Page!C3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Page!C4</f>
        <v>20</v>
      </c>
      <c r="H3" s="1" t="s">
        <v>12</v>
      </c>
      <c r="I3" s="10">
        <f>$D$7*(1-$E$7)</f>
        <v>0.7</v>
      </c>
      <c r="J3" s="10">
        <f>$D$7*(1-$E$7)</f>
        <v>0.7</v>
      </c>
      <c r="K3" s="10">
        <f>$D$7*$E$7</f>
        <v>0</v>
      </c>
      <c r="L3" s="10">
        <f>$D$7*$E$7</f>
        <v>0</v>
      </c>
      <c r="M3" s="10">
        <f>$D$8*(1-$E$8)</f>
        <v>0.2</v>
      </c>
      <c r="N3" s="10">
        <f>$D$8*(1-$E$8)</f>
        <v>0.2</v>
      </c>
      <c r="O3" s="10">
        <f>$D$8*$E$8</f>
        <v>0</v>
      </c>
      <c r="P3" s="10">
        <f>$D$8*$E$8</f>
        <v>0</v>
      </c>
      <c r="Q3" s="10">
        <f>$D$9*(1-$E$9)</f>
        <v>0.1</v>
      </c>
      <c r="R3" s="10">
        <f>$D$9*(1-$E$9)</f>
        <v>0.1</v>
      </c>
      <c r="S3" s="10">
        <f>$D$9*$E$9</f>
        <v>0</v>
      </c>
      <c r="T3" s="10">
        <f>$D$9*$E$9</f>
        <v>0</v>
      </c>
      <c r="V3" s="10"/>
      <c r="W3" s="10">
        <f>SUM(I3,K3,M3,O3,Q3,S3)</f>
        <v>0.99999999999999989</v>
      </c>
      <c r="X3" s="10">
        <f>SUM(J3,L3,N3,P3,R3,T3)</f>
        <v>0.99999999999999989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7.400000000000001E-2</v>
      </c>
      <c r="X4" s="10">
        <f>SUMPRODUCT(I3:T3,I4:T4)/2</f>
        <v>7.400000000000001E-2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23">
        <v>0</v>
      </c>
      <c r="J5" s="10">
        <f>$C$7*($C$15+$C$16)</f>
        <v>1.9040000000000001E-2</v>
      </c>
      <c r="K5" s="23">
        <v>0</v>
      </c>
      <c r="L5" s="10">
        <f>$C$11</f>
        <v>5.0000000000000001E-3</v>
      </c>
      <c r="M5" s="23">
        <v>0</v>
      </c>
      <c r="N5" s="10">
        <f>$C$8*($C$14+$C$16)</f>
        <v>2.0400000000000001E-2</v>
      </c>
      <c r="O5" s="23">
        <v>0</v>
      </c>
      <c r="P5" s="10">
        <f>$C$11</f>
        <v>5.0000000000000001E-3</v>
      </c>
      <c r="Q5" s="23">
        <v>0</v>
      </c>
      <c r="R5" s="10">
        <f>(50%*$C$9*($C$14+$C$16))+(50%*$C$9*($C$15+$C$16))</f>
        <v>2.5839999999999998E-2</v>
      </c>
      <c r="S5" s="23">
        <v>0</v>
      </c>
      <c r="T5" s="10">
        <f>$C$11</f>
        <v>5.0000000000000001E-3</v>
      </c>
      <c r="V5" s="10"/>
      <c r="W5" s="23">
        <v>0</v>
      </c>
      <c r="X5" s="10">
        <f>SUMPRODUCT(J3:T3,J5:T5)</f>
        <v>1.9991999999999999E-2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Page!C12</f>
        <v>0.08</v>
      </c>
      <c r="D7" s="4">
        <f>Page!C7</f>
        <v>0.7</v>
      </c>
      <c r="E7" s="4">
        <f>Page!C22</f>
        <v>0</v>
      </c>
      <c r="U7" s="83" t="s">
        <v>76</v>
      </c>
      <c r="V7" s="83" t="s">
        <v>76</v>
      </c>
      <c r="W7" s="84" t="s">
        <v>77</v>
      </c>
      <c r="X7" s="84" t="s">
        <v>77</v>
      </c>
      <c r="Y7" s="83" t="s">
        <v>76</v>
      </c>
      <c r="Z7" s="83" t="s">
        <v>76</v>
      </c>
      <c r="AA7" s="83" t="s">
        <v>76</v>
      </c>
      <c r="AB7" s="84" t="s">
        <v>77</v>
      </c>
      <c r="AC7" s="84" t="s">
        <v>77</v>
      </c>
      <c r="AD7" s="84" t="s">
        <v>77</v>
      </c>
      <c r="AE7" s="83" t="s">
        <v>76</v>
      </c>
      <c r="AF7" s="83" t="s">
        <v>76</v>
      </c>
      <c r="AG7" s="83" t="s">
        <v>76</v>
      </c>
      <c r="AH7" s="84" t="s">
        <v>77</v>
      </c>
      <c r="AI7" s="84" t="s">
        <v>77</v>
      </c>
      <c r="AJ7" s="84" t="s">
        <v>77</v>
      </c>
      <c r="AK7" s="83" t="s">
        <v>76</v>
      </c>
      <c r="AL7" s="83" t="s">
        <v>76</v>
      </c>
      <c r="AM7" s="83" t="s">
        <v>76</v>
      </c>
      <c r="AN7" s="84" t="s">
        <v>77</v>
      </c>
      <c r="AO7" s="84" t="s">
        <v>77</v>
      </c>
      <c r="AP7" s="84" t="s">
        <v>77</v>
      </c>
    </row>
    <row r="8" spans="2:42" x14ac:dyDescent="0.45">
      <c r="B8" t="s">
        <v>1</v>
      </c>
      <c r="C8" s="4">
        <f>Page!C13</f>
        <v>0.05</v>
      </c>
      <c r="D8" s="4">
        <f>Page!C8</f>
        <v>0.2</v>
      </c>
      <c r="E8" s="4">
        <f>Page!C23</f>
        <v>0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Page!C14</f>
        <v>0.08</v>
      </c>
      <c r="D9" s="4">
        <f>Page!C9</f>
        <v>0.1</v>
      </c>
      <c r="E9" s="4">
        <f>Page!C24</f>
        <v>0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7560000.0000000009</v>
      </c>
      <c r="J10" s="7">
        <f t="shared" si="1"/>
        <v>7426719.9999999991</v>
      </c>
      <c r="K10" s="7">
        <f t="shared" si="1"/>
        <v>0</v>
      </c>
      <c r="L10" s="7">
        <f t="shared" si="1"/>
        <v>0</v>
      </c>
      <c r="M10" s="7">
        <f t="shared" si="1"/>
        <v>2100000</v>
      </c>
      <c r="N10" s="7">
        <f t="shared" si="1"/>
        <v>2059200.0000000002</v>
      </c>
      <c r="O10" s="7">
        <f t="shared" si="1"/>
        <v>0</v>
      </c>
      <c r="P10" s="7">
        <f t="shared" si="1"/>
        <v>0</v>
      </c>
      <c r="Q10" s="7">
        <f t="shared" si="1"/>
        <v>1080000</v>
      </c>
      <c r="R10" s="7">
        <f t="shared" si="1"/>
        <v>1054160</v>
      </c>
      <c r="S10" s="7">
        <f t="shared" si="1"/>
        <v>0</v>
      </c>
      <c r="T10" s="7">
        <f t="shared" si="1"/>
        <v>0</v>
      </c>
      <c r="U10" s="8">
        <f>IF(G10="","",SUM(I10,K10,M10,O10,Q10,S10))</f>
        <v>10740000</v>
      </c>
      <c r="V10" s="8">
        <f>IF(H10="","",SUM(J10,L10,N10,P10,R10,T10))</f>
        <v>10540080</v>
      </c>
      <c r="W10" s="7">
        <f t="shared" ref="W10:X25" si="2">IF($G10="","",IF($G10=1,(($C$2+$H10)*W$3)*(1+(W$4-W$5)),((W9+($H10*W$3))*(1+(W$4-W$5)))))</f>
        <v>10739999.999999998</v>
      </c>
      <c r="X10" s="7">
        <f t="shared" si="2"/>
        <v>10540079.999999998</v>
      </c>
      <c r="Y10" s="10">
        <f t="shared" ref="Y10:Y73" si="3">IF($G10="","",IF($G10=1,(U10-$C$2-H10)/($C$2+H10),(U10-U9-H10)/(U9+H10)))</f>
        <v>7.3999999999999996E-2</v>
      </c>
      <c r="Z10" s="10">
        <f>IF($G10="","",IF($G10=1,(V10-$C$2-H10)/($C$2+H10),(V10-V9-H10)/(V9+H10)))</f>
        <v>5.4008E-2</v>
      </c>
      <c r="AA10" s="10">
        <f>IF($G10="","",Z10-Y10)</f>
        <v>-1.9991999999999996E-2</v>
      </c>
      <c r="AB10" s="10">
        <f>IF($G10="","",IF($G10=1,(W10-$C$2-H10)/($C$2+H10),(W10-W9-H10)/(W9+H10)))</f>
        <v>7.3999999999999816E-2</v>
      </c>
      <c r="AC10" s="10">
        <f>IF($G10="","",IF($G10=1,(X10-$C$2-H10)/($C$2+H10),(X10-X9-H10)/(X9+H10)))</f>
        <v>5.4007999999999813E-2</v>
      </c>
      <c r="AD10" s="10">
        <f>IF($G10="","",AC10-AB10)</f>
        <v>-1.9992000000000003E-2</v>
      </c>
      <c r="AE10" s="10">
        <f t="shared" ref="AE10:AE41" si="4">IF($G10="","",IF($G10=1,Y10,(1+Y10)*(1+AE9)-1))</f>
        <v>7.3999999999999996E-2</v>
      </c>
      <c r="AF10" s="10">
        <f t="shared" ref="AF10:AF41" si="5">IF($G10="","",IF($G10=1,Z10,(1+Z10)*(1+AF9)-1))</f>
        <v>5.4008E-2</v>
      </c>
      <c r="AG10" s="10">
        <f>IF($G10="","",AF10-AE10)</f>
        <v>-1.9991999999999996E-2</v>
      </c>
      <c r="AH10" s="10">
        <f t="shared" ref="AH10:AH73" si="6">IF($G10="","",IF($G10=1,AB10,(1+AB10)*(1+AH9)-1))</f>
        <v>7.3999999999999816E-2</v>
      </c>
      <c r="AI10" s="10">
        <f t="shared" ref="AI10:AI73" si="7">IF($G10="","",IF($G10=1,AC10,(1+AC10)*(1+AI9)-1))</f>
        <v>5.4007999999999813E-2</v>
      </c>
      <c r="AJ10" s="10">
        <f>IF($G10="","",AI10-AH10)</f>
        <v>-1.9992000000000003E-2</v>
      </c>
      <c r="AK10" s="10">
        <f t="shared" ref="AK10:AK41" si="8">IF($G10="","",(1+AE10)^(1/G10)-1)</f>
        <v>7.4000000000000066E-2</v>
      </c>
      <c r="AL10" s="10">
        <f>IF($G10="","",(1+AF10)^(1/G10)-1)</f>
        <v>5.4008000000000056E-2</v>
      </c>
      <c r="AM10" s="10">
        <f>IF($G10="","",AL10-AK10)</f>
        <v>-1.999200000000001E-2</v>
      </c>
      <c r="AN10" s="10">
        <f>IF($G10="","",(1+AH10)^(1/G10)-1)</f>
        <v>7.3999999999999844E-2</v>
      </c>
      <c r="AO10" s="10">
        <f>IF($G10="","",(1+AI10)^(1/G10)-1)</f>
        <v>5.4007999999999834E-2</v>
      </c>
      <c r="AP10" s="10">
        <f>IF($G10="","",AO10-AN10)</f>
        <v>-1.999200000000001E-2</v>
      </c>
    </row>
    <row r="11" spans="2:42" x14ac:dyDescent="0.45">
      <c r="B11" t="s">
        <v>5</v>
      </c>
      <c r="C11" s="4">
        <f>Page!C27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8164800.0000000019</v>
      </c>
      <c r="J11" s="7">
        <f t="shared" si="1"/>
        <v>7879452.8511999985</v>
      </c>
      <c r="K11" s="7">
        <f t="shared" si="1"/>
        <v>0</v>
      </c>
      <c r="L11" s="7">
        <f t="shared" si="1"/>
        <v>0</v>
      </c>
      <c r="M11" s="7">
        <f t="shared" si="1"/>
        <v>2205000</v>
      </c>
      <c r="N11" s="7">
        <f t="shared" si="1"/>
        <v>2120152.3200000003</v>
      </c>
      <c r="O11" s="7">
        <f t="shared" si="1"/>
        <v>0</v>
      </c>
      <c r="P11" s="7">
        <f t="shared" si="1"/>
        <v>0</v>
      </c>
      <c r="Q11" s="7">
        <f t="shared" si="1"/>
        <v>1166400</v>
      </c>
      <c r="R11" s="7">
        <f t="shared" si="1"/>
        <v>1111253.3056000001</v>
      </c>
      <c r="S11" s="7">
        <f t="shared" si="1"/>
        <v>0</v>
      </c>
      <c r="T11" s="7">
        <f t="shared" si="1"/>
        <v>0</v>
      </c>
      <c r="U11" s="8">
        <f t="shared" ref="U11:V74" si="9">IF(G11="","",SUM(I11,K11,M11,O11,Q11,S11))</f>
        <v>11536200.000000002</v>
      </c>
      <c r="V11" s="8">
        <f t="shared" si="9"/>
        <v>11110858.4768</v>
      </c>
      <c r="W11" s="7">
        <f t="shared" si="2"/>
        <v>11534759.999999998</v>
      </c>
      <c r="X11" s="7">
        <f t="shared" si="2"/>
        <v>11109328.640639998</v>
      </c>
      <c r="Y11" s="10">
        <f t="shared" si="3"/>
        <v>7.4134078212290677E-2</v>
      </c>
      <c r="Z11" s="10">
        <f t="shared" ref="Z11:Z74" si="10">IF($G11="","",IF($G11=1,(V11-$C$2-H11)/($C$2+H11),(V11-V10-H11)/(V10+H11)))</f>
        <v>5.4153144644063449E-2</v>
      </c>
      <c r="AA11" s="10">
        <f t="shared" ref="AA11:AA74" si="11">IF($G11="","",Z11-Y11)</f>
        <v>-1.9980933568227228E-2</v>
      </c>
      <c r="AB11" s="10">
        <f t="shared" ref="AB11:AB74" si="12">IF($G11="","",IF($G11=1,(W11-$C$2-H11)/($C$2+H11),(W11-W10-H11)/(W10+H11)))</f>
        <v>7.400000000000001E-2</v>
      </c>
      <c r="AC11" s="10">
        <f t="shared" ref="AC11:AC74" si="13">IF($G11="","",IF($G11=1,(X11-$C$2-H11)/($C$2+H11),(X11-X10-H11)/(X10+H11)))</f>
        <v>5.4008E-2</v>
      </c>
      <c r="AD11" s="10">
        <f t="shared" ref="AD11:AD74" si="14">IF($G11="","",AC11-AB11)</f>
        <v>-1.999200000000001E-2</v>
      </c>
      <c r="AE11" s="10">
        <f t="shared" si="4"/>
        <v>0.15362000000000031</v>
      </c>
      <c r="AF11" s="10">
        <f t="shared" si="5"/>
        <v>0.11108584768000007</v>
      </c>
      <c r="AG11" s="10">
        <f t="shared" ref="AG11:AG74" si="15">IF($G11="","",AF11-AE11)</f>
        <v>-4.253415232000024E-2</v>
      </c>
      <c r="AH11" s="10">
        <f t="shared" si="6"/>
        <v>0.15347599999999995</v>
      </c>
      <c r="AI11" s="10">
        <f t="shared" si="7"/>
        <v>0.11093286406399994</v>
      </c>
      <c r="AJ11" s="10">
        <f t="shared" ref="AJ11:AJ74" si="16">IF($G11="","",AI11-AH11)</f>
        <v>-4.2543135936000009E-2</v>
      </c>
      <c r="AK11" s="10">
        <f t="shared" si="8"/>
        <v>7.4067037013984649E-2</v>
      </c>
      <c r="AL11" s="10">
        <f t="shared" ref="AL11:AL74" si="17">IF($G11="","",(1+AF11)^(1/G11)-1)</f>
        <v>5.4080569823768299E-2</v>
      </c>
      <c r="AM11" s="10">
        <f t="shared" ref="AM11:AM74" si="18">IF($G11="","",AL11-AK11)</f>
        <v>-1.998646719021635E-2</v>
      </c>
      <c r="AN11" s="10">
        <f t="shared" ref="AN11:AN74" si="19">IF($G11="","",(1+AH11)^(1/G11)-1)</f>
        <v>7.4000000000000066E-2</v>
      </c>
      <c r="AO11" s="10">
        <f t="shared" ref="AO11:AO74" si="20">IF($G11="","",(1+AI11)^(1/G11)-1)</f>
        <v>5.4008000000000056E-2</v>
      </c>
      <c r="AP11" s="10">
        <f t="shared" ref="AP11:AP74" si="21">IF($G11="","",AO11-AN11)</f>
        <v>-1.999200000000001E-2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8817984.0000000019</v>
      </c>
      <c r="J12" s="7">
        <f t="shared" si="1"/>
        <v>8359784.2970091496</v>
      </c>
      <c r="K12" s="7">
        <f t="shared" si="1"/>
        <v>0</v>
      </c>
      <c r="L12" s="7">
        <f t="shared" si="1"/>
        <v>0</v>
      </c>
      <c r="M12" s="7">
        <f t="shared" si="1"/>
        <v>2315250</v>
      </c>
      <c r="N12" s="7">
        <f t="shared" si="1"/>
        <v>2182908.8286720007</v>
      </c>
      <c r="O12" s="7">
        <f t="shared" si="1"/>
        <v>0</v>
      </c>
      <c r="P12" s="7">
        <f t="shared" si="1"/>
        <v>0</v>
      </c>
      <c r="Q12" s="7">
        <f t="shared" si="1"/>
        <v>1259712</v>
      </c>
      <c r="R12" s="7">
        <f t="shared" si="1"/>
        <v>1171438.7846312961</v>
      </c>
      <c r="S12" s="7">
        <f t="shared" si="1"/>
        <v>0</v>
      </c>
      <c r="T12" s="7">
        <f t="shared" si="1"/>
        <v>0</v>
      </c>
      <c r="U12" s="8">
        <f t="shared" si="9"/>
        <v>12392946.000000002</v>
      </c>
      <c r="V12" s="8">
        <f t="shared" si="9"/>
        <v>11714131.910312448</v>
      </c>
      <c r="W12" s="7">
        <f t="shared" si="2"/>
        <v>12388332.239999998</v>
      </c>
      <c r="X12" s="7">
        <f t="shared" si="2"/>
        <v>11709321.261863684</v>
      </c>
      <c r="Y12" s="10">
        <f t="shared" si="3"/>
        <v>7.426587611171788E-2</v>
      </c>
      <c r="Z12" s="10">
        <f t="shared" si="10"/>
        <v>5.4295843545492994E-2</v>
      </c>
      <c r="AA12" s="10">
        <f t="shared" si="11"/>
        <v>-1.9970032566224885E-2</v>
      </c>
      <c r="AB12" s="10">
        <f t="shared" si="12"/>
        <v>7.4000000000000038E-2</v>
      </c>
      <c r="AC12" s="10">
        <f t="shared" si="13"/>
        <v>5.4008000000000111E-2</v>
      </c>
      <c r="AD12" s="10">
        <f t="shared" si="14"/>
        <v>-1.9991999999999926E-2</v>
      </c>
      <c r="AE12" s="10">
        <f t="shared" si="4"/>
        <v>0.23929460000000025</v>
      </c>
      <c r="AF12" s="10">
        <f t="shared" si="5"/>
        <v>0.17141319103124486</v>
      </c>
      <c r="AG12" s="10">
        <f t="shared" si="15"/>
        <v>-6.7881408968755386E-2</v>
      </c>
      <c r="AH12" s="10">
        <f t="shared" si="6"/>
        <v>0.23883322399999996</v>
      </c>
      <c r="AI12" s="10">
        <f t="shared" si="7"/>
        <v>0.17093212618636855</v>
      </c>
      <c r="AJ12" s="10">
        <f t="shared" si="16"/>
        <v>-6.7901097813631406E-2</v>
      </c>
      <c r="AK12" s="10">
        <f t="shared" si="8"/>
        <v>7.4133312623589687E-2</v>
      </c>
      <c r="AL12" s="10">
        <f t="shared" si="17"/>
        <v>5.4152322846551026E-2</v>
      </c>
      <c r="AM12" s="10">
        <f t="shared" si="18"/>
        <v>-1.998098977703866E-2</v>
      </c>
      <c r="AN12" s="10">
        <f t="shared" si="19"/>
        <v>7.4000000000000066E-2</v>
      </c>
      <c r="AO12" s="10">
        <f t="shared" si="20"/>
        <v>5.4008000000000056E-2</v>
      </c>
      <c r="AP12" s="10">
        <f t="shared" si="21"/>
        <v>-1.999200000000001E-2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9523422.7200000025</v>
      </c>
      <c r="J13" s="7">
        <f t="shared" si="1"/>
        <v>8869396.7477548271</v>
      </c>
      <c r="K13" s="7">
        <f t="shared" si="1"/>
        <v>0</v>
      </c>
      <c r="L13" s="7">
        <f t="shared" si="1"/>
        <v>0</v>
      </c>
      <c r="M13" s="7">
        <f t="shared" si="1"/>
        <v>2431012.5</v>
      </c>
      <c r="N13" s="7">
        <f t="shared" si="1"/>
        <v>2247522.9300006921</v>
      </c>
      <c r="O13" s="7">
        <f t="shared" si="1"/>
        <v>0</v>
      </c>
      <c r="P13" s="7">
        <f t="shared" si="1"/>
        <v>0</v>
      </c>
      <c r="Q13" s="7">
        <f t="shared" si="1"/>
        <v>1360488.9600000002</v>
      </c>
      <c r="R13" s="7">
        <f t="shared" si="1"/>
        <v>1234883.9092069271</v>
      </c>
      <c r="S13" s="7">
        <f t="shared" si="1"/>
        <v>0</v>
      </c>
      <c r="T13" s="7">
        <f t="shared" si="1"/>
        <v>0</v>
      </c>
      <c r="U13" s="8">
        <f t="shared" si="9"/>
        <v>13314924.180000003</v>
      </c>
      <c r="V13" s="8">
        <f t="shared" si="9"/>
        <v>12351803.586962447</v>
      </c>
      <c r="W13" s="7">
        <f t="shared" si="2"/>
        <v>13305068.825759999</v>
      </c>
      <c r="X13" s="7">
        <f t="shared" si="2"/>
        <v>12341718.284574419</v>
      </c>
      <c r="Y13" s="10">
        <f t="shared" si="3"/>
        <v>7.4395400415688206E-2</v>
      </c>
      <c r="Z13" s="10">
        <f t="shared" si="10"/>
        <v>5.4436101755745932E-2</v>
      </c>
      <c r="AA13" s="10">
        <f t="shared" si="11"/>
        <v>-1.9959298659942275E-2</v>
      </c>
      <c r="AB13" s="10">
        <f t="shared" si="12"/>
        <v>7.4000000000000093E-2</v>
      </c>
      <c r="AC13" s="10">
        <f t="shared" si="13"/>
        <v>5.4008000000000098E-2</v>
      </c>
      <c r="AD13" s="10">
        <f t="shared" si="14"/>
        <v>-1.9991999999999996E-2</v>
      </c>
      <c r="AE13" s="10">
        <f t="shared" si="4"/>
        <v>0.33149241800000029</v>
      </c>
      <c r="AF13" s="10">
        <f t="shared" si="5"/>
        <v>0.23518035869624487</v>
      </c>
      <c r="AG13" s="10">
        <f t="shared" si="15"/>
        <v>-9.6312059303755415E-2</v>
      </c>
      <c r="AH13" s="10">
        <f t="shared" si="6"/>
        <v>0.33050688257600003</v>
      </c>
      <c r="AI13" s="10">
        <f t="shared" si="7"/>
        <v>0.23417182845744211</v>
      </c>
      <c r="AJ13" s="10">
        <f t="shared" si="16"/>
        <v>-9.6335054118557917E-2</v>
      </c>
      <c r="AK13" s="10">
        <f t="shared" si="8"/>
        <v>7.419882857722615E-2</v>
      </c>
      <c r="AL13" s="10">
        <f t="shared" si="17"/>
        <v>5.4223260413076124E-2</v>
      </c>
      <c r="AM13" s="10">
        <f t="shared" si="18"/>
        <v>-1.9975568164150026E-2</v>
      </c>
      <c r="AN13" s="10">
        <f t="shared" si="19"/>
        <v>7.4000000000000066E-2</v>
      </c>
      <c r="AO13" s="10">
        <f t="shared" si="20"/>
        <v>5.4008000000000056E-2</v>
      </c>
      <c r="AP13" s="10">
        <f t="shared" si="21"/>
        <v>-1.999200000000001E-2</v>
      </c>
    </row>
    <row r="14" spans="2:42" x14ac:dyDescent="0.45">
      <c r="B14" t="s">
        <v>7</v>
      </c>
      <c r="C14" s="4">
        <f>Page!C17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10285296.537600003</v>
      </c>
      <c r="J14" s="7">
        <f t="shared" si="1"/>
        <v>9410075.17349796</v>
      </c>
      <c r="K14" s="7">
        <f t="shared" si="1"/>
        <v>0</v>
      </c>
      <c r="L14" s="7">
        <f t="shared" si="1"/>
        <v>0</v>
      </c>
      <c r="M14" s="7">
        <f t="shared" si="1"/>
        <v>2552563.125</v>
      </c>
      <c r="N14" s="7">
        <f t="shared" si="1"/>
        <v>2314049.6087287129</v>
      </c>
      <c r="O14" s="7">
        <f t="shared" si="1"/>
        <v>0</v>
      </c>
      <c r="P14" s="7">
        <f t="shared" si="1"/>
        <v>0</v>
      </c>
      <c r="Q14" s="7">
        <f t="shared" si="1"/>
        <v>1469328.0768000004</v>
      </c>
      <c r="R14" s="7">
        <f t="shared" si="1"/>
        <v>1301765.2217295743</v>
      </c>
      <c r="S14" s="7">
        <f t="shared" si="1"/>
        <v>0</v>
      </c>
      <c r="T14" s="7">
        <f t="shared" si="1"/>
        <v>0</v>
      </c>
      <c r="U14" s="8">
        <f t="shared" si="9"/>
        <v>14307187.739400003</v>
      </c>
      <c r="V14" s="8">
        <f t="shared" si="9"/>
        <v>13025890.003956247</v>
      </c>
      <c r="W14" s="7">
        <f t="shared" si="2"/>
        <v>14289643.918866239</v>
      </c>
      <c r="X14" s="7">
        <f t="shared" si="2"/>
        <v>13008269.805687714</v>
      </c>
      <c r="Y14" s="10">
        <f t="shared" si="3"/>
        <v>7.4522659384756593E-2</v>
      </c>
      <c r="Z14" s="10">
        <f t="shared" si="10"/>
        <v>5.4573926167779341E-2</v>
      </c>
      <c r="AA14" s="10">
        <f t="shared" si="11"/>
        <v>-1.9948733216977252E-2</v>
      </c>
      <c r="AB14" s="10">
        <f t="shared" si="12"/>
        <v>7.400000000000001E-2</v>
      </c>
      <c r="AC14" s="10">
        <f t="shared" si="13"/>
        <v>5.4007999999999987E-2</v>
      </c>
      <c r="AD14" s="10">
        <f t="shared" si="14"/>
        <v>-1.9992000000000024E-2</v>
      </c>
      <c r="AE14" s="10">
        <f t="shared" si="4"/>
        <v>0.43071877394000024</v>
      </c>
      <c r="AF14" s="10">
        <f t="shared" si="5"/>
        <v>0.30258900039562486</v>
      </c>
      <c r="AG14" s="10">
        <f t="shared" si="15"/>
        <v>-0.12812977354437538</v>
      </c>
      <c r="AH14" s="10">
        <f t="shared" si="6"/>
        <v>0.42896439188662416</v>
      </c>
      <c r="AI14" s="10">
        <f t="shared" si="7"/>
        <v>0.30082698056877177</v>
      </c>
      <c r="AJ14" s="10">
        <f t="shared" si="16"/>
        <v>-0.12813741131785239</v>
      </c>
      <c r="AK14" s="10">
        <f t="shared" si="8"/>
        <v>7.426358693031343E-2</v>
      </c>
      <c r="AL14" s="10">
        <f t="shared" si="17"/>
        <v>5.4293384234536779E-2</v>
      </c>
      <c r="AM14" s="10">
        <f t="shared" si="18"/>
        <v>-1.9970202695776651E-2</v>
      </c>
      <c r="AN14" s="10">
        <f t="shared" si="19"/>
        <v>7.4000000000000066E-2</v>
      </c>
      <c r="AO14" s="10">
        <f t="shared" si="20"/>
        <v>5.4008000000000056E-2</v>
      </c>
      <c r="AP14" s="10">
        <f t="shared" si="21"/>
        <v>-1.999200000000001E-2</v>
      </c>
    </row>
    <row r="15" spans="2:42" x14ac:dyDescent="0.45">
      <c r="B15" t="s">
        <v>8</v>
      </c>
      <c r="C15" s="4">
        <f>Page!C18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11108120.260608004</v>
      </c>
      <c r="J15" s="7">
        <f t="shared" si="1"/>
        <v>9983713.3560743947</v>
      </c>
      <c r="K15" s="7">
        <f t="shared" si="1"/>
        <v>0</v>
      </c>
      <c r="L15" s="7">
        <f t="shared" si="1"/>
        <v>0</v>
      </c>
      <c r="M15" s="7">
        <f t="shared" si="1"/>
        <v>2680191.28125</v>
      </c>
      <c r="N15" s="7">
        <f t="shared" si="1"/>
        <v>2382545.4771470828</v>
      </c>
      <c r="O15" s="7">
        <f t="shared" si="1"/>
        <v>0</v>
      </c>
      <c r="P15" s="7">
        <f t="shared" si="1"/>
        <v>0</v>
      </c>
      <c r="Q15" s="7">
        <f t="shared" si="1"/>
        <v>1586874.3229440006</v>
      </c>
      <c r="R15" s="7">
        <f t="shared" si="1"/>
        <v>1372268.826138448</v>
      </c>
      <c r="S15" s="7">
        <f t="shared" si="1"/>
        <v>0</v>
      </c>
      <c r="T15" s="7">
        <f t="shared" si="1"/>
        <v>0</v>
      </c>
      <c r="U15" s="8">
        <f t="shared" si="9"/>
        <v>15375185.864802005</v>
      </c>
      <c r="V15" s="8">
        <f t="shared" si="9"/>
        <v>13738527.659359924</v>
      </c>
      <c r="W15" s="7">
        <f t="shared" si="2"/>
        <v>15347077.568862341</v>
      </c>
      <c r="X15" s="7">
        <f t="shared" si="2"/>
        <v>13710820.441353297</v>
      </c>
      <c r="Y15" s="10">
        <f t="shared" si="3"/>
        <v>7.4647662759109779E-2</v>
      </c>
      <c r="Z15" s="10">
        <f t="shared" si="10"/>
        <v>5.4709325442425336E-2</v>
      </c>
      <c r="AA15" s="10">
        <f t="shared" si="11"/>
        <v>-1.9938337316684443E-2</v>
      </c>
      <c r="AB15" s="10">
        <f t="shared" si="12"/>
        <v>7.400000000000001E-2</v>
      </c>
      <c r="AC15" s="10">
        <f t="shared" si="13"/>
        <v>5.4008000000000035E-2</v>
      </c>
      <c r="AD15" s="10">
        <f t="shared" si="14"/>
        <v>-1.9991999999999975E-2</v>
      </c>
      <c r="AE15" s="10">
        <f t="shared" si="4"/>
        <v>0.53751858648020034</v>
      </c>
      <c r="AF15" s="10">
        <f t="shared" si="5"/>
        <v>0.3738527659359927</v>
      </c>
      <c r="AG15" s="10">
        <f t="shared" si="15"/>
        <v>-0.16366582054420764</v>
      </c>
      <c r="AH15" s="10">
        <f t="shared" si="6"/>
        <v>0.5347077568862344</v>
      </c>
      <c r="AI15" s="10">
        <f t="shared" si="7"/>
        <v>0.37108204413532997</v>
      </c>
      <c r="AJ15" s="10">
        <f t="shared" si="16"/>
        <v>-0.16362571275090443</v>
      </c>
      <c r="AK15" s="10">
        <f t="shared" si="8"/>
        <v>7.4327590034652946E-2</v>
      </c>
      <c r="AL15" s="10">
        <f t="shared" si="17"/>
        <v>5.4362696376260011E-2</v>
      </c>
      <c r="AM15" s="10">
        <f t="shared" si="18"/>
        <v>-1.9964893658392935E-2</v>
      </c>
      <c r="AN15" s="10">
        <f t="shared" si="19"/>
        <v>7.4000000000000066E-2</v>
      </c>
      <c r="AO15" s="10">
        <f t="shared" si="20"/>
        <v>5.4008000000000056E-2</v>
      </c>
      <c r="AP15" s="10">
        <f t="shared" si="21"/>
        <v>-1.999200000000001E-2</v>
      </c>
    </row>
    <row r="16" spans="2:42" x14ac:dyDescent="0.45">
      <c r="B16" t="s">
        <v>9</v>
      </c>
      <c r="C16" s="4">
        <f>Page!C19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11996769.881456645</v>
      </c>
      <c r="J16" s="7">
        <f t="shared" si="1"/>
        <v>10592320.522260688</v>
      </c>
      <c r="K16" s="7">
        <f t="shared" si="1"/>
        <v>0</v>
      </c>
      <c r="L16" s="7">
        <f t="shared" si="1"/>
        <v>0</v>
      </c>
      <c r="M16" s="7">
        <f t="shared" si="1"/>
        <v>2814200.8453124999</v>
      </c>
      <c r="N16" s="7">
        <f t="shared" si="1"/>
        <v>2453068.8232706366</v>
      </c>
      <c r="O16" s="7">
        <f t="shared" si="1"/>
        <v>0</v>
      </c>
      <c r="P16" s="7">
        <f t="shared" si="1"/>
        <v>0</v>
      </c>
      <c r="Q16" s="7">
        <f t="shared" si="1"/>
        <v>1713824.2687795206</v>
      </c>
      <c r="R16" s="7">
        <f t="shared" si="1"/>
        <v>1446590.9057621062</v>
      </c>
      <c r="S16" s="7">
        <f t="shared" si="1"/>
        <v>0</v>
      </c>
      <c r="T16" s="7">
        <f t="shared" si="1"/>
        <v>0</v>
      </c>
      <c r="U16" s="8">
        <f t="shared" si="9"/>
        <v>16524794.995548666</v>
      </c>
      <c r="V16" s="8">
        <f t="shared" si="9"/>
        <v>14491980.251293432</v>
      </c>
      <c r="W16" s="7">
        <f t="shared" si="2"/>
        <v>16482761.308958156</v>
      </c>
      <c r="X16" s="7">
        <f t="shared" si="2"/>
        <v>14451314.431749906</v>
      </c>
      <c r="Y16" s="10">
        <f t="shared" si="3"/>
        <v>7.4770421694766609E-2</v>
      </c>
      <c r="Z16" s="10">
        <f t="shared" si="10"/>
        <v>5.4842309934149867E-2</v>
      </c>
      <c r="AA16" s="10">
        <f t="shared" si="11"/>
        <v>-1.9928111760616742E-2</v>
      </c>
      <c r="AB16" s="10">
        <f t="shared" si="12"/>
        <v>7.4000000000000093E-2</v>
      </c>
      <c r="AC16" s="10">
        <f t="shared" si="13"/>
        <v>5.4008000000000049E-2</v>
      </c>
      <c r="AD16" s="10">
        <f t="shared" si="14"/>
        <v>-1.9992000000000044E-2</v>
      </c>
      <c r="AE16" s="10">
        <f t="shared" si="4"/>
        <v>0.65247949955486639</v>
      </c>
      <c r="AF16" s="10">
        <f t="shared" si="5"/>
        <v>0.4491980251293437</v>
      </c>
      <c r="AG16" s="10">
        <f t="shared" si="15"/>
        <v>-0.20328147442552269</v>
      </c>
      <c r="AH16" s="10">
        <f t="shared" si="6"/>
        <v>0.64827613089581582</v>
      </c>
      <c r="AI16" s="10">
        <f t="shared" si="7"/>
        <v>0.44513144317499087</v>
      </c>
      <c r="AJ16" s="10">
        <f t="shared" si="16"/>
        <v>-0.20314468772082495</v>
      </c>
      <c r="AK16" s="10">
        <f t="shared" si="8"/>
        <v>7.4390840527764901E-2</v>
      </c>
      <c r="AL16" s="10">
        <f t="shared" si="17"/>
        <v>5.443119924529527E-2</v>
      </c>
      <c r="AM16" s="10">
        <f t="shared" si="18"/>
        <v>-1.9959641282469631E-2</v>
      </c>
      <c r="AN16" s="10">
        <f t="shared" si="19"/>
        <v>7.4000000000000066E-2</v>
      </c>
      <c r="AO16" s="10">
        <f t="shared" si="20"/>
        <v>5.4008000000000056E-2</v>
      </c>
      <c r="AP16" s="10">
        <f t="shared" si="21"/>
        <v>-1.999200000000001E-2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12956511.471973177</v>
      </c>
      <c r="J17" s="7">
        <f t="shared" si="1"/>
        <v>11238028.381297698</v>
      </c>
      <c r="K17" s="7">
        <f t="shared" si="1"/>
        <v>0</v>
      </c>
      <c r="L17" s="7">
        <f t="shared" si="1"/>
        <v>0</v>
      </c>
      <c r="M17" s="7">
        <f t="shared" si="1"/>
        <v>2954910.8875781251</v>
      </c>
      <c r="N17" s="7">
        <f t="shared" si="1"/>
        <v>2525679.6604394475</v>
      </c>
      <c r="O17" s="7">
        <f t="shared" si="1"/>
        <v>0</v>
      </c>
      <c r="P17" s="7">
        <f t="shared" si="1"/>
        <v>0</v>
      </c>
      <c r="Q17" s="7">
        <f t="shared" si="1"/>
        <v>1850930.2102818824</v>
      </c>
      <c r="R17" s="7">
        <f t="shared" si="1"/>
        <v>1524938.2692181817</v>
      </c>
      <c r="S17" s="7">
        <f t="shared" si="1"/>
        <v>0</v>
      </c>
      <c r="T17" s="7">
        <f t="shared" si="1"/>
        <v>0</v>
      </c>
      <c r="U17" s="8">
        <f t="shared" si="9"/>
        <v>17762352.569833186</v>
      </c>
      <c r="V17" s="8">
        <f t="shared" si="9"/>
        <v>15288646.310955329</v>
      </c>
      <c r="W17" s="7">
        <f t="shared" si="2"/>
        <v>17702485.645821061</v>
      </c>
      <c r="X17" s="7">
        <f t="shared" si="2"/>
        <v>15231801.021579856</v>
      </c>
      <c r="Y17" s="10">
        <f t="shared" si="3"/>
        <v>7.4890948699689444E-2</v>
      </c>
      <c r="Z17" s="10">
        <f t="shared" si="10"/>
        <v>5.4972891616436835E-2</v>
      </c>
      <c r="AA17" s="10">
        <f t="shared" si="11"/>
        <v>-1.9918057083252609E-2</v>
      </c>
      <c r="AB17" s="10">
        <f t="shared" si="12"/>
        <v>7.400000000000008E-2</v>
      </c>
      <c r="AC17" s="10">
        <f t="shared" si="13"/>
        <v>5.4008000000000049E-2</v>
      </c>
      <c r="AD17" s="10">
        <f t="shared" si="14"/>
        <v>-1.9992000000000031E-2</v>
      </c>
      <c r="AE17" s="10">
        <f t="shared" si="4"/>
        <v>0.77623525698331819</v>
      </c>
      <c r="AF17" s="10">
        <f t="shared" si="5"/>
        <v>0.52886463109553361</v>
      </c>
      <c r="AG17" s="10">
        <f t="shared" si="15"/>
        <v>-0.24737062588778458</v>
      </c>
      <c r="AH17" s="10">
        <f t="shared" si="6"/>
        <v>0.77024856458210622</v>
      </c>
      <c r="AI17" s="10">
        <f t="shared" si="7"/>
        <v>0.52318010215798583</v>
      </c>
      <c r="AJ17" s="10">
        <f t="shared" si="16"/>
        <v>-0.24706846242412039</v>
      </c>
      <c r="AK17" s="10">
        <f t="shared" si="8"/>
        <v>7.4453341322217037E-2</v>
      </c>
      <c r="AL17" s="10">
        <f t="shared" si="17"/>
        <v>5.4498895577953066E-2</v>
      </c>
      <c r="AM17" s="10">
        <f t="shared" si="18"/>
        <v>-1.9954445744263971E-2</v>
      </c>
      <c r="AN17" s="10">
        <f t="shared" si="19"/>
        <v>7.4000000000000066E-2</v>
      </c>
      <c r="AO17" s="10">
        <f t="shared" si="20"/>
        <v>5.4008000000000056E-2</v>
      </c>
      <c r="AP17" s="10">
        <f t="shared" si="21"/>
        <v>-1.999200000000001E-2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13993032.389731033</v>
      </c>
      <c r="J18" s="7">
        <f t="shared" si="1"/>
        <v>11923098.591421604</v>
      </c>
      <c r="K18" s="7">
        <f t="shared" si="1"/>
        <v>0</v>
      </c>
      <c r="L18" s="7">
        <f t="shared" si="1"/>
        <v>0</v>
      </c>
      <c r="M18" s="7">
        <f t="shared" si="1"/>
        <v>3102656.4319570316</v>
      </c>
      <c r="N18" s="7">
        <f t="shared" si="1"/>
        <v>2600439.7783884555</v>
      </c>
      <c r="O18" s="7">
        <f t="shared" si="1"/>
        <v>0</v>
      </c>
      <c r="P18" s="7">
        <f t="shared" si="1"/>
        <v>0</v>
      </c>
      <c r="Q18" s="7">
        <f t="shared" si="1"/>
        <v>1999004.6271044333</v>
      </c>
      <c r="R18" s="7">
        <f t="shared" si="1"/>
        <v>1607528.9258790384</v>
      </c>
      <c r="S18" s="7">
        <f t="shared" si="1"/>
        <v>0</v>
      </c>
      <c r="T18" s="7">
        <f t="shared" si="1"/>
        <v>0</v>
      </c>
      <c r="U18" s="8">
        <f t="shared" si="9"/>
        <v>19094693.448792495</v>
      </c>
      <c r="V18" s="8">
        <f t="shared" si="9"/>
        <v>16131067.295689099</v>
      </c>
      <c r="W18" s="7">
        <f t="shared" si="2"/>
        <v>19012469.58361182</v>
      </c>
      <c r="X18" s="7">
        <f t="shared" si="2"/>
        <v>16054440.131153341</v>
      </c>
      <c r="Y18" s="10">
        <f t="shared" si="3"/>
        <v>7.5009257569974133E-2</v>
      </c>
      <c r="Z18" s="10">
        <f t="shared" si="10"/>
        <v>5.510108400703332E-2</v>
      </c>
      <c r="AA18" s="10">
        <f t="shared" si="11"/>
        <v>-1.9908173562940813E-2</v>
      </c>
      <c r="AB18" s="10">
        <f t="shared" si="12"/>
        <v>7.4000000000000024E-2</v>
      </c>
      <c r="AC18" s="10">
        <f t="shared" si="13"/>
        <v>5.4008000000000028E-2</v>
      </c>
      <c r="AD18" s="10">
        <f t="shared" si="14"/>
        <v>-1.9991999999999996E-2</v>
      </c>
      <c r="AE18" s="10">
        <f t="shared" si="4"/>
        <v>0.90946934487924902</v>
      </c>
      <c r="AF18" s="10">
        <f t="shared" si="5"/>
        <v>0.61310672956891077</v>
      </c>
      <c r="AG18" s="10">
        <f t="shared" si="15"/>
        <v>-0.29636261531033825</v>
      </c>
      <c r="AH18" s="10">
        <f t="shared" si="6"/>
        <v>0.90124695836118218</v>
      </c>
      <c r="AI18" s="10">
        <f t="shared" si="7"/>
        <v>0.60544401311533447</v>
      </c>
      <c r="AJ18" s="10">
        <f t="shared" si="16"/>
        <v>-0.29580294524584771</v>
      </c>
      <c r="AK18" s="10">
        <f t="shared" si="8"/>
        <v>7.4515095594963165E-2</v>
      </c>
      <c r="AL18" s="10">
        <f t="shared" si="17"/>
        <v>5.4565788427321626E-2</v>
      </c>
      <c r="AM18" s="10">
        <f t="shared" si="18"/>
        <v>-1.9949307167641539E-2</v>
      </c>
      <c r="AN18" s="10">
        <f t="shared" si="19"/>
        <v>7.4000000000000066E-2</v>
      </c>
      <c r="AO18" s="10">
        <f t="shared" si="20"/>
        <v>5.4008000000000056E-2</v>
      </c>
      <c r="AP18" s="10">
        <f t="shared" si="21"/>
        <v>-1.999200000000001E-2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15112474.980909517</v>
      </c>
      <c r="J19" s="7">
        <f t="shared" si="1"/>
        <v>12649930.681554664</v>
      </c>
      <c r="K19" s="7">
        <f t="shared" si="1"/>
        <v>0</v>
      </c>
      <c r="L19" s="7">
        <f t="shared" si="1"/>
        <v>0</v>
      </c>
      <c r="M19" s="7">
        <f t="shared" si="1"/>
        <v>3257789.2535548834</v>
      </c>
      <c r="N19" s="7">
        <f t="shared" si="1"/>
        <v>2677412.7958287541</v>
      </c>
      <c r="O19" s="7">
        <f t="shared" si="1"/>
        <v>0</v>
      </c>
      <c r="P19" s="7">
        <f t="shared" si="1"/>
        <v>0</v>
      </c>
      <c r="Q19" s="7">
        <f t="shared" si="1"/>
        <v>2158924.9972727881</v>
      </c>
      <c r="R19" s="7">
        <f t="shared" si="1"/>
        <v>1694592.6925046472</v>
      </c>
      <c r="S19" s="7">
        <f t="shared" si="1"/>
        <v>0</v>
      </c>
      <c r="T19" s="7">
        <f t="shared" si="1"/>
        <v>0</v>
      </c>
      <c r="U19" s="8">
        <f t="shared" si="9"/>
        <v>20529189.231737189</v>
      </c>
      <c r="V19" s="8">
        <f t="shared" si="9"/>
        <v>17021936.169888064</v>
      </c>
      <c r="W19" s="7">
        <f t="shared" si="2"/>
        <v>20419392.332799096</v>
      </c>
      <c r="X19" s="7">
        <f t="shared" si="2"/>
        <v>16921508.33375667</v>
      </c>
      <c r="Y19" s="10">
        <f t="shared" si="3"/>
        <v>7.5125363326291494E-2</v>
      </c>
      <c r="Z19" s="10">
        <f t="shared" si="10"/>
        <v>5.5226902093269643E-2</v>
      </c>
      <c r="AA19" s="10">
        <f t="shared" si="11"/>
        <v>-1.9898461233021851E-2</v>
      </c>
      <c r="AB19" s="10">
        <f t="shared" si="12"/>
        <v>7.4000000000000052E-2</v>
      </c>
      <c r="AC19" s="10">
        <f t="shared" si="13"/>
        <v>5.4007999999999959E-2</v>
      </c>
      <c r="AD19" s="10">
        <f t="shared" si="14"/>
        <v>-1.9992000000000093E-2</v>
      </c>
      <c r="AE19" s="10">
        <f t="shared" si="4"/>
        <v>1.0529189231737188</v>
      </c>
      <c r="AF19" s="10">
        <f t="shared" si="5"/>
        <v>0.70219361698880745</v>
      </c>
      <c r="AG19" s="10">
        <f t="shared" si="15"/>
        <v>-0.35072530618491138</v>
      </c>
      <c r="AH19" s="10">
        <f t="shared" si="6"/>
        <v>1.0419392332799098</v>
      </c>
      <c r="AI19" s="10">
        <f t="shared" si="7"/>
        <v>0.69215083337566763</v>
      </c>
      <c r="AJ19" s="10">
        <f t="shared" si="16"/>
        <v>-0.34978839990424215</v>
      </c>
      <c r="AK19" s="10">
        <f t="shared" si="8"/>
        <v>7.4576106776713669E-2</v>
      </c>
      <c r="AL19" s="10">
        <f t="shared" si="17"/>
        <v>5.4631881150791095E-2</v>
      </c>
      <c r="AM19" s="10">
        <f t="shared" si="18"/>
        <v>-1.9944225625922574E-2</v>
      </c>
      <c r="AN19" s="10">
        <f t="shared" si="19"/>
        <v>7.4000000000000066E-2</v>
      </c>
      <c r="AO19" s="10">
        <f t="shared" si="20"/>
        <v>5.4008000000000056E-2</v>
      </c>
      <c r="AP19" s="10">
        <f t="shared" si="21"/>
        <v>-1.999200000000001E-2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16321472.97938228</v>
      </c>
      <c r="J20" s="7">
        <f t="shared" si="1"/>
        <v>13421070.455902236</v>
      </c>
      <c r="K20" s="7">
        <f t="shared" si="1"/>
        <v>0</v>
      </c>
      <c r="L20" s="7">
        <f t="shared" si="1"/>
        <v>0</v>
      </c>
      <c r="M20" s="7">
        <f t="shared" si="1"/>
        <v>3420678.7162326276</v>
      </c>
      <c r="N20" s="7">
        <f t="shared" si="1"/>
        <v>2756664.2145852852</v>
      </c>
      <c r="O20" s="7">
        <f t="shared" si="1"/>
        <v>0</v>
      </c>
      <c r="P20" s="7">
        <f t="shared" si="1"/>
        <v>0</v>
      </c>
      <c r="Q20" s="7">
        <f t="shared" si="1"/>
        <v>2331638.9970546113</v>
      </c>
      <c r="R20" s="7">
        <f t="shared" si="1"/>
        <v>1786371.8327306989</v>
      </c>
      <c r="S20" s="7">
        <f t="shared" si="1"/>
        <v>0</v>
      </c>
      <c r="T20" s="7">
        <f t="shared" si="1"/>
        <v>0</v>
      </c>
      <c r="U20" s="8">
        <f t="shared" si="9"/>
        <v>22073790.692669518</v>
      </c>
      <c r="V20" s="8">
        <f t="shared" si="9"/>
        <v>17964106.503218219</v>
      </c>
      <c r="W20" s="7">
        <f t="shared" si="2"/>
        <v>21930427.365426231</v>
      </c>
      <c r="X20" s="7">
        <f t="shared" si="2"/>
        <v>17835405.155846201</v>
      </c>
      <c r="Y20" s="10">
        <f t="shared" si="3"/>
        <v>7.5239282150726436E-2</v>
      </c>
      <c r="Z20" s="10">
        <f t="shared" si="10"/>
        <v>5.5350362257664966E-2</v>
      </c>
      <c r="AA20" s="10">
        <f t="shared" si="11"/>
        <v>-1.988891989306147E-2</v>
      </c>
      <c r="AB20" s="10">
        <f t="shared" si="12"/>
        <v>7.4000000000000121E-2</v>
      </c>
      <c r="AC20" s="10">
        <f t="shared" si="13"/>
        <v>5.4008000000000014E-2</v>
      </c>
      <c r="AD20" s="10">
        <f t="shared" si="14"/>
        <v>-1.9992000000000107E-2</v>
      </c>
      <c r="AE20" s="10">
        <f t="shared" si="4"/>
        <v>1.2073790692669517</v>
      </c>
      <c r="AF20" s="10">
        <f t="shared" si="5"/>
        <v>0.7964106503218229</v>
      </c>
      <c r="AG20" s="10">
        <f t="shared" si="15"/>
        <v>-0.41096841894512881</v>
      </c>
      <c r="AH20" s="10">
        <f t="shared" si="6"/>
        <v>1.1930427365426231</v>
      </c>
      <c r="AI20" s="10">
        <f t="shared" si="7"/>
        <v>0.78354051558462068</v>
      </c>
      <c r="AJ20" s="10">
        <f t="shared" si="16"/>
        <v>-0.40950222095800237</v>
      </c>
      <c r="AK20" s="10">
        <f t="shared" si="8"/>
        <v>7.4636378541356629E-2</v>
      </c>
      <c r="AL20" s="10">
        <f t="shared" si="17"/>
        <v>5.4697177397609931E-2</v>
      </c>
      <c r="AM20" s="10">
        <f t="shared" si="18"/>
        <v>-1.9939201143746699E-2</v>
      </c>
      <c r="AN20" s="10">
        <f t="shared" si="19"/>
        <v>7.4000000000000066E-2</v>
      </c>
      <c r="AO20" s="10">
        <f t="shared" si="20"/>
        <v>5.4008000000000056E-2</v>
      </c>
      <c r="AP20" s="10">
        <f t="shared" si="21"/>
        <v>-1.999200000000001E-2</v>
      </c>
    </row>
    <row r="21" spans="2:42" x14ac:dyDescent="0.45">
      <c r="B21" s="85" t="s">
        <v>42</v>
      </c>
      <c r="C21" s="86" t="s">
        <v>76</v>
      </c>
      <c r="D21" s="86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17627190.817732863</v>
      </c>
      <c r="J21" s="7">
        <f t="shared" si="1"/>
        <v>14239218.910894034</v>
      </c>
      <c r="K21" s="7">
        <f t="shared" si="1"/>
        <v>0</v>
      </c>
      <c r="L21" s="7">
        <f t="shared" si="1"/>
        <v>0</v>
      </c>
      <c r="M21" s="7">
        <f t="shared" si="1"/>
        <v>3591712.652044259</v>
      </c>
      <c r="N21" s="7">
        <f t="shared" si="1"/>
        <v>2838261.4753370099</v>
      </c>
      <c r="O21" s="7">
        <f t="shared" si="1"/>
        <v>0</v>
      </c>
      <c r="P21" s="7">
        <f t="shared" si="1"/>
        <v>0</v>
      </c>
      <c r="Q21" s="7">
        <f t="shared" si="1"/>
        <v>2518170.1168189803</v>
      </c>
      <c r="R21" s="7">
        <f t="shared" si="1"/>
        <v>1883121.7311913935</v>
      </c>
      <c r="S21" s="7">
        <f t="shared" si="1"/>
        <v>0</v>
      </c>
      <c r="T21" s="7">
        <f t="shared" si="1"/>
        <v>0</v>
      </c>
      <c r="U21" s="8">
        <f t="shared" si="9"/>
        <v>23737073.586596102</v>
      </c>
      <c r="V21" s="8">
        <f t="shared" si="9"/>
        <v>18960602.117422435</v>
      </c>
      <c r="W21" s="7">
        <f t="shared" si="2"/>
        <v>23553278.990467772</v>
      </c>
      <c r="X21" s="7">
        <f t="shared" si="2"/>
        <v>18798659.717503145</v>
      </c>
      <c r="Y21" s="10">
        <f t="shared" si="3"/>
        <v>7.5351031324173173E-2</v>
      </c>
      <c r="Z21" s="10">
        <f t="shared" si="10"/>
        <v>5.5471482204010387E-2</v>
      </c>
      <c r="AA21" s="10">
        <f t="shared" si="11"/>
        <v>-1.9879549120162786E-2</v>
      </c>
      <c r="AB21" s="10">
        <f t="shared" si="12"/>
        <v>7.3999999999999982E-2</v>
      </c>
      <c r="AC21" s="10">
        <f t="shared" si="13"/>
        <v>5.400800000000016E-2</v>
      </c>
      <c r="AD21" s="10">
        <f t="shared" si="14"/>
        <v>-1.9991999999999822E-2</v>
      </c>
      <c r="AE21" s="10">
        <f t="shared" si="4"/>
        <v>1.37370735865961</v>
      </c>
      <c r="AF21" s="10">
        <f t="shared" si="5"/>
        <v>0.89606021174224448</v>
      </c>
      <c r="AG21" s="10">
        <f t="shared" si="15"/>
        <v>-0.47764714691736554</v>
      </c>
      <c r="AH21" s="10">
        <f t="shared" si="6"/>
        <v>1.3553278990467774</v>
      </c>
      <c r="AI21" s="10">
        <f t="shared" si="7"/>
        <v>0.879865971750315</v>
      </c>
      <c r="AJ21" s="10">
        <f t="shared" si="16"/>
        <v>-0.47546192729646242</v>
      </c>
      <c r="AK21" s="10">
        <f t="shared" si="8"/>
        <v>7.4695914795451346E-2</v>
      </c>
      <c r="AL21" s="10">
        <f t="shared" si="17"/>
        <v>5.4761681096496817E-2</v>
      </c>
      <c r="AM21" s="10">
        <f t="shared" si="18"/>
        <v>-1.9934233698954529E-2</v>
      </c>
      <c r="AN21" s="10">
        <f t="shared" si="19"/>
        <v>7.4000000000000066E-2</v>
      </c>
      <c r="AO21" s="10">
        <f t="shared" si="20"/>
        <v>5.4008000000000056E-2</v>
      </c>
      <c r="AP21" s="10">
        <f t="shared" si="21"/>
        <v>-1.999200000000001E-2</v>
      </c>
    </row>
    <row r="22" spans="2:42" x14ac:dyDescent="0.45">
      <c r="B22" t="s">
        <v>43</v>
      </c>
      <c r="C22" s="8">
        <f>_xlfn.XLOOKUP(C3,G:G,V:V)</f>
        <v>29316020.640000787</v>
      </c>
      <c r="D22" s="8">
        <f>_xlfn.XLOOKUP(C3,G:G,X:X)</f>
        <v>28633744.428939655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19037366.083151493</v>
      </c>
      <c r="J22" s="7">
        <f t="shared" si="1"/>
        <v>15107241.695702134</v>
      </c>
      <c r="K22" s="7">
        <f t="shared" si="1"/>
        <v>0</v>
      </c>
      <c r="L22" s="7">
        <f t="shared" si="1"/>
        <v>0</v>
      </c>
      <c r="M22" s="7">
        <f t="shared" si="1"/>
        <v>3771298.284646472</v>
      </c>
      <c r="N22" s="7">
        <f t="shared" si="1"/>
        <v>2922274.0150069855</v>
      </c>
      <c r="O22" s="7">
        <f t="shared" si="1"/>
        <v>0</v>
      </c>
      <c r="P22" s="7">
        <f t="shared" si="1"/>
        <v>0</v>
      </c>
      <c r="Q22" s="7">
        <f t="shared" si="1"/>
        <v>2719623.7261644988</v>
      </c>
      <c r="R22" s="7">
        <f t="shared" si="1"/>
        <v>1985111.6041527193</v>
      </c>
      <c r="S22" s="7">
        <f t="shared" si="1"/>
        <v>0</v>
      </c>
      <c r="T22" s="7">
        <f t="shared" si="1"/>
        <v>0</v>
      </c>
      <c r="U22" s="8">
        <f t="shared" si="9"/>
        <v>25528288.093962461</v>
      </c>
      <c r="V22" s="8">
        <f t="shared" si="9"/>
        <v>20014627.314861838</v>
      </c>
      <c r="W22" s="7">
        <f t="shared" si="2"/>
        <v>25296221.63576239</v>
      </c>
      <c r="X22" s="7">
        <f t="shared" si="2"/>
        <v>19813937.731526054</v>
      </c>
      <c r="Y22" s="10">
        <f t="shared" si="3"/>
        <v>7.5460629164406601E-2</v>
      </c>
      <c r="Z22" s="10">
        <f t="shared" si="10"/>
        <v>5.5590280884112026E-2</v>
      </c>
      <c r="AA22" s="10">
        <f t="shared" si="11"/>
        <v>-1.9870348280294575E-2</v>
      </c>
      <c r="AB22" s="10">
        <f t="shared" si="12"/>
        <v>7.4000000000000121E-2</v>
      </c>
      <c r="AC22" s="10">
        <f t="shared" si="13"/>
        <v>5.4007999999999959E-2</v>
      </c>
      <c r="AD22" s="10">
        <f t="shared" si="14"/>
        <v>-1.9992000000000162E-2</v>
      </c>
      <c r="AE22" s="10">
        <f t="shared" si="4"/>
        <v>1.5528288093962459</v>
      </c>
      <c r="AF22" s="10">
        <f t="shared" si="5"/>
        <v>1.0014627314861846</v>
      </c>
      <c r="AG22" s="10">
        <f t="shared" si="15"/>
        <v>-0.55136607791006131</v>
      </c>
      <c r="AH22" s="10">
        <f t="shared" si="6"/>
        <v>1.529622163576239</v>
      </c>
      <c r="AI22" s="10">
        <f t="shared" si="7"/>
        <v>0.98139377315260612</v>
      </c>
      <c r="AJ22" s="10">
        <f t="shared" si="16"/>
        <v>-0.54822839042363292</v>
      </c>
      <c r="AK22" s="10">
        <f t="shared" si="8"/>
        <v>7.475471966780578E-2</v>
      </c>
      <c r="AL22" s="10">
        <f t="shared" si="17"/>
        <v>5.4825396443334729E-2</v>
      </c>
      <c r="AM22" s="10">
        <f t="shared" si="18"/>
        <v>-1.9929323224471052E-2</v>
      </c>
      <c r="AN22" s="10">
        <f t="shared" si="19"/>
        <v>7.4000000000000066E-2</v>
      </c>
      <c r="AO22" s="10">
        <f t="shared" si="20"/>
        <v>5.4008000000000056E-2</v>
      </c>
      <c r="AP22" s="10">
        <f t="shared" si="21"/>
        <v>-1.999200000000001E-2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20560355.369803615</v>
      </c>
      <c r="J23" s="7">
        <f t="shared" si="1"/>
        <v>16028179.149472134</v>
      </c>
      <c r="K23" s="7">
        <f t="shared" si="1"/>
        <v>0</v>
      </c>
      <c r="L23" s="7">
        <f t="shared" si="1"/>
        <v>0</v>
      </c>
      <c r="M23" s="7">
        <f t="shared" si="1"/>
        <v>3959863.1988787958</v>
      </c>
      <c r="N23" s="7">
        <f t="shared" si="1"/>
        <v>3008773.3258511927</v>
      </c>
      <c r="O23" s="7">
        <f t="shared" si="1"/>
        <v>0</v>
      </c>
      <c r="P23" s="7">
        <f t="shared" si="1"/>
        <v>0</v>
      </c>
      <c r="Q23" s="7">
        <f t="shared" si="1"/>
        <v>2937193.6242576591</v>
      </c>
      <c r="R23" s="7">
        <f t="shared" si="1"/>
        <v>2092625.2486336306</v>
      </c>
      <c r="S23" s="7">
        <f t="shared" si="1"/>
        <v>0</v>
      </c>
      <c r="T23" s="7">
        <f t="shared" si="1"/>
        <v>0</v>
      </c>
      <c r="U23" s="8">
        <f t="shared" si="9"/>
        <v>27457412.192940067</v>
      </c>
      <c r="V23" s="8">
        <f t="shared" si="9"/>
        <v>21129577.723956957</v>
      </c>
      <c r="W23" s="7">
        <f t="shared" si="2"/>
        <v>27168142.036808807</v>
      </c>
      <c r="X23" s="7">
        <f t="shared" si="2"/>
        <v>20884048.880530316</v>
      </c>
      <c r="Y23" s="10">
        <f t="shared" si="3"/>
        <v>7.5568094964967594E-2</v>
      </c>
      <c r="Z23" s="10">
        <f t="shared" si="10"/>
        <v>5.5706778425357664E-2</v>
      </c>
      <c r="AA23" s="10">
        <f t="shared" si="11"/>
        <v>-1.986131653960993E-2</v>
      </c>
      <c r="AB23" s="10">
        <f t="shared" si="12"/>
        <v>7.4000000000000038E-2</v>
      </c>
      <c r="AC23" s="10">
        <f t="shared" si="13"/>
        <v>5.4008000000000139E-2</v>
      </c>
      <c r="AD23" s="10">
        <f t="shared" si="14"/>
        <v>-1.9991999999999899E-2</v>
      </c>
      <c r="AE23" s="10">
        <f t="shared" si="4"/>
        <v>1.7457412192940063</v>
      </c>
      <c r="AF23" s="10">
        <f t="shared" si="5"/>
        <v>1.1129577723956969</v>
      </c>
      <c r="AG23" s="10">
        <f t="shared" si="15"/>
        <v>-0.63278344689830934</v>
      </c>
      <c r="AH23" s="10">
        <f t="shared" si="6"/>
        <v>1.7168142036808809</v>
      </c>
      <c r="AI23" s="10">
        <f t="shared" si="7"/>
        <v>1.0884048880530321</v>
      </c>
      <c r="AJ23" s="10">
        <f t="shared" si="16"/>
        <v>-0.62840931562784874</v>
      </c>
      <c r="AK23" s="10">
        <f t="shared" si="8"/>
        <v>7.4812797499160366E-2</v>
      </c>
      <c r="AL23" s="10">
        <f t="shared" si="17"/>
        <v>5.488832788896536E-2</v>
      </c>
      <c r="AM23" s="10">
        <f t="shared" si="18"/>
        <v>-1.9924469610195006E-2</v>
      </c>
      <c r="AN23" s="10">
        <f t="shared" si="19"/>
        <v>7.4000000000000066E-2</v>
      </c>
      <c r="AO23" s="10">
        <f t="shared" si="20"/>
        <v>5.4008000000000056E-2</v>
      </c>
      <c r="AP23" s="10">
        <f t="shared" si="21"/>
        <v>-1.999200000000001E-2</v>
      </c>
    </row>
    <row r="24" spans="2:42" x14ac:dyDescent="0.45">
      <c r="B24" t="s">
        <v>62</v>
      </c>
      <c r="C24" s="9">
        <f>_xlfn.XLOOKUP(C3,G:G,AE:AE)</f>
        <v>3.2594252561083303</v>
      </c>
      <c r="D24" s="9">
        <f>_xlfn.XLOOKUP(C3,G:G,AH:AH)</f>
        <v>3.1695158324077477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22205183.799387906</v>
      </c>
      <c r="J24" s="7">
        <f t="shared" si="1"/>
        <v>17005256.950423952</v>
      </c>
      <c r="K24" s="7">
        <f t="shared" si="1"/>
        <v>0</v>
      </c>
      <c r="L24" s="7">
        <f t="shared" si="1"/>
        <v>0</v>
      </c>
      <c r="M24" s="7">
        <f t="shared" si="1"/>
        <v>4157856.358822736</v>
      </c>
      <c r="N24" s="7">
        <f t="shared" si="1"/>
        <v>3097833.0162963881</v>
      </c>
      <c r="O24" s="7">
        <f t="shared" si="1"/>
        <v>0</v>
      </c>
      <c r="P24" s="7">
        <f t="shared" si="1"/>
        <v>0</v>
      </c>
      <c r="Q24" s="7">
        <f t="shared" si="1"/>
        <v>3172169.1141982721</v>
      </c>
      <c r="R24" s="7">
        <f t="shared" si="1"/>
        <v>2205961.8320996282</v>
      </c>
      <c r="S24" s="7">
        <f t="shared" si="1"/>
        <v>0</v>
      </c>
      <c r="T24" s="7">
        <f t="shared" si="1"/>
        <v>0</v>
      </c>
      <c r="U24" s="8">
        <f t="shared" si="9"/>
        <v>29535209.272408914</v>
      </c>
      <c r="V24" s="8">
        <f t="shared" si="9"/>
        <v>22309051.798819967</v>
      </c>
      <c r="W24" s="7">
        <f t="shared" si="2"/>
        <v>29178584.547532663</v>
      </c>
      <c r="X24" s="7">
        <f t="shared" si="2"/>
        <v>22011954.592469998</v>
      </c>
      <c r="Y24" s="10">
        <f t="shared" si="3"/>
        <v>7.5673448934969037E-2</v>
      </c>
      <c r="Z24" s="10">
        <f t="shared" si="10"/>
        <v>5.5820996059268518E-2</v>
      </c>
      <c r="AA24" s="10">
        <f t="shared" si="11"/>
        <v>-1.9852452875700519E-2</v>
      </c>
      <c r="AB24" s="10">
        <f t="shared" si="12"/>
        <v>7.4000000000000135E-2</v>
      </c>
      <c r="AC24" s="10">
        <f t="shared" si="13"/>
        <v>5.4008E-2</v>
      </c>
      <c r="AD24" s="10">
        <f t="shared" si="14"/>
        <v>-1.9992000000000135E-2</v>
      </c>
      <c r="AE24" s="10">
        <f t="shared" si="4"/>
        <v>1.9535209272408909</v>
      </c>
      <c r="AF24" s="10">
        <f t="shared" si="5"/>
        <v>1.2309051798819981</v>
      </c>
      <c r="AG24" s="10">
        <f t="shared" si="15"/>
        <v>-0.72261574735889278</v>
      </c>
      <c r="AH24" s="10">
        <f t="shared" si="6"/>
        <v>1.9178584547532664</v>
      </c>
      <c r="AI24" s="10">
        <f t="shared" si="7"/>
        <v>1.2011954592470002</v>
      </c>
      <c r="AJ24" s="10">
        <f t="shared" si="16"/>
        <v>-0.71666299550626622</v>
      </c>
      <c r="AK24" s="10">
        <f t="shared" si="8"/>
        <v>7.4870152831987724E-2</v>
      </c>
      <c r="AL24" s="10">
        <f t="shared" si="17"/>
        <v>5.4950480127105683E-2</v>
      </c>
      <c r="AM24" s="10">
        <f t="shared" si="18"/>
        <v>-1.9919672704882041E-2</v>
      </c>
      <c r="AN24" s="10">
        <f t="shared" si="19"/>
        <v>7.4000000000000066E-2</v>
      </c>
      <c r="AO24" s="10">
        <f t="shared" si="20"/>
        <v>5.4008000000000056E-2</v>
      </c>
      <c r="AP24" s="10">
        <f t="shared" si="21"/>
        <v>-1.999200000000001E-2</v>
      </c>
    </row>
    <row r="25" spans="2:42" x14ac:dyDescent="0.45">
      <c r="B25" t="s">
        <v>64</v>
      </c>
      <c r="C25" s="9">
        <f>_xlfn.XLOOKUP(C3,G:G,AF:AF)</f>
        <v>1.9316020640000815</v>
      </c>
      <c r="D25" s="9">
        <f>_xlfn.XLOOKUP(C3,G:G,AI:AI)</f>
        <v>1.8633744428939663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23981598.50333894</v>
      </c>
      <c r="J25" s="7">
        <f t="shared" si="1"/>
        <v>18041897.414121795</v>
      </c>
      <c r="K25" s="7">
        <f t="shared" si="1"/>
        <v>0</v>
      </c>
      <c r="L25" s="7">
        <f t="shared" si="1"/>
        <v>0</v>
      </c>
      <c r="M25" s="7">
        <f t="shared" si="1"/>
        <v>4365749.1767638726</v>
      </c>
      <c r="N25" s="7">
        <f t="shared" si="1"/>
        <v>3189528.8735787612</v>
      </c>
      <c r="O25" s="7">
        <f t="shared" si="1"/>
        <v>0</v>
      </c>
      <c r="P25" s="7">
        <f t="shared" si="1"/>
        <v>0</v>
      </c>
      <c r="Q25" s="7">
        <f t="shared" si="1"/>
        <v>3425942.643334134</v>
      </c>
      <c r="R25" s="7">
        <f t="shared" si="1"/>
        <v>2325436.7249261439</v>
      </c>
      <c r="S25" s="7">
        <f t="shared" si="1"/>
        <v>0</v>
      </c>
      <c r="T25" s="7">
        <f t="shared" si="1"/>
        <v>0</v>
      </c>
      <c r="U25" s="8">
        <f t="shared" si="9"/>
        <v>31773290.323436949</v>
      </c>
      <c r="V25" s="8">
        <f t="shared" si="9"/>
        <v>23556863.0126267</v>
      </c>
      <c r="W25" s="7">
        <f t="shared" si="2"/>
        <v>31337799.80405008</v>
      </c>
      <c r="X25" s="7">
        <f t="shared" si="2"/>
        <v>23200776.236100119</v>
      </c>
      <c r="Y25" s="10">
        <f t="shared" si="3"/>
        <v>7.5776712139933852E-2</v>
      </c>
      <c r="Z25" s="10">
        <f t="shared" si="10"/>
        <v>5.5932956051172746E-2</v>
      </c>
      <c r="AA25" s="10">
        <f t="shared" si="11"/>
        <v>-1.9843756088761107E-2</v>
      </c>
      <c r="AB25" s="10">
        <f t="shared" si="12"/>
        <v>7.4000000000000024E-2</v>
      </c>
      <c r="AC25" s="10">
        <f t="shared" si="13"/>
        <v>5.4008000000000056E-2</v>
      </c>
      <c r="AD25" s="10">
        <f t="shared" si="14"/>
        <v>-1.9991999999999968E-2</v>
      </c>
      <c r="AE25" s="10">
        <f t="shared" si="4"/>
        <v>2.1773290323436942</v>
      </c>
      <c r="AF25" s="10">
        <f t="shared" si="5"/>
        <v>1.3556863012626716</v>
      </c>
      <c r="AG25" s="10">
        <f t="shared" si="15"/>
        <v>-0.82164273108102259</v>
      </c>
      <c r="AH25" s="10">
        <f t="shared" si="6"/>
        <v>2.1337799804050084</v>
      </c>
      <c r="AI25" s="10">
        <f t="shared" si="7"/>
        <v>1.3200776236100125</v>
      </c>
      <c r="AJ25" s="10">
        <f t="shared" si="16"/>
        <v>-0.81370235679499592</v>
      </c>
      <c r="AK25" s="10">
        <f t="shared" si="8"/>
        <v>7.4926790400427157E-2</v>
      </c>
      <c r="AL25" s="10">
        <f t="shared" si="17"/>
        <v>5.5011858082407494E-2</v>
      </c>
      <c r="AM25" s="10">
        <f t="shared" si="18"/>
        <v>-1.9914932318019662E-2</v>
      </c>
      <c r="AN25" s="10">
        <f t="shared" si="19"/>
        <v>7.4000000000000066E-2</v>
      </c>
      <c r="AO25" s="10">
        <f t="shared" si="20"/>
        <v>5.4008000000000056E-2</v>
      </c>
      <c r="AP25" s="10">
        <f t="shared" si="21"/>
        <v>-1.999200000000001E-2</v>
      </c>
    </row>
    <row r="26" spans="2:42" x14ac:dyDescent="0.45">
      <c r="B26" t="s">
        <v>63</v>
      </c>
      <c r="C26" s="9">
        <f>_xlfn.XLOOKUP(C3,G:G,AG:AG)</f>
        <v>-1.3278231921082488</v>
      </c>
      <c r="D26" s="9">
        <f>_xlfn.XLOOKUP(C3,G:G,AJ:AJ)</f>
        <v>-1.3061413895137814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25900126.383606058</v>
      </c>
      <c r="J26" s="7">
        <f t="shared" si="1"/>
        <v>19141731.480486657</v>
      </c>
      <c r="K26" s="7">
        <f t="shared" si="1"/>
        <v>0</v>
      </c>
      <c r="L26" s="7">
        <f t="shared" si="1"/>
        <v>0</v>
      </c>
      <c r="M26" s="7">
        <f t="shared" si="1"/>
        <v>4584036.6356020663</v>
      </c>
      <c r="N26" s="7">
        <f t="shared" si="1"/>
        <v>3283938.9282366927</v>
      </c>
      <c r="O26" s="7">
        <f t="shared" si="1"/>
        <v>0</v>
      </c>
      <c r="P26" s="7">
        <f t="shared" si="1"/>
        <v>0</v>
      </c>
      <c r="Q26" s="7">
        <f t="shared" si="1"/>
        <v>3700018.0548008648</v>
      </c>
      <c r="R26" s="7">
        <f t="shared" si="1"/>
        <v>2451382.377948144</v>
      </c>
      <c r="S26" s="7">
        <f t="shared" si="1"/>
        <v>0</v>
      </c>
      <c r="T26" s="7">
        <f t="shared" si="1"/>
        <v>0</v>
      </c>
      <c r="U26" s="8">
        <f t="shared" si="9"/>
        <v>34184181.074008994</v>
      </c>
      <c r="V26" s="8">
        <f t="shared" si="9"/>
        <v>24877052.786671493</v>
      </c>
      <c r="W26" s="7">
        <f t="shared" ref="W26:X41" si="22">IF($G26="","",IF($G26=1,(($C$2+$H26)*W$3)*(1+(W$4-W$5)),((W25+($H26*W$3))*(1+(W$4-W$5)))))</f>
        <v>33656796.989549786</v>
      </c>
      <c r="X26" s="7">
        <f t="shared" si="22"/>
        <v>24453803.759059414</v>
      </c>
      <c r="Y26" s="10">
        <f t="shared" si="3"/>
        <v>7.587790644375593E-2</v>
      </c>
      <c r="Z26" s="10">
        <f t="shared" si="10"/>
        <v>5.6042681631130555E-2</v>
      </c>
      <c r="AA26" s="10">
        <f t="shared" si="11"/>
        <v>-1.9835224812625375E-2</v>
      </c>
      <c r="AB26" s="10">
        <f t="shared" si="12"/>
        <v>7.3999999999999982E-2</v>
      </c>
      <c r="AC26" s="10">
        <f t="shared" si="13"/>
        <v>5.4008000000000021E-2</v>
      </c>
      <c r="AD26" s="10">
        <f t="shared" si="14"/>
        <v>-1.9991999999999961E-2</v>
      </c>
      <c r="AE26" s="10">
        <f t="shared" si="4"/>
        <v>2.4184181074008988</v>
      </c>
      <c r="AF26" s="10">
        <f t="shared" si="5"/>
        <v>1.4877052786671512</v>
      </c>
      <c r="AG26" s="10">
        <f t="shared" si="15"/>
        <v>-0.93071282873374761</v>
      </c>
      <c r="AH26" s="10">
        <f t="shared" si="6"/>
        <v>2.3656796989549793</v>
      </c>
      <c r="AI26" s="10">
        <f t="shared" si="7"/>
        <v>1.445380375905942</v>
      </c>
      <c r="AJ26" s="10">
        <f t="shared" si="16"/>
        <v>-0.92029932304903728</v>
      </c>
      <c r="AK26" s="10">
        <f t="shared" si="8"/>
        <v>7.4982715120363252E-2</v>
      </c>
      <c r="AL26" s="10">
        <f t="shared" si="17"/>
        <v>5.5072466898671513E-2</v>
      </c>
      <c r="AM26" s="10">
        <f t="shared" si="18"/>
        <v>-1.991024822169174E-2</v>
      </c>
      <c r="AN26" s="10">
        <f t="shared" si="19"/>
        <v>7.4000000000000066E-2</v>
      </c>
      <c r="AO26" s="10">
        <f t="shared" si="20"/>
        <v>5.4008000000000056E-2</v>
      </c>
      <c r="AP26" s="10">
        <f t="shared" si="21"/>
        <v>-1.999200000000001E-2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27972136.494294543</v>
      </c>
      <c r="J27" s="7">
        <f t="shared" si="1"/>
        <v>20308611.431537122</v>
      </c>
      <c r="K27" s="7">
        <f t="shared" si="1"/>
        <v>0</v>
      </c>
      <c r="L27" s="7">
        <f t="shared" si="1"/>
        <v>0</v>
      </c>
      <c r="M27" s="7">
        <f t="shared" si="1"/>
        <v>4813238.4673821703</v>
      </c>
      <c r="N27" s="7">
        <f t="shared" si="1"/>
        <v>3381143.5205124989</v>
      </c>
      <c r="O27" s="7">
        <f t="shared" si="1"/>
        <v>0</v>
      </c>
      <c r="P27" s="7">
        <f t="shared" si="1"/>
        <v>0</v>
      </c>
      <c r="Q27" s="7">
        <f t="shared" si="1"/>
        <v>3996019.4991849344</v>
      </c>
      <c r="R27" s="7">
        <f t="shared" si="1"/>
        <v>2584149.2475378155</v>
      </c>
      <c r="S27" s="7">
        <f t="shared" si="1"/>
        <v>0</v>
      </c>
      <c r="T27" s="7">
        <f t="shared" si="1"/>
        <v>0</v>
      </c>
      <c r="U27" s="8">
        <f t="shared" si="9"/>
        <v>36781394.460861646</v>
      </c>
      <c r="V27" s="8">
        <f t="shared" si="9"/>
        <v>26273904.199587435</v>
      </c>
      <c r="W27" s="7">
        <f t="shared" si="22"/>
        <v>36147399.966776475</v>
      </c>
      <c r="X27" s="7">
        <f t="shared" si="22"/>
        <v>25774504.792478696</v>
      </c>
      <c r="Y27" s="10">
        <f t="shared" si="3"/>
        <v>7.5977054451872528E-2</v>
      </c>
      <c r="Z27" s="10">
        <f t="shared" si="10"/>
        <v>5.6150196926234748E-2</v>
      </c>
      <c r="AA27" s="10">
        <f t="shared" si="11"/>
        <v>-1.982685752563778E-2</v>
      </c>
      <c r="AB27" s="10">
        <f t="shared" si="12"/>
        <v>7.4000000000000163E-2</v>
      </c>
      <c r="AC27" s="10">
        <f t="shared" si="13"/>
        <v>5.4008000000000014E-2</v>
      </c>
      <c r="AD27" s="10">
        <f t="shared" si="14"/>
        <v>-1.9992000000000149E-2</v>
      </c>
      <c r="AE27" s="10">
        <f t="shared" si="4"/>
        <v>2.6781394460861638</v>
      </c>
      <c r="AF27" s="10">
        <f t="shared" si="5"/>
        <v>1.6273904199587457</v>
      </c>
      <c r="AG27" s="10">
        <f t="shared" si="15"/>
        <v>-1.0507490261274182</v>
      </c>
      <c r="AH27" s="10">
        <f t="shared" si="6"/>
        <v>2.6147399966776481</v>
      </c>
      <c r="AI27" s="10">
        <f t="shared" si="7"/>
        <v>1.5774504792478701</v>
      </c>
      <c r="AJ27" s="10">
        <f t="shared" si="16"/>
        <v>-1.037289517429778</v>
      </c>
      <c r="AK27" s="10">
        <f t="shared" si="8"/>
        <v>7.5037932079661696E-2</v>
      </c>
      <c r="AL27" s="10">
        <f t="shared" si="17"/>
        <v>5.5132311927240663E-2</v>
      </c>
      <c r="AM27" s="10">
        <f t="shared" si="18"/>
        <v>-1.9905620152421033E-2</v>
      </c>
      <c r="AN27" s="10">
        <f t="shared" si="19"/>
        <v>7.4000000000000066E-2</v>
      </c>
      <c r="AO27" s="10">
        <f t="shared" si="20"/>
        <v>5.4008000000000056E-2</v>
      </c>
      <c r="AP27" s="10">
        <f t="shared" si="21"/>
        <v>-1.999200000000001E-2</v>
      </c>
    </row>
    <row r="28" spans="2:42" x14ac:dyDescent="0.45">
      <c r="B28" t="s">
        <v>65</v>
      </c>
      <c r="C28" s="9">
        <f>_xlfn.XLOOKUP(C3,G:G,AK:AK)</f>
        <v>7.514626387032286E-2</v>
      </c>
      <c r="D28" s="9">
        <f>_xlfn.XLOOKUP(C3,G:G,AN:AN)</f>
        <v>7.4000000000000066E-2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30209907.413838107</v>
      </c>
      <c r="J28" s="7">
        <f t="shared" si="1"/>
        <v>21546624.384403624</v>
      </c>
      <c r="K28" s="7">
        <f t="shared" si="1"/>
        <v>0</v>
      </c>
      <c r="L28" s="7">
        <f t="shared" si="1"/>
        <v>0</v>
      </c>
      <c r="M28" s="7">
        <f t="shared" si="1"/>
        <v>5053900.390751279</v>
      </c>
      <c r="N28" s="7">
        <f t="shared" si="1"/>
        <v>3481225.3687196691</v>
      </c>
      <c r="O28" s="7">
        <f t="shared" si="1"/>
        <v>0</v>
      </c>
      <c r="P28" s="7">
        <f t="shared" si="1"/>
        <v>0</v>
      </c>
      <c r="Q28" s="7">
        <f t="shared" si="1"/>
        <v>4315701.0591197293</v>
      </c>
      <c r="R28" s="7">
        <f t="shared" si="1"/>
        <v>2724106.7707844637</v>
      </c>
      <c r="S28" s="7">
        <f t="shared" si="1"/>
        <v>0</v>
      </c>
      <c r="T28" s="7">
        <f t="shared" si="1"/>
        <v>0</v>
      </c>
      <c r="U28" s="8">
        <f t="shared" si="9"/>
        <v>39579508.863709114</v>
      </c>
      <c r="V28" s="8">
        <f t="shared" si="9"/>
        <v>27751956.523907755</v>
      </c>
      <c r="W28" s="7">
        <f t="shared" si="22"/>
        <v>38822307.564317934</v>
      </c>
      <c r="X28" s="7">
        <f t="shared" si="22"/>
        <v>27166534.247310888</v>
      </c>
      <c r="Y28" s="10">
        <f t="shared" si="3"/>
        <v>7.607417945572692E-2</v>
      </c>
      <c r="Z28" s="10">
        <f t="shared" si="10"/>
        <v>5.6255526894382492E-2</v>
      </c>
      <c r="AA28" s="10">
        <f t="shared" si="11"/>
        <v>-1.9818652561344428E-2</v>
      </c>
      <c r="AB28" s="10">
        <f t="shared" si="12"/>
        <v>7.3999999999999996E-2</v>
      </c>
      <c r="AC28" s="10">
        <f t="shared" si="13"/>
        <v>5.4008000000000118E-2</v>
      </c>
      <c r="AD28" s="10">
        <f t="shared" si="14"/>
        <v>-1.9991999999999878E-2</v>
      </c>
      <c r="AE28" s="10">
        <f t="shared" si="4"/>
        <v>2.9579508863709107</v>
      </c>
      <c r="AF28" s="10">
        <f t="shared" si="5"/>
        <v>1.7751956523907779</v>
      </c>
      <c r="AG28" s="10">
        <f t="shared" si="15"/>
        <v>-1.1827552339801328</v>
      </c>
      <c r="AH28" s="10">
        <f t="shared" si="6"/>
        <v>2.8822307564317944</v>
      </c>
      <c r="AI28" s="10">
        <f t="shared" si="7"/>
        <v>1.7166534247310894</v>
      </c>
      <c r="AJ28" s="10">
        <f t="shared" si="16"/>
        <v>-1.165577331700705</v>
      </c>
      <c r="AK28" s="10">
        <f t="shared" si="8"/>
        <v>7.5092446528574719E-2</v>
      </c>
      <c r="AL28" s="10">
        <f t="shared" si="17"/>
        <v>5.5191398715578321E-2</v>
      </c>
      <c r="AM28" s="10">
        <f t="shared" si="18"/>
        <v>-1.9901047812996397E-2</v>
      </c>
      <c r="AN28" s="10">
        <f t="shared" si="19"/>
        <v>7.4000000000000066E-2</v>
      </c>
      <c r="AO28" s="10">
        <f t="shared" si="20"/>
        <v>5.4008000000000056E-2</v>
      </c>
      <c r="AP28" s="10">
        <f t="shared" si="21"/>
        <v>-1.999200000000001E-2</v>
      </c>
    </row>
    <row r="29" spans="2:42" x14ac:dyDescent="0.45">
      <c r="B29" t="s">
        <v>66</v>
      </c>
      <c r="C29" s="9">
        <f>_xlfn.XLOOKUP(C3,G:G,AL:AL)</f>
        <v>5.5249732996052181E-2</v>
      </c>
      <c r="D29" s="9">
        <f>_xlfn.XLOOKUP(C3,G:G,AO:AO)</f>
        <v>5.4008000000000056E-2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32626700.006945159</v>
      </c>
      <c r="J29" s="7">
        <f t="shared" si="1"/>
        <v>22860106.606876865</v>
      </c>
      <c r="K29" s="7">
        <f t="shared" si="1"/>
        <v>0</v>
      </c>
      <c r="L29" s="7">
        <f t="shared" si="1"/>
        <v>0</v>
      </c>
      <c r="M29" s="7">
        <f t="shared" si="1"/>
        <v>5306595.4102888433</v>
      </c>
      <c r="N29" s="7">
        <f t="shared" si="1"/>
        <v>3584269.6396337715</v>
      </c>
      <c r="O29" s="7">
        <f t="shared" si="1"/>
        <v>0</v>
      </c>
      <c r="P29" s="7">
        <f t="shared" si="1"/>
        <v>0</v>
      </c>
      <c r="Q29" s="7">
        <f t="shared" si="1"/>
        <v>4660957.1438493077</v>
      </c>
      <c r="R29" s="7">
        <f t="shared" si="1"/>
        <v>2871644.3934901501</v>
      </c>
      <c r="S29" s="7">
        <f t="shared" si="1"/>
        <v>0</v>
      </c>
      <c r="T29" s="7">
        <f t="shared" si="1"/>
        <v>0</v>
      </c>
      <c r="U29" s="8">
        <f t="shared" si="9"/>
        <v>42594252.561083309</v>
      </c>
      <c r="V29" s="8">
        <f t="shared" si="9"/>
        <v>29316020.640000787</v>
      </c>
      <c r="W29" s="7">
        <f t="shared" si="22"/>
        <v>41695158.324077465</v>
      </c>
      <c r="X29" s="7">
        <f t="shared" si="22"/>
        <v>28633744.428939655</v>
      </c>
      <c r="Y29" s="10">
        <f t="shared" si="3"/>
        <v>7.6169305378583074E-2</v>
      </c>
      <c r="Z29" s="10">
        <f t="shared" si="10"/>
        <v>5.6358697259619235E-2</v>
      </c>
      <c r="AA29" s="10">
        <f t="shared" si="11"/>
        <v>-1.9810608118963839E-2</v>
      </c>
      <c r="AB29" s="10">
        <f t="shared" si="12"/>
        <v>7.400000000000008E-2</v>
      </c>
      <c r="AC29" s="10">
        <f t="shared" si="13"/>
        <v>5.4008000000000035E-2</v>
      </c>
      <c r="AD29" s="10">
        <f t="shared" si="14"/>
        <v>-1.9992000000000044E-2</v>
      </c>
      <c r="AE29" s="10">
        <f t="shared" si="4"/>
        <v>3.2594252561083303</v>
      </c>
      <c r="AF29" s="10">
        <f t="shared" si="5"/>
        <v>1.9316020640000815</v>
      </c>
      <c r="AG29" s="10">
        <f t="shared" si="15"/>
        <v>-1.3278231921082488</v>
      </c>
      <c r="AH29" s="10">
        <f t="shared" si="6"/>
        <v>3.1695158324077477</v>
      </c>
      <c r="AI29" s="10">
        <f t="shared" si="7"/>
        <v>1.8633744428939663</v>
      </c>
      <c r="AJ29" s="10">
        <f t="shared" si="16"/>
        <v>-1.3061413895137814</v>
      </c>
      <c r="AK29" s="10">
        <f t="shared" si="8"/>
        <v>7.514626387032286E-2</v>
      </c>
      <c r="AL29" s="10">
        <f t="shared" si="17"/>
        <v>5.5249732996052181E-2</v>
      </c>
      <c r="AM29" s="10">
        <f t="shared" si="18"/>
        <v>-1.9896530874270679E-2</v>
      </c>
      <c r="AN29" s="10">
        <f t="shared" si="19"/>
        <v>7.4000000000000066E-2</v>
      </c>
      <c r="AO29" s="10">
        <f t="shared" si="20"/>
        <v>5.4008000000000056E-2</v>
      </c>
      <c r="AP29" s="10">
        <f t="shared" si="21"/>
        <v>-1.999200000000001E-2</v>
      </c>
    </row>
    <row r="30" spans="2:42" x14ac:dyDescent="0.45">
      <c r="B30" t="s">
        <v>67</v>
      </c>
      <c r="C30" s="9">
        <f>_xlfn.XLOOKUP(C3,G:G,AM:AM)</f>
        <v>-1.9896530874270679E-2</v>
      </c>
      <c r="D30" s="9">
        <f>_xlfn.XLOOKUP(C3,G:G,AP:AP)</f>
        <v>-1.999200000000001E-2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9"/>
        <v/>
      </c>
      <c r="V30" s="8" t="str">
        <f t="shared" si="9"/>
        <v/>
      </c>
      <c r="W30" s="7" t="str">
        <f t="shared" si="22"/>
        <v/>
      </c>
      <c r="X30" s="7" t="str">
        <f t="shared" si="22"/>
        <v/>
      </c>
      <c r="Y30" s="10" t="str">
        <f t="shared" si="3"/>
        <v/>
      </c>
      <c r="Z30" s="10" t="str">
        <f t="shared" si="10"/>
        <v/>
      </c>
      <c r="AA30" s="10" t="str">
        <f t="shared" si="11"/>
        <v/>
      </c>
      <c r="AB30" s="10" t="str">
        <f t="shared" si="12"/>
        <v/>
      </c>
      <c r="AC30" s="10" t="str">
        <f t="shared" si="13"/>
        <v/>
      </c>
      <c r="AD30" s="10" t="str">
        <f t="shared" si="14"/>
        <v/>
      </c>
      <c r="AE30" s="10" t="str">
        <f t="shared" si="4"/>
        <v/>
      </c>
      <c r="AF30" s="10" t="str">
        <f t="shared" si="5"/>
        <v/>
      </c>
      <c r="AG30" s="10" t="str">
        <f t="shared" si="15"/>
        <v/>
      </c>
      <c r="AH30" s="10" t="str">
        <f t="shared" si="6"/>
        <v/>
      </c>
      <c r="AI30" s="10" t="str">
        <f t="shared" si="7"/>
        <v/>
      </c>
      <c r="AJ30" s="10" t="str">
        <f t="shared" si="16"/>
        <v/>
      </c>
      <c r="AK30" s="10" t="str">
        <f t="shared" si="8"/>
        <v/>
      </c>
      <c r="AL30" s="10" t="str">
        <f t="shared" si="17"/>
        <v/>
      </c>
      <c r="AM30" s="10" t="str">
        <f t="shared" si="18"/>
        <v/>
      </c>
      <c r="AN30" s="10" t="str">
        <f t="shared" si="19"/>
        <v/>
      </c>
      <c r="AO30" s="10" t="str">
        <f t="shared" si="20"/>
        <v/>
      </c>
      <c r="AP30" s="10" t="str">
        <f t="shared" si="21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9"/>
        <v/>
      </c>
      <c r="V31" s="8" t="str">
        <f t="shared" si="9"/>
        <v/>
      </c>
      <c r="W31" s="7" t="str">
        <f t="shared" si="22"/>
        <v/>
      </c>
      <c r="X31" s="7" t="str">
        <f t="shared" si="22"/>
        <v/>
      </c>
      <c r="Y31" s="10" t="str">
        <f t="shared" si="3"/>
        <v/>
      </c>
      <c r="Z31" s="10" t="str">
        <f t="shared" si="10"/>
        <v/>
      </c>
      <c r="AA31" s="10" t="str">
        <f t="shared" si="11"/>
        <v/>
      </c>
      <c r="AB31" s="10" t="str">
        <f t="shared" si="12"/>
        <v/>
      </c>
      <c r="AC31" s="10" t="str">
        <f t="shared" si="13"/>
        <v/>
      </c>
      <c r="AD31" s="10" t="str">
        <f t="shared" si="14"/>
        <v/>
      </c>
      <c r="AE31" s="10" t="str">
        <f t="shared" si="4"/>
        <v/>
      </c>
      <c r="AF31" s="10" t="str">
        <f t="shared" si="5"/>
        <v/>
      </c>
      <c r="AG31" s="10" t="str">
        <f t="shared" si="15"/>
        <v/>
      </c>
      <c r="AH31" s="10" t="str">
        <f t="shared" si="6"/>
        <v/>
      </c>
      <c r="AI31" s="10" t="str">
        <f t="shared" si="7"/>
        <v/>
      </c>
      <c r="AJ31" s="10" t="str">
        <f t="shared" si="16"/>
        <v/>
      </c>
      <c r="AK31" s="10" t="str">
        <f t="shared" si="8"/>
        <v/>
      </c>
      <c r="AL31" s="10" t="str">
        <f t="shared" si="17"/>
        <v/>
      </c>
      <c r="AM31" s="10" t="str">
        <f t="shared" si="18"/>
        <v/>
      </c>
      <c r="AN31" s="10" t="str">
        <f t="shared" si="19"/>
        <v/>
      </c>
      <c r="AO31" s="10" t="str">
        <f t="shared" si="20"/>
        <v/>
      </c>
      <c r="AP31" s="10" t="str">
        <f t="shared" si="21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9"/>
        <v/>
      </c>
      <c r="V32" s="8" t="str">
        <f t="shared" si="9"/>
        <v/>
      </c>
      <c r="W32" s="7" t="str">
        <f t="shared" si="22"/>
        <v/>
      </c>
      <c r="X32" s="7" t="str">
        <f t="shared" si="22"/>
        <v/>
      </c>
      <c r="Y32" s="10" t="str">
        <f t="shared" si="3"/>
        <v/>
      </c>
      <c r="Z32" s="10" t="str">
        <f t="shared" si="10"/>
        <v/>
      </c>
      <c r="AA32" s="10" t="str">
        <f t="shared" si="11"/>
        <v/>
      </c>
      <c r="AB32" s="10" t="str">
        <f t="shared" si="12"/>
        <v/>
      </c>
      <c r="AC32" s="10" t="str">
        <f t="shared" si="13"/>
        <v/>
      </c>
      <c r="AD32" s="10" t="str">
        <f t="shared" si="14"/>
        <v/>
      </c>
      <c r="AE32" s="10" t="str">
        <f t="shared" si="4"/>
        <v/>
      </c>
      <c r="AF32" s="10" t="str">
        <f t="shared" si="5"/>
        <v/>
      </c>
      <c r="AG32" s="10" t="str">
        <f t="shared" si="15"/>
        <v/>
      </c>
      <c r="AH32" s="10" t="str">
        <f t="shared" si="6"/>
        <v/>
      </c>
      <c r="AI32" s="10" t="str">
        <f t="shared" si="7"/>
        <v/>
      </c>
      <c r="AJ32" s="10" t="str">
        <f t="shared" si="16"/>
        <v/>
      </c>
      <c r="AK32" s="10" t="str">
        <f t="shared" si="8"/>
        <v/>
      </c>
      <c r="AL32" s="10" t="str">
        <f t="shared" si="17"/>
        <v/>
      </c>
      <c r="AM32" s="10" t="str">
        <f t="shared" si="18"/>
        <v/>
      </c>
      <c r="AN32" s="10" t="str">
        <f t="shared" si="19"/>
        <v/>
      </c>
      <c r="AO32" s="10" t="str">
        <f t="shared" si="20"/>
        <v/>
      </c>
      <c r="AP32" s="10" t="str">
        <f t="shared" si="21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9"/>
        <v/>
      </c>
      <c r="V33" s="8" t="str">
        <f t="shared" si="9"/>
        <v/>
      </c>
      <c r="W33" s="7" t="str">
        <f t="shared" si="22"/>
        <v/>
      </c>
      <c r="X33" s="7" t="str">
        <f t="shared" si="22"/>
        <v/>
      </c>
      <c r="Y33" s="10" t="str">
        <f t="shared" si="3"/>
        <v/>
      </c>
      <c r="Z33" s="10" t="str">
        <f t="shared" si="10"/>
        <v/>
      </c>
      <c r="AA33" s="10" t="str">
        <f t="shared" si="11"/>
        <v/>
      </c>
      <c r="AB33" s="10" t="str">
        <f t="shared" si="12"/>
        <v/>
      </c>
      <c r="AC33" s="10" t="str">
        <f t="shared" si="13"/>
        <v/>
      </c>
      <c r="AD33" s="10" t="str">
        <f t="shared" si="14"/>
        <v/>
      </c>
      <c r="AE33" s="10" t="str">
        <f t="shared" si="4"/>
        <v/>
      </c>
      <c r="AF33" s="10" t="str">
        <f t="shared" si="5"/>
        <v/>
      </c>
      <c r="AG33" s="10" t="str">
        <f t="shared" si="15"/>
        <v/>
      </c>
      <c r="AH33" s="10" t="str">
        <f t="shared" si="6"/>
        <v/>
      </c>
      <c r="AI33" s="10" t="str">
        <f t="shared" si="7"/>
        <v/>
      </c>
      <c r="AJ33" s="10" t="str">
        <f t="shared" si="16"/>
        <v/>
      </c>
      <c r="AK33" s="10" t="str">
        <f t="shared" si="8"/>
        <v/>
      </c>
      <c r="AL33" s="10" t="str">
        <f t="shared" si="17"/>
        <v/>
      </c>
      <c r="AM33" s="10" t="str">
        <f t="shared" si="18"/>
        <v/>
      </c>
      <c r="AN33" s="10" t="str">
        <f t="shared" si="19"/>
        <v/>
      </c>
      <c r="AO33" s="10" t="str">
        <f t="shared" si="20"/>
        <v/>
      </c>
      <c r="AP33" s="10" t="str">
        <f t="shared" si="21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9"/>
        <v/>
      </c>
      <c r="V34" s="8" t="str">
        <f t="shared" si="9"/>
        <v/>
      </c>
      <c r="W34" s="7" t="str">
        <f t="shared" si="22"/>
        <v/>
      </c>
      <c r="X34" s="7" t="str">
        <f t="shared" si="22"/>
        <v/>
      </c>
      <c r="Y34" s="10" t="str">
        <f t="shared" si="3"/>
        <v/>
      </c>
      <c r="Z34" s="10" t="str">
        <f t="shared" si="10"/>
        <v/>
      </c>
      <c r="AA34" s="10" t="str">
        <f t="shared" si="11"/>
        <v/>
      </c>
      <c r="AB34" s="10" t="str">
        <f t="shared" si="12"/>
        <v/>
      </c>
      <c r="AC34" s="10" t="str">
        <f t="shared" si="13"/>
        <v/>
      </c>
      <c r="AD34" s="10" t="str">
        <f t="shared" si="14"/>
        <v/>
      </c>
      <c r="AE34" s="10" t="str">
        <f t="shared" si="4"/>
        <v/>
      </c>
      <c r="AF34" s="10" t="str">
        <f t="shared" si="5"/>
        <v/>
      </c>
      <c r="AG34" s="10" t="str">
        <f t="shared" si="15"/>
        <v/>
      </c>
      <c r="AH34" s="10" t="str">
        <f t="shared" si="6"/>
        <v/>
      </c>
      <c r="AI34" s="10" t="str">
        <f t="shared" si="7"/>
        <v/>
      </c>
      <c r="AJ34" s="10" t="str">
        <f t="shared" si="16"/>
        <v/>
      </c>
      <c r="AK34" s="10" t="str">
        <f t="shared" si="8"/>
        <v/>
      </c>
      <c r="AL34" s="10" t="str">
        <f t="shared" si="17"/>
        <v/>
      </c>
      <c r="AM34" s="10" t="str">
        <f t="shared" si="18"/>
        <v/>
      </c>
      <c r="AN34" s="10" t="str">
        <f t="shared" si="19"/>
        <v/>
      </c>
      <c r="AO34" s="10" t="str">
        <f t="shared" si="20"/>
        <v/>
      </c>
      <c r="AP34" s="10" t="str">
        <f t="shared" si="21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9"/>
        <v/>
      </c>
      <c r="V35" s="8" t="str">
        <f t="shared" si="9"/>
        <v/>
      </c>
      <c r="W35" s="7" t="str">
        <f t="shared" si="22"/>
        <v/>
      </c>
      <c r="X35" s="7" t="str">
        <f t="shared" si="22"/>
        <v/>
      </c>
      <c r="Y35" s="10" t="str">
        <f t="shared" si="3"/>
        <v/>
      </c>
      <c r="Z35" s="10" t="str">
        <f t="shared" si="10"/>
        <v/>
      </c>
      <c r="AA35" s="10" t="str">
        <f t="shared" si="11"/>
        <v/>
      </c>
      <c r="AB35" s="10" t="str">
        <f t="shared" si="12"/>
        <v/>
      </c>
      <c r="AC35" s="10" t="str">
        <f t="shared" si="13"/>
        <v/>
      </c>
      <c r="AD35" s="10" t="str">
        <f t="shared" si="14"/>
        <v/>
      </c>
      <c r="AE35" s="10" t="str">
        <f t="shared" si="4"/>
        <v/>
      </c>
      <c r="AF35" s="10" t="str">
        <f t="shared" si="5"/>
        <v/>
      </c>
      <c r="AG35" s="10" t="str">
        <f t="shared" si="15"/>
        <v/>
      </c>
      <c r="AH35" s="10" t="str">
        <f t="shared" si="6"/>
        <v/>
      </c>
      <c r="AI35" s="10" t="str">
        <f t="shared" si="7"/>
        <v/>
      </c>
      <c r="AJ35" s="10" t="str">
        <f t="shared" si="16"/>
        <v/>
      </c>
      <c r="AK35" s="10" t="str">
        <f t="shared" si="8"/>
        <v/>
      </c>
      <c r="AL35" s="10" t="str">
        <f t="shared" si="17"/>
        <v/>
      </c>
      <c r="AM35" s="10" t="str">
        <f t="shared" si="18"/>
        <v/>
      </c>
      <c r="AN35" s="10" t="str">
        <f t="shared" si="19"/>
        <v/>
      </c>
      <c r="AO35" s="10" t="str">
        <f t="shared" si="20"/>
        <v/>
      </c>
      <c r="AP35" s="10" t="str">
        <f t="shared" si="21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9"/>
        <v/>
      </c>
      <c r="V36" s="8" t="str">
        <f t="shared" si="9"/>
        <v/>
      </c>
      <c r="W36" s="7" t="str">
        <f t="shared" si="22"/>
        <v/>
      </c>
      <c r="X36" s="7" t="str">
        <f t="shared" si="22"/>
        <v/>
      </c>
      <c r="Y36" s="10" t="str">
        <f t="shared" si="3"/>
        <v/>
      </c>
      <c r="Z36" s="10" t="str">
        <f t="shared" si="10"/>
        <v/>
      </c>
      <c r="AA36" s="10" t="str">
        <f t="shared" si="11"/>
        <v/>
      </c>
      <c r="AB36" s="10" t="str">
        <f t="shared" si="12"/>
        <v/>
      </c>
      <c r="AC36" s="10" t="str">
        <f t="shared" si="13"/>
        <v/>
      </c>
      <c r="AD36" s="10" t="str">
        <f t="shared" si="14"/>
        <v/>
      </c>
      <c r="AE36" s="10" t="str">
        <f t="shared" si="4"/>
        <v/>
      </c>
      <c r="AF36" s="10" t="str">
        <f t="shared" si="5"/>
        <v/>
      </c>
      <c r="AG36" s="10" t="str">
        <f t="shared" si="15"/>
        <v/>
      </c>
      <c r="AH36" s="10" t="str">
        <f t="shared" si="6"/>
        <v/>
      </c>
      <c r="AI36" s="10" t="str">
        <f t="shared" si="7"/>
        <v/>
      </c>
      <c r="AJ36" s="10" t="str">
        <f t="shared" si="16"/>
        <v/>
      </c>
      <c r="AK36" s="10" t="str">
        <f t="shared" si="8"/>
        <v/>
      </c>
      <c r="AL36" s="10" t="str">
        <f t="shared" si="17"/>
        <v/>
      </c>
      <c r="AM36" s="10" t="str">
        <f t="shared" si="18"/>
        <v/>
      </c>
      <c r="AN36" s="10" t="str">
        <f t="shared" si="19"/>
        <v/>
      </c>
      <c r="AO36" s="10" t="str">
        <f t="shared" si="20"/>
        <v/>
      </c>
      <c r="AP36" s="10" t="str">
        <f t="shared" si="21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9"/>
        <v/>
      </c>
      <c r="V37" s="8" t="str">
        <f t="shared" si="9"/>
        <v/>
      </c>
      <c r="W37" s="7" t="str">
        <f t="shared" si="22"/>
        <v/>
      </c>
      <c r="X37" s="7" t="str">
        <f t="shared" si="22"/>
        <v/>
      </c>
      <c r="Y37" s="10" t="str">
        <f t="shared" si="3"/>
        <v/>
      </c>
      <c r="Z37" s="10" t="str">
        <f t="shared" si="10"/>
        <v/>
      </c>
      <c r="AA37" s="10" t="str">
        <f t="shared" si="11"/>
        <v/>
      </c>
      <c r="AB37" s="10" t="str">
        <f t="shared" si="12"/>
        <v/>
      </c>
      <c r="AC37" s="10" t="str">
        <f t="shared" si="13"/>
        <v/>
      </c>
      <c r="AD37" s="10" t="str">
        <f t="shared" si="14"/>
        <v/>
      </c>
      <c r="AE37" s="10" t="str">
        <f t="shared" si="4"/>
        <v/>
      </c>
      <c r="AF37" s="10" t="str">
        <f t="shared" si="5"/>
        <v/>
      </c>
      <c r="AG37" s="10" t="str">
        <f t="shared" si="15"/>
        <v/>
      </c>
      <c r="AH37" s="10" t="str">
        <f t="shared" si="6"/>
        <v/>
      </c>
      <c r="AI37" s="10" t="str">
        <f t="shared" si="7"/>
        <v/>
      </c>
      <c r="AJ37" s="10" t="str">
        <f t="shared" si="16"/>
        <v/>
      </c>
      <c r="AK37" s="10" t="str">
        <f t="shared" si="8"/>
        <v/>
      </c>
      <c r="AL37" s="10" t="str">
        <f t="shared" si="17"/>
        <v/>
      </c>
      <c r="AM37" s="10" t="str">
        <f t="shared" si="18"/>
        <v/>
      </c>
      <c r="AN37" s="10" t="str">
        <f t="shared" si="19"/>
        <v/>
      </c>
      <c r="AO37" s="10" t="str">
        <f t="shared" si="20"/>
        <v/>
      </c>
      <c r="AP37" s="10" t="str">
        <f t="shared" si="21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9"/>
        <v/>
      </c>
      <c r="V38" s="8" t="str">
        <f t="shared" si="9"/>
        <v/>
      </c>
      <c r="W38" s="7" t="str">
        <f t="shared" si="22"/>
        <v/>
      </c>
      <c r="X38" s="7" t="str">
        <f t="shared" si="22"/>
        <v/>
      </c>
      <c r="Y38" s="10" t="str">
        <f t="shared" si="3"/>
        <v/>
      </c>
      <c r="Z38" s="10" t="str">
        <f t="shared" si="10"/>
        <v/>
      </c>
      <c r="AA38" s="10" t="str">
        <f t="shared" si="11"/>
        <v/>
      </c>
      <c r="AB38" s="10" t="str">
        <f t="shared" si="12"/>
        <v/>
      </c>
      <c r="AC38" s="10" t="str">
        <f t="shared" si="13"/>
        <v/>
      </c>
      <c r="AD38" s="10" t="str">
        <f t="shared" si="14"/>
        <v/>
      </c>
      <c r="AE38" s="10" t="str">
        <f t="shared" si="4"/>
        <v/>
      </c>
      <c r="AF38" s="10" t="str">
        <f t="shared" si="5"/>
        <v/>
      </c>
      <c r="AG38" s="10" t="str">
        <f t="shared" si="15"/>
        <v/>
      </c>
      <c r="AH38" s="10" t="str">
        <f t="shared" si="6"/>
        <v/>
      </c>
      <c r="AI38" s="10" t="str">
        <f t="shared" si="7"/>
        <v/>
      </c>
      <c r="AJ38" s="10" t="str">
        <f t="shared" si="16"/>
        <v/>
      </c>
      <c r="AK38" s="10" t="str">
        <f t="shared" si="8"/>
        <v/>
      </c>
      <c r="AL38" s="10" t="str">
        <f t="shared" si="17"/>
        <v/>
      </c>
      <c r="AM38" s="10" t="str">
        <f t="shared" si="18"/>
        <v/>
      </c>
      <c r="AN38" s="10" t="str">
        <f t="shared" si="19"/>
        <v/>
      </c>
      <c r="AO38" s="10" t="str">
        <f t="shared" si="20"/>
        <v/>
      </c>
      <c r="AP38" s="10" t="str">
        <f t="shared" si="21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9"/>
        <v/>
      </c>
      <c r="V39" s="8" t="str">
        <f t="shared" si="9"/>
        <v/>
      </c>
      <c r="W39" s="7" t="str">
        <f t="shared" si="22"/>
        <v/>
      </c>
      <c r="X39" s="7" t="str">
        <f t="shared" si="22"/>
        <v/>
      </c>
      <c r="Y39" s="10" t="str">
        <f t="shared" si="3"/>
        <v/>
      </c>
      <c r="Z39" s="10" t="str">
        <f t="shared" si="10"/>
        <v/>
      </c>
      <c r="AA39" s="10" t="str">
        <f t="shared" si="11"/>
        <v/>
      </c>
      <c r="AB39" s="10" t="str">
        <f t="shared" si="12"/>
        <v/>
      </c>
      <c r="AC39" s="10" t="str">
        <f t="shared" si="13"/>
        <v/>
      </c>
      <c r="AD39" s="10" t="str">
        <f t="shared" si="14"/>
        <v/>
      </c>
      <c r="AE39" s="10" t="str">
        <f t="shared" si="4"/>
        <v/>
      </c>
      <c r="AF39" s="10" t="str">
        <f t="shared" si="5"/>
        <v/>
      </c>
      <c r="AG39" s="10" t="str">
        <f t="shared" si="15"/>
        <v/>
      </c>
      <c r="AH39" s="10" t="str">
        <f t="shared" si="6"/>
        <v/>
      </c>
      <c r="AI39" s="10" t="str">
        <f t="shared" si="7"/>
        <v/>
      </c>
      <c r="AJ39" s="10" t="str">
        <f t="shared" si="16"/>
        <v/>
      </c>
      <c r="AK39" s="10" t="str">
        <f t="shared" si="8"/>
        <v/>
      </c>
      <c r="AL39" s="10" t="str">
        <f t="shared" si="17"/>
        <v/>
      </c>
      <c r="AM39" s="10" t="str">
        <f t="shared" si="18"/>
        <v/>
      </c>
      <c r="AN39" s="10" t="str">
        <f t="shared" si="19"/>
        <v/>
      </c>
      <c r="AO39" s="10" t="str">
        <f t="shared" si="20"/>
        <v/>
      </c>
      <c r="AP39" s="10" t="str">
        <f t="shared" si="21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9"/>
        <v/>
      </c>
      <c r="V40" s="8" t="str">
        <f t="shared" si="9"/>
        <v/>
      </c>
      <c r="W40" s="7" t="str">
        <f t="shared" si="22"/>
        <v/>
      </c>
      <c r="X40" s="7" t="str">
        <f t="shared" si="22"/>
        <v/>
      </c>
      <c r="Y40" s="10" t="str">
        <f t="shared" si="3"/>
        <v/>
      </c>
      <c r="Z40" s="10" t="str">
        <f t="shared" si="10"/>
        <v/>
      </c>
      <c r="AA40" s="10" t="str">
        <f t="shared" si="11"/>
        <v/>
      </c>
      <c r="AB40" s="10" t="str">
        <f t="shared" si="12"/>
        <v/>
      </c>
      <c r="AC40" s="10" t="str">
        <f t="shared" si="13"/>
        <v/>
      </c>
      <c r="AD40" s="10" t="str">
        <f t="shared" si="14"/>
        <v/>
      </c>
      <c r="AE40" s="10" t="str">
        <f t="shared" si="4"/>
        <v/>
      </c>
      <c r="AF40" s="10" t="str">
        <f t="shared" si="5"/>
        <v/>
      </c>
      <c r="AG40" s="10" t="str">
        <f t="shared" si="15"/>
        <v/>
      </c>
      <c r="AH40" s="10" t="str">
        <f t="shared" si="6"/>
        <v/>
      </c>
      <c r="AI40" s="10" t="str">
        <f t="shared" si="7"/>
        <v/>
      </c>
      <c r="AJ40" s="10" t="str">
        <f t="shared" si="16"/>
        <v/>
      </c>
      <c r="AK40" s="10" t="str">
        <f t="shared" si="8"/>
        <v/>
      </c>
      <c r="AL40" s="10" t="str">
        <f t="shared" si="17"/>
        <v/>
      </c>
      <c r="AM40" s="10" t="str">
        <f t="shared" si="18"/>
        <v/>
      </c>
      <c r="AN40" s="10" t="str">
        <f t="shared" si="19"/>
        <v/>
      </c>
      <c r="AO40" s="10" t="str">
        <f t="shared" si="20"/>
        <v/>
      </c>
      <c r="AP40" s="10" t="str">
        <f t="shared" si="21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9"/>
        <v/>
      </c>
      <c r="V41" s="8" t="str">
        <f t="shared" si="9"/>
        <v/>
      </c>
      <c r="W41" s="7" t="str">
        <f t="shared" si="22"/>
        <v/>
      </c>
      <c r="X41" s="7" t="str">
        <f t="shared" si="22"/>
        <v/>
      </c>
      <c r="Y41" s="10" t="str">
        <f t="shared" si="3"/>
        <v/>
      </c>
      <c r="Z41" s="10" t="str">
        <f t="shared" si="10"/>
        <v/>
      </c>
      <c r="AA41" s="10" t="str">
        <f t="shared" si="11"/>
        <v/>
      </c>
      <c r="AB41" s="10" t="str">
        <f t="shared" si="12"/>
        <v/>
      </c>
      <c r="AC41" s="10" t="str">
        <f t="shared" si="13"/>
        <v/>
      </c>
      <c r="AD41" s="10" t="str">
        <f t="shared" si="14"/>
        <v/>
      </c>
      <c r="AE41" s="10" t="str">
        <f t="shared" si="4"/>
        <v/>
      </c>
      <c r="AF41" s="10" t="str">
        <f t="shared" si="5"/>
        <v/>
      </c>
      <c r="AG41" s="10" t="str">
        <f t="shared" si="15"/>
        <v/>
      </c>
      <c r="AH41" s="10" t="str">
        <f t="shared" si="6"/>
        <v/>
      </c>
      <c r="AI41" s="10" t="str">
        <f t="shared" si="7"/>
        <v/>
      </c>
      <c r="AJ41" s="10" t="str">
        <f t="shared" si="16"/>
        <v/>
      </c>
      <c r="AK41" s="10" t="str">
        <f t="shared" si="8"/>
        <v/>
      </c>
      <c r="AL41" s="10" t="str">
        <f t="shared" si="17"/>
        <v/>
      </c>
      <c r="AM41" s="10" t="str">
        <f t="shared" si="18"/>
        <v/>
      </c>
      <c r="AN41" s="10" t="str">
        <f t="shared" si="19"/>
        <v/>
      </c>
      <c r="AO41" s="10" t="str">
        <f t="shared" si="20"/>
        <v/>
      </c>
      <c r="AP41" s="10" t="str">
        <f t="shared" si="21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9"/>
        <v/>
      </c>
      <c r="V42" s="8" t="str">
        <f t="shared" si="9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10"/>
        <v/>
      </c>
      <c r="AA42" s="10" t="str">
        <f t="shared" si="11"/>
        <v/>
      </c>
      <c r="AB42" s="10" t="str">
        <f t="shared" si="12"/>
        <v/>
      </c>
      <c r="AC42" s="10" t="str">
        <f t="shared" si="13"/>
        <v/>
      </c>
      <c r="AD42" s="10" t="str">
        <f t="shared" si="14"/>
        <v/>
      </c>
      <c r="AE42" s="10" t="str">
        <f t="shared" ref="AE42:AE73" si="25">IF($G42="","",IF($G42=1,Y42,(1+Y42)*(1+AE41)-1))</f>
        <v/>
      </c>
      <c r="AF42" s="10" t="str">
        <f t="shared" ref="AF42:AF73" si="26">IF($G42="","",IF($G42=1,Z42,(1+Z42)*(1+AF41)-1))</f>
        <v/>
      </c>
      <c r="AG42" s="10" t="str">
        <f t="shared" si="15"/>
        <v/>
      </c>
      <c r="AH42" s="10" t="str">
        <f t="shared" si="6"/>
        <v/>
      </c>
      <c r="AI42" s="10" t="str">
        <f t="shared" si="7"/>
        <v/>
      </c>
      <c r="AJ42" s="10" t="str">
        <f t="shared" si="16"/>
        <v/>
      </c>
      <c r="AK42" s="10" t="str">
        <f t="shared" ref="AK42:AK73" si="27">IF($G42="","",(1+AE42)^(1/G42)-1)</f>
        <v/>
      </c>
      <c r="AL42" s="10" t="str">
        <f t="shared" si="17"/>
        <v/>
      </c>
      <c r="AM42" s="10" t="str">
        <f t="shared" si="18"/>
        <v/>
      </c>
      <c r="AN42" s="10" t="str">
        <f t="shared" si="19"/>
        <v/>
      </c>
      <c r="AO42" s="10" t="str">
        <f t="shared" si="20"/>
        <v/>
      </c>
      <c r="AP42" s="10" t="str">
        <f t="shared" si="21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9"/>
        <v/>
      </c>
      <c r="V43" s="8" t="str">
        <f t="shared" si="9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10"/>
        <v/>
      </c>
      <c r="AA43" s="10" t="str">
        <f t="shared" si="11"/>
        <v/>
      </c>
      <c r="AB43" s="10" t="str">
        <f t="shared" si="12"/>
        <v/>
      </c>
      <c r="AC43" s="10" t="str">
        <f t="shared" si="13"/>
        <v/>
      </c>
      <c r="AD43" s="10" t="str">
        <f t="shared" si="14"/>
        <v/>
      </c>
      <c r="AE43" s="10" t="str">
        <f t="shared" si="25"/>
        <v/>
      </c>
      <c r="AF43" s="10" t="str">
        <f t="shared" si="26"/>
        <v/>
      </c>
      <c r="AG43" s="10" t="str">
        <f t="shared" si="15"/>
        <v/>
      </c>
      <c r="AH43" s="10" t="str">
        <f t="shared" si="6"/>
        <v/>
      </c>
      <c r="AI43" s="10" t="str">
        <f t="shared" si="7"/>
        <v/>
      </c>
      <c r="AJ43" s="10" t="str">
        <f t="shared" si="16"/>
        <v/>
      </c>
      <c r="AK43" s="10" t="str">
        <f t="shared" si="27"/>
        <v/>
      </c>
      <c r="AL43" s="10" t="str">
        <f t="shared" si="17"/>
        <v/>
      </c>
      <c r="AM43" s="10" t="str">
        <f t="shared" si="18"/>
        <v/>
      </c>
      <c r="AN43" s="10" t="str">
        <f t="shared" si="19"/>
        <v/>
      </c>
      <c r="AO43" s="10" t="str">
        <f t="shared" si="20"/>
        <v/>
      </c>
      <c r="AP43" s="10" t="str">
        <f t="shared" si="21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9"/>
        <v/>
      </c>
      <c r="V44" s="8" t="str">
        <f t="shared" si="9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10"/>
        <v/>
      </c>
      <c r="AA44" s="10" t="str">
        <f t="shared" si="11"/>
        <v/>
      </c>
      <c r="AB44" s="10" t="str">
        <f t="shared" si="12"/>
        <v/>
      </c>
      <c r="AC44" s="10" t="str">
        <f t="shared" si="13"/>
        <v/>
      </c>
      <c r="AD44" s="10" t="str">
        <f t="shared" si="14"/>
        <v/>
      </c>
      <c r="AE44" s="10" t="str">
        <f t="shared" si="25"/>
        <v/>
      </c>
      <c r="AF44" s="10" t="str">
        <f t="shared" si="26"/>
        <v/>
      </c>
      <c r="AG44" s="10" t="str">
        <f t="shared" si="15"/>
        <v/>
      </c>
      <c r="AH44" s="10" t="str">
        <f t="shared" si="6"/>
        <v/>
      </c>
      <c r="AI44" s="10" t="str">
        <f t="shared" si="7"/>
        <v/>
      </c>
      <c r="AJ44" s="10" t="str">
        <f t="shared" si="16"/>
        <v/>
      </c>
      <c r="AK44" s="10" t="str">
        <f t="shared" si="27"/>
        <v/>
      </c>
      <c r="AL44" s="10" t="str">
        <f t="shared" si="17"/>
        <v/>
      </c>
      <c r="AM44" s="10" t="str">
        <f t="shared" si="18"/>
        <v/>
      </c>
      <c r="AN44" s="10" t="str">
        <f t="shared" si="19"/>
        <v/>
      </c>
      <c r="AO44" s="10" t="str">
        <f t="shared" si="20"/>
        <v/>
      </c>
      <c r="AP44" s="10" t="str">
        <f t="shared" si="21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9"/>
        <v/>
      </c>
      <c r="V45" s="8" t="str">
        <f t="shared" si="9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10"/>
        <v/>
      </c>
      <c r="AA45" s="10" t="str">
        <f t="shared" si="11"/>
        <v/>
      </c>
      <c r="AB45" s="10" t="str">
        <f t="shared" si="12"/>
        <v/>
      </c>
      <c r="AC45" s="10" t="str">
        <f t="shared" si="13"/>
        <v/>
      </c>
      <c r="AD45" s="10" t="str">
        <f t="shared" si="14"/>
        <v/>
      </c>
      <c r="AE45" s="10" t="str">
        <f t="shared" si="25"/>
        <v/>
      </c>
      <c r="AF45" s="10" t="str">
        <f t="shared" si="26"/>
        <v/>
      </c>
      <c r="AG45" s="10" t="str">
        <f t="shared" si="15"/>
        <v/>
      </c>
      <c r="AH45" s="10" t="str">
        <f t="shared" si="6"/>
        <v/>
      </c>
      <c r="AI45" s="10" t="str">
        <f t="shared" si="7"/>
        <v/>
      </c>
      <c r="AJ45" s="10" t="str">
        <f t="shared" si="16"/>
        <v/>
      </c>
      <c r="AK45" s="10" t="str">
        <f t="shared" si="27"/>
        <v/>
      </c>
      <c r="AL45" s="10" t="str">
        <f t="shared" si="17"/>
        <v/>
      </c>
      <c r="AM45" s="10" t="str">
        <f t="shared" si="18"/>
        <v/>
      </c>
      <c r="AN45" s="10" t="str">
        <f t="shared" si="19"/>
        <v/>
      </c>
      <c r="AO45" s="10" t="str">
        <f t="shared" si="20"/>
        <v/>
      </c>
      <c r="AP45" s="10" t="str">
        <f t="shared" si="21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9"/>
        <v/>
      </c>
      <c r="V46" s="8" t="str">
        <f t="shared" si="9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10"/>
        <v/>
      </c>
      <c r="AA46" s="10" t="str">
        <f t="shared" si="11"/>
        <v/>
      </c>
      <c r="AB46" s="10" t="str">
        <f t="shared" si="12"/>
        <v/>
      </c>
      <c r="AC46" s="10" t="str">
        <f t="shared" si="13"/>
        <v/>
      </c>
      <c r="AD46" s="10" t="str">
        <f t="shared" si="14"/>
        <v/>
      </c>
      <c r="AE46" s="10" t="str">
        <f t="shared" si="25"/>
        <v/>
      </c>
      <c r="AF46" s="10" t="str">
        <f t="shared" si="26"/>
        <v/>
      </c>
      <c r="AG46" s="10" t="str">
        <f t="shared" si="15"/>
        <v/>
      </c>
      <c r="AH46" s="10" t="str">
        <f t="shared" si="6"/>
        <v/>
      </c>
      <c r="AI46" s="10" t="str">
        <f t="shared" si="7"/>
        <v/>
      </c>
      <c r="AJ46" s="10" t="str">
        <f t="shared" si="16"/>
        <v/>
      </c>
      <c r="AK46" s="10" t="str">
        <f t="shared" si="27"/>
        <v/>
      </c>
      <c r="AL46" s="10" t="str">
        <f t="shared" si="17"/>
        <v/>
      </c>
      <c r="AM46" s="10" t="str">
        <f t="shared" si="18"/>
        <v/>
      </c>
      <c r="AN46" s="10" t="str">
        <f t="shared" si="19"/>
        <v/>
      </c>
      <c r="AO46" s="10" t="str">
        <f t="shared" si="20"/>
        <v/>
      </c>
      <c r="AP46" s="10" t="str">
        <f t="shared" si="21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9"/>
        <v/>
      </c>
      <c r="V47" s="8" t="str">
        <f t="shared" si="9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10"/>
        <v/>
      </c>
      <c r="AA47" s="10" t="str">
        <f t="shared" si="11"/>
        <v/>
      </c>
      <c r="AB47" s="10" t="str">
        <f t="shared" si="12"/>
        <v/>
      </c>
      <c r="AC47" s="10" t="str">
        <f t="shared" si="13"/>
        <v/>
      </c>
      <c r="AD47" s="10" t="str">
        <f t="shared" si="14"/>
        <v/>
      </c>
      <c r="AE47" s="10" t="str">
        <f t="shared" si="25"/>
        <v/>
      </c>
      <c r="AF47" s="10" t="str">
        <f t="shared" si="26"/>
        <v/>
      </c>
      <c r="AG47" s="10" t="str">
        <f t="shared" si="15"/>
        <v/>
      </c>
      <c r="AH47" s="10" t="str">
        <f t="shared" si="6"/>
        <v/>
      </c>
      <c r="AI47" s="10" t="str">
        <f t="shared" si="7"/>
        <v/>
      </c>
      <c r="AJ47" s="10" t="str">
        <f t="shared" si="16"/>
        <v/>
      </c>
      <c r="AK47" s="10" t="str">
        <f t="shared" si="27"/>
        <v/>
      </c>
      <c r="AL47" s="10" t="str">
        <f t="shared" si="17"/>
        <v/>
      </c>
      <c r="AM47" s="10" t="str">
        <f t="shared" si="18"/>
        <v/>
      </c>
      <c r="AN47" s="10" t="str">
        <f t="shared" si="19"/>
        <v/>
      </c>
      <c r="AO47" s="10" t="str">
        <f t="shared" si="20"/>
        <v/>
      </c>
      <c r="AP47" s="10" t="str">
        <f t="shared" si="21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9"/>
        <v/>
      </c>
      <c r="V48" s="8" t="str">
        <f t="shared" si="9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10"/>
        <v/>
      </c>
      <c r="AA48" s="10" t="str">
        <f t="shared" si="11"/>
        <v/>
      </c>
      <c r="AB48" s="10" t="str">
        <f t="shared" si="12"/>
        <v/>
      </c>
      <c r="AC48" s="10" t="str">
        <f t="shared" si="13"/>
        <v/>
      </c>
      <c r="AD48" s="10" t="str">
        <f t="shared" si="14"/>
        <v/>
      </c>
      <c r="AE48" s="10" t="str">
        <f t="shared" si="25"/>
        <v/>
      </c>
      <c r="AF48" s="10" t="str">
        <f t="shared" si="26"/>
        <v/>
      </c>
      <c r="AG48" s="10" t="str">
        <f t="shared" si="15"/>
        <v/>
      </c>
      <c r="AH48" s="10" t="str">
        <f t="shared" si="6"/>
        <v/>
      </c>
      <c r="AI48" s="10" t="str">
        <f t="shared" si="7"/>
        <v/>
      </c>
      <c r="AJ48" s="10" t="str">
        <f t="shared" si="16"/>
        <v/>
      </c>
      <c r="AK48" s="10" t="str">
        <f t="shared" si="27"/>
        <v/>
      </c>
      <c r="AL48" s="10" t="str">
        <f t="shared" si="17"/>
        <v/>
      </c>
      <c r="AM48" s="10" t="str">
        <f t="shared" si="18"/>
        <v/>
      </c>
      <c r="AN48" s="10" t="str">
        <f t="shared" si="19"/>
        <v/>
      </c>
      <c r="AO48" s="10" t="str">
        <f t="shared" si="20"/>
        <v/>
      </c>
      <c r="AP48" s="10" t="str">
        <f t="shared" si="21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9"/>
        <v/>
      </c>
      <c r="V49" s="8" t="str">
        <f t="shared" si="9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10"/>
        <v/>
      </c>
      <c r="AA49" s="10" t="str">
        <f t="shared" si="11"/>
        <v/>
      </c>
      <c r="AB49" s="10" t="str">
        <f t="shared" si="12"/>
        <v/>
      </c>
      <c r="AC49" s="10" t="str">
        <f t="shared" si="13"/>
        <v/>
      </c>
      <c r="AD49" s="10" t="str">
        <f t="shared" si="14"/>
        <v/>
      </c>
      <c r="AE49" s="10" t="str">
        <f t="shared" si="25"/>
        <v/>
      </c>
      <c r="AF49" s="10" t="str">
        <f t="shared" si="26"/>
        <v/>
      </c>
      <c r="AG49" s="10" t="str">
        <f t="shared" si="15"/>
        <v/>
      </c>
      <c r="AH49" s="10" t="str">
        <f t="shared" si="6"/>
        <v/>
      </c>
      <c r="AI49" s="10" t="str">
        <f t="shared" si="7"/>
        <v/>
      </c>
      <c r="AJ49" s="10" t="str">
        <f t="shared" si="16"/>
        <v/>
      </c>
      <c r="AK49" s="10" t="str">
        <f t="shared" si="27"/>
        <v/>
      </c>
      <c r="AL49" s="10" t="str">
        <f t="shared" si="17"/>
        <v/>
      </c>
      <c r="AM49" s="10" t="str">
        <f t="shared" si="18"/>
        <v/>
      </c>
      <c r="AN49" s="10" t="str">
        <f t="shared" si="19"/>
        <v/>
      </c>
      <c r="AO49" s="10" t="str">
        <f t="shared" si="20"/>
        <v/>
      </c>
      <c r="AP49" s="10" t="str">
        <f t="shared" si="21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9"/>
        <v/>
      </c>
      <c r="V50" s="8" t="str">
        <f t="shared" si="9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10"/>
        <v/>
      </c>
      <c r="AA50" s="10" t="str">
        <f t="shared" si="11"/>
        <v/>
      </c>
      <c r="AB50" s="10" t="str">
        <f t="shared" si="12"/>
        <v/>
      </c>
      <c r="AC50" s="10" t="str">
        <f t="shared" si="13"/>
        <v/>
      </c>
      <c r="AD50" s="10" t="str">
        <f t="shared" si="14"/>
        <v/>
      </c>
      <c r="AE50" s="10" t="str">
        <f t="shared" si="25"/>
        <v/>
      </c>
      <c r="AF50" s="10" t="str">
        <f t="shared" si="26"/>
        <v/>
      </c>
      <c r="AG50" s="10" t="str">
        <f t="shared" si="15"/>
        <v/>
      </c>
      <c r="AH50" s="10" t="str">
        <f t="shared" si="6"/>
        <v/>
      </c>
      <c r="AI50" s="10" t="str">
        <f t="shared" si="7"/>
        <v/>
      </c>
      <c r="AJ50" s="10" t="str">
        <f t="shared" si="16"/>
        <v/>
      </c>
      <c r="AK50" s="10" t="str">
        <f t="shared" si="27"/>
        <v/>
      </c>
      <c r="AL50" s="10" t="str">
        <f t="shared" si="17"/>
        <v/>
      </c>
      <c r="AM50" s="10" t="str">
        <f t="shared" si="18"/>
        <v/>
      </c>
      <c r="AN50" s="10" t="str">
        <f t="shared" si="19"/>
        <v/>
      </c>
      <c r="AO50" s="10" t="str">
        <f t="shared" si="20"/>
        <v/>
      </c>
      <c r="AP50" s="10" t="str">
        <f t="shared" si="21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9"/>
        <v/>
      </c>
      <c r="V51" s="8" t="str">
        <f t="shared" si="9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10"/>
        <v/>
      </c>
      <c r="AA51" s="10" t="str">
        <f t="shared" si="11"/>
        <v/>
      </c>
      <c r="AB51" s="10" t="str">
        <f t="shared" si="12"/>
        <v/>
      </c>
      <c r="AC51" s="10" t="str">
        <f t="shared" si="13"/>
        <v/>
      </c>
      <c r="AD51" s="10" t="str">
        <f t="shared" si="14"/>
        <v/>
      </c>
      <c r="AE51" s="10" t="str">
        <f t="shared" si="25"/>
        <v/>
      </c>
      <c r="AF51" s="10" t="str">
        <f t="shared" si="26"/>
        <v/>
      </c>
      <c r="AG51" s="10" t="str">
        <f t="shared" si="15"/>
        <v/>
      </c>
      <c r="AH51" s="10" t="str">
        <f t="shared" si="6"/>
        <v/>
      </c>
      <c r="AI51" s="10" t="str">
        <f t="shared" si="7"/>
        <v/>
      </c>
      <c r="AJ51" s="10" t="str">
        <f t="shared" si="16"/>
        <v/>
      </c>
      <c r="AK51" s="10" t="str">
        <f t="shared" si="27"/>
        <v/>
      </c>
      <c r="AL51" s="10" t="str">
        <f t="shared" si="17"/>
        <v/>
      </c>
      <c r="AM51" s="10" t="str">
        <f t="shared" si="18"/>
        <v/>
      </c>
      <c r="AN51" s="10" t="str">
        <f t="shared" si="19"/>
        <v/>
      </c>
      <c r="AO51" s="10" t="str">
        <f t="shared" si="20"/>
        <v/>
      </c>
      <c r="AP51" s="10" t="str">
        <f t="shared" si="21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8">IF($G52="","",IF($G52=1,(($C$2+$H52)*O$3)*(1+(O$4-O$5)),((O51+($H52*O$3))*(1+(O$4-O$5)))))</f>
        <v/>
      </c>
      <c r="P52" s="7" t="str">
        <f t="shared" si="28"/>
        <v/>
      </c>
      <c r="Q52" s="7" t="str">
        <f t="shared" si="28"/>
        <v/>
      </c>
      <c r="R52" s="7" t="str">
        <f t="shared" si="28"/>
        <v/>
      </c>
      <c r="S52" s="7" t="str">
        <f t="shared" si="28"/>
        <v/>
      </c>
      <c r="T52" s="7" t="str">
        <f t="shared" si="28"/>
        <v/>
      </c>
      <c r="U52" s="8" t="str">
        <f t="shared" si="9"/>
        <v/>
      </c>
      <c r="V52" s="8" t="str">
        <f t="shared" si="9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10"/>
        <v/>
      </c>
      <c r="AA52" s="10" t="str">
        <f t="shared" si="11"/>
        <v/>
      </c>
      <c r="AB52" s="10" t="str">
        <f t="shared" si="12"/>
        <v/>
      </c>
      <c r="AC52" s="10" t="str">
        <f t="shared" si="13"/>
        <v/>
      </c>
      <c r="AD52" s="10" t="str">
        <f t="shared" si="14"/>
        <v/>
      </c>
      <c r="AE52" s="10" t="str">
        <f t="shared" si="25"/>
        <v/>
      </c>
      <c r="AF52" s="10" t="str">
        <f t="shared" si="26"/>
        <v/>
      </c>
      <c r="AG52" s="10" t="str">
        <f t="shared" si="15"/>
        <v/>
      </c>
      <c r="AH52" s="10" t="str">
        <f t="shared" si="6"/>
        <v/>
      </c>
      <c r="AI52" s="10" t="str">
        <f t="shared" si="7"/>
        <v/>
      </c>
      <c r="AJ52" s="10" t="str">
        <f t="shared" si="16"/>
        <v/>
      </c>
      <c r="AK52" s="10" t="str">
        <f t="shared" si="27"/>
        <v/>
      </c>
      <c r="AL52" s="10" t="str">
        <f t="shared" si="17"/>
        <v/>
      </c>
      <c r="AM52" s="10" t="str">
        <f t="shared" si="18"/>
        <v/>
      </c>
      <c r="AN52" s="10" t="str">
        <f t="shared" si="19"/>
        <v/>
      </c>
      <c r="AO52" s="10" t="str">
        <f t="shared" si="20"/>
        <v/>
      </c>
      <c r="AP52" s="10" t="str">
        <f t="shared" si="21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8"/>
        <v/>
      </c>
      <c r="J53" s="7" t="str">
        <f t="shared" si="28"/>
        <v/>
      </c>
      <c r="K53" s="7" t="str">
        <f t="shared" si="28"/>
        <v/>
      </c>
      <c r="L53" s="7" t="str">
        <f t="shared" si="28"/>
        <v/>
      </c>
      <c r="M53" s="7" t="str">
        <f t="shared" si="28"/>
        <v/>
      </c>
      <c r="N53" s="7" t="str">
        <f t="shared" si="28"/>
        <v/>
      </c>
      <c r="O53" s="7" t="str">
        <f t="shared" si="28"/>
        <v/>
      </c>
      <c r="P53" s="7" t="str">
        <f t="shared" si="28"/>
        <v/>
      </c>
      <c r="Q53" s="7" t="str">
        <f t="shared" si="28"/>
        <v/>
      </c>
      <c r="R53" s="7" t="str">
        <f t="shared" si="28"/>
        <v/>
      </c>
      <c r="S53" s="7" t="str">
        <f t="shared" si="28"/>
        <v/>
      </c>
      <c r="T53" s="7" t="str">
        <f t="shared" si="28"/>
        <v/>
      </c>
      <c r="U53" s="8" t="str">
        <f t="shared" si="9"/>
        <v/>
      </c>
      <c r="V53" s="8" t="str">
        <f t="shared" si="9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10"/>
        <v/>
      </c>
      <c r="AA53" s="10" t="str">
        <f t="shared" si="11"/>
        <v/>
      </c>
      <c r="AB53" s="10" t="str">
        <f t="shared" si="12"/>
        <v/>
      </c>
      <c r="AC53" s="10" t="str">
        <f t="shared" si="13"/>
        <v/>
      </c>
      <c r="AD53" s="10" t="str">
        <f t="shared" si="14"/>
        <v/>
      </c>
      <c r="AE53" s="10" t="str">
        <f t="shared" si="25"/>
        <v/>
      </c>
      <c r="AF53" s="10" t="str">
        <f t="shared" si="26"/>
        <v/>
      </c>
      <c r="AG53" s="10" t="str">
        <f t="shared" si="15"/>
        <v/>
      </c>
      <c r="AH53" s="10" t="str">
        <f t="shared" si="6"/>
        <v/>
      </c>
      <c r="AI53" s="10" t="str">
        <f t="shared" si="7"/>
        <v/>
      </c>
      <c r="AJ53" s="10" t="str">
        <f t="shared" si="16"/>
        <v/>
      </c>
      <c r="AK53" s="10" t="str">
        <f t="shared" si="27"/>
        <v/>
      </c>
      <c r="AL53" s="10" t="str">
        <f t="shared" si="17"/>
        <v/>
      </c>
      <c r="AM53" s="10" t="str">
        <f t="shared" si="18"/>
        <v/>
      </c>
      <c r="AN53" s="10" t="str">
        <f t="shared" si="19"/>
        <v/>
      </c>
      <c r="AO53" s="10" t="str">
        <f t="shared" si="20"/>
        <v/>
      </c>
      <c r="AP53" s="10" t="str">
        <f t="shared" si="21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8"/>
        <v/>
      </c>
      <c r="J54" s="7" t="str">
        <f t="shared" si="28"/>
        <v/>
      </c>
      <c r="K54" s="7" t="str">
        <f t="shared" si="28"/>
        <v/>
      </c>
      <c r="L54" s="7" t="str">
        <f t="shared" si="28"/>
        <v/>
      </c>
      <c r="M54" s="7" t="str">
        <f t="shared" si="28"/>
        <v/>
      </c>
      <c r="N54" s="7" t="str">
        <f t="shared" si="28"/>
        <v/>
      </c>
      <c r="O54" s="7" t="str">
        <f t="shared" si="28"/>
        <v/>
      </c>
      <c r="P54" s="7" t="str">
        <f t="shared" si="28"/>
        <v/>
      </c>
      <c r="Q54" s="7" t="str">
        <f t="shared" si="28"/>
        <v/>
      </c>
      <c r="R54" s="7" t="str">
        <f t="shared" si="28"/>
        <v/>
      </c>
      <c r="S54" s="7" t="str">
        <f t="shared" si="28"/>
        <v/>
      </c>
      <c r="T54" s="7" t="str">
        <f t="shared" si="28"/>
        <v/>
      </c>
      <c r="U54" s="8" t="str">
        <f t="shared" si="9"/>
        <v/>
      </c>
      <c r="V54" s="8" t="str">
        <f t="shared" si="9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10"/>
        <v/>
      </c>
      <c r="AA54" s="10" t="str">
        <f t="shared" si="11"/>
        <v/>
      </c>
      <c r="AB54" s="10" t="str">
        <f t="shared" si="12"/>
        <v/>
      </c>
      <c r="AC54" s="10" t="str">
        <f t="shared" si="13"/>
        <v/>
      </c>
      <c r="AD54" s="10" t="str">
        <f t="shared" si="14"/>
        <v/>
      </c>
      <c r="AE54" s="10" t="str">
        <f t="shared" si="25"/>
        <v/>
      </c>
      <c r="AF54" s="10" t="str">
        <f t="shared" si="26"/>
        <v/>
      </c>
      <c r="AG54" s="10" t="str">
        <f t="shared" si="15"/>
        <v/>
      </c>
      <c r="AH54" s="10" t="str">
        <f t="shared" si="6"/>
        <v/>
      </c>
      <c r="AI54" s="10" t="str">
        <f t="shared" si="7"/>
        <v/>
      </c>
      <c r="AJ54" s="10" t="str">
        <f t="shared" si="16"/>
        <v/>
      </c>
      <c r="AK54" s="10" t="str">
        <f t="shared" si="27"/>
        <v/>
      </c>
      <c r="AL54" s="10" t="str">
        <f t="shared" si="17"/>
        <v/>
      </c>
      <c r="AM54" s="10" t="str">
        <f t="shared" si="18"/>
        <v/>
      </c>
      <c r="AN54" s="10" t="str">
        <f t="shared" si="19"/>
        <v/>
      </c>
      <c r="AO54" s="10" t="str">
        <f t="shared" si="20"/>
        <v/>
      </c>
      <c r="AP54" s="10" t="str">
        <f t="shared" si="21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8"/>
        <v/>
      </c>
      <c r="J55" s="7" t="str">
        <f t="shared" si="28"/>
        <v/>
      </c>
      <c r="K55" s="7" t="str">
        <f t="shared" si="28"/>
        <v/>
      </c>
      <c r="L55" s="7" t="str">
        <f t="shared" si="28"/>
        <v/>
      </c>
      <c r="M55" s="7" t="str">
        <f t="shared" si="28"/>
        <v/>
      </c>
      <c r="N55" s="7" t="str">
        <f t="shared" si="28"/>
        <v/>
      </c>
      <c r="O55" s="7" t="str">
        <f t="shared" si="28"/>
        <v/>
      </c>
      <c r="P55" s="7" t="str">
        <f t="shared" si="28"/>
        <v/>
      </c>
      <c r="Q55" s="7" t="str">
        <f t="shared" si="28"/>
        <v/>
      </c>
      <c r="R55" s="7" t="str">
        <f t="shared" si="28"/>
        <v/>
      </c>
      <c r="S55" s="7" t="str">
        <f t="shared" si="28"/>
        <v/>
      </c>
      <c r="T55" s="7" t="str">
        <f t="shared" si="28"/>
        <v/>
      </c>
      <c r="U55" s="8" t="str">
        <f t="shared" si="9"/>
        <v/>
      </c>
      <c r="V55" s="8" t="str">
        <f t="shared" si="9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10"/>
        <v/>
      </c>
      <c r="AA55" s="10" t="str">
        <f t="shared" si="11"/>
        <v/>
      </c>
      <c r="AB55" s="10" t="str">
        <f t="shared" si="12"/>
        <v/>
      </c>
      <c r="AC55" s="10" t="str">
        <f t="shared" si="13"/>
        <v/>
      </c>
      <c r="AD55" s="10" t="str">
        <f t="shared" si="14"/>
        <v/>
      </c>
      <c r="AE55" s="10" t="str">
        <f t="shared" si="25"/>
        <v/>
      </c>
      <c r="AF55" s="10" t="str">
        <f t="shared" si="26"/>
        <v/>
      </c>
      <c r="AG55" s="10" t="str">
        <f t="shared" si="15"/>
        <v/>
      </c>
      <c r="AH55" s="10" t="str">
        <f t="shared" si="6"/>
        <v/>
      </c>
      <c r="AI55" s="10" t="str">
        <f t="shared" si="7"/>
        <v/>
      </c>
      <c r="AJ55" s="10" t="str">
        <f t="shared" si="16"/>
        <v/>
      </c>
      <c r="AK55" s="10" t="str">
        <f t="shared" si="27"/>
        <v/>
      </c>
      <c r="AL55" s="10" t="str">
        <f t="shared" si="17"/>
        <v/>
      </c>
      <c r="AM55" s="10" t="str">
        <f t="shared" si="18"/>
        <v/>
      </c>
      <c r="AN55" s="10" t="str">
        <f t="shared" si="19"/>
        <v/>
      </c>
      <c r="AO55" s="10" t="str">
        <f t="shared" si="20"/>
        <v/>
      </c>
      <c r="AP55" s="10" t="str">
        <f t="shared" si="21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8"/>
        <v/>
      </c>
      <c r="J56" s="7" t="str">
        <f t="shared" si="28"/>
        <v/>
      </c>
      <c r="K56" s="7" t="str">
        <f t="shared" si="28"/>
        <v/>
      </c>
      <c r="L56" s="7" t="str">
        <f t="shared" si="28"/>
        <v/>
      </c>
      <c r="M56" s="7" t="str">
        <f t="shared" si="28"/>
        <v/>
      </c>
      <c r="N56" s="7" t="str">
        <f t="shared" si="28"/>
        <v/>
      </c>
      <c r="O56" s="7" t="str">
        <f t="shared" si="28"/>
        <v/>
      </c>
      <c r="P56" s="7" t="str">
        <f t="shared" si="28"/>
        <v/>
      </c>
      <c r="Q56" s="7" t="str">
        <f t="shared" si="28"/>
        <v/>
      </c>
      <c r="R56" s="7" t="str">
        <f t="shared" si="28"/>
        <v/>
      </c>
      <c r="S56" s="7" t="str">
        <f t="shared" si="28"/>
        <v/>
      </c>
      <c r="T56" s="7" t="str">
        <f t="shared" si="28"/>
        <v/>
      </c>
      <c r="U56" s="8" t="str">
        <f t="shared" si="9"/>
        <v/>
      </c>
      <c r="V56" s="8" t="str">
        <f t="shared" si="9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10"/>
        <v/>
      </c>
      <c r="AA56" s="10" t="str">
        <f t="shared" si="11"/>
        <v/>
      </c>
      <c r="AB56" s="10" t="str">
        <f t="shared" si="12"/>
        <v/>
      </c>
      <c r="AC56" s="10" t="str">
        <f t="shared" si="13"/>
        <v/>
      </c>
      <c r="AD56" s="10" t="str">
        <f t="shared" si="14"/>
        <v/>
      </c>
      <c r="AE56" s="10" t="str">
        <f t="shared" si="25"/>
        <v/>
      </c>
      <c r="AF56" s="10" t="str">
        <f t="shared" si="26"/>
        <v/>
      </c>
      <c r="AG56" s="10" t="str">
        <f t="shared" si="15"/>
        <v/>
      </c>
      <c r="AH56" s="10" t="str">
        <f t="shared" si="6"/>
        <v/>
      </c>
      <c r="AI56" s="10" t="str">
        <f t="shared" si="7"/>
        <v/>
      </c>
      <c r="AJ56" s="10" t="str">
        <f t="shared" si="16"/>
        <v/>
      </c>
      <c r="AK56" s="10" t="str">
        <f t="shared" si="27"/>
        <v/>
      </c>
      <c r="AL56" s="10" t="str">
        <f t="shared" si="17"/>
        <v/>
      </c>
      <c r="AM56" s="10" t="str">
        <f t="shared" si="18"/>
        <v/>
      </c>
      <c r="AN56" s="10" t="str">
        <f t="shared" si="19"/>
        <v/>
      </c>
      <c r="AO56" s="10" t="str">
        <f t="shared" si="20"/>
        <v/>
      </c>
      <c r="AP56" s="10" t="str">
        <f t="shared" si="21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8"/>
        <v/>
      </c>
      <c r="J57" s="7" t="str">
        <f t="shared" si="28"/>
        <v/>
      </c>
      <c r="K57" s="7" t="str">
        <f t="shared" si="28"/>
        <v/>
      </c>
      <c r="L57" s="7" t="str">
        <f t="shared" si="28"/>
        <v/>
      </c>
      <c r="M57" s="7" t="str">
        <f t="shared" si="28"/>
        <v/>
      </c>
      <c r="N57" s="7" t="str">
        <f t="shared" si="28"/>
        <v/>
      </c>
      <c r="O57" s="7" t="str">
        <f t="shared" si="28"/>
        <v/>
      </c>
      <c r="P57" s="7" t="str">
        <f t="shared" si="28"/>
        <v/>
      </c>
      <c r="Q57" s="7" t="str">
        <f t="shared" si="28"/>
        <v/>
      </c>
      <c r="R57" s="7" t="str">
        <f t="shared" si="28"/>
        <v/>
      </c>
      <c r="S57" s="7" t="str">
        <f t="shared" si="28"/>
        <v/>
      </c>
      <c r="T57" s="7" t="str">
        <f t="shared" si="28"/>
        <v/>
      </c>
      <c r="U57" s="8" t="str">
        <f t="shared" si="9"/>
        <v/>
      </c>
      <c r="V57" s="8" t="str">
        <f t="shared" si="9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10"/>
        <v/>
      </c>
      <c r="AA57" s="10" t="str">
        <f t="shared" si="11"/>
        <v/>
      </c>
      <c r="AB57" s="10" t="str">
        <f t="shared" si="12"/>
        <v/>
      </c>
      <c r="AC57" s="10" t="str">
        <f t="shared" si="13"/>
        <v/>
      </c>
      <c r="AD57" s="10" t="str">
        <f t="shared" si="14"/>
        <v/>
      </c>
      <c r="AE57" s="10" t="str">
        <f t="shared" si="25"/>
        <v/>
      </c>
      <c r="AF57" s="10" t="str">
        <f t="shared" si="26"/>
        <v/>
      </c>
      <c r="AG57" s="10" t="str">
        <f t="shared" si="15"/>
        <v/>
      </c>
      <c r="AH57" s="10" t="str">
        <f t="shared" si="6"/>
        <v/>
      </c>
      <c r="AI57" s="10" t="str">
        <f t="shared" si="7"/>
        <v/>
      </c>
      <c r="AJ57" s="10" t="str">
        <f t="shared" si="16"/>
        <v/>
      </c>
      <c r="AK57" s="10" t="str">
        <f t="shared" si="27"/>
        <v/>
      </c>
      <c r="AL57" s="10" t="str">
        <f t="shared" si="17"/>
        <v/>
      </c>
      <c r="AM57" s="10" t="str">
        <f t="shared" si="18"/>
        <v/>
      </c>
      <c r="AN57" s="10" t="str">
        <f t="shared" si="19"/>
        <v/>
      </c>
      <c r="AO57" s="10" t="str">
        <f t="shared" si="20"/>
        <v/>
      </c>
      <c r="AP57" s="10" t="str">
        <f t="shared" si="21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8"/>
        <v/>
      </c>
      <c r="J58" s="7" t="str">
        <f t="shared" si="28"/>
        <v/>
      </c>
      <c r="K58" s="7" t="str">
        <f t="shared" si="28"/>
        <v/>
      </c>
      <c r="L58" s="7" t="str">
        <f t="shared" si="28"/>
        <v/>
      </c>
      <c r="M58" s="7" t="str">
        <f t="shared" si="28"/>
        <v/>
      </c>
      <c r="N58" s="7" t="str">
        <f t="shared" si="28"/>
        <v/>
      </c>
      <c r="O58" s="7" t="str">
        <f t="shared" si="28"/>
        <v/>
      </c>
      <c r="P58" s="7" t="str">
        <f t="shared" si="28"/>
        <v/>
      </c>
      <c r="Q58" s="7" t="str">
        <f t="shared" si="28"/>
        <v/>
      </c>
      <c r="R58" s="7" t="str">
        <f t="shared" si="28"/>
        <v/>
      </c>
      <c r="S58" s="7" t="str">
        <f t="shared" si="28"/>
        <v/>
      </c>
      <c r="T58" s="7" t="str">
        <f t="shared" si="28"/>
        <v/>
      </c>
      <c r="U58" s="8" t="str">
        <f t="shared" si="9"/>
        <v/>
      </c>
      <c r="V58" s="8" t="str">
        <f t="shared" si="9"/>
        <v/>
      </c>
      <c r="W58" s="7" t="str">
        <f t="shared" ref="W58:X72" si="29">IF($G58="","",IF($G58=1,(($C$2+$H58)*W$3)*(1+(W$4-W$5)),((W57+($H58*W$3))*(1+(W$4-W$5)))))</f>
        <v/>
      </c>
      <c r="X58" s="7" t="str">
        <f t="shared" si="29"/>
        <v/>
      </c>
      <c r="Y58" s="10" t="str">
        <f t="shared" si="3"/>
        <v/>
      </c>
      <c r="Z58" s="10" t="str">
        <f t="shared" si="10"/>
        <v/>
      </c>
      <c r="AA58" s="10" t="str">
        <f t="shared" si="11"/>
        <v/>
      </c>
      <c r="AB58" s="10" t="str">
        <f t="shared" si="12"/>
        <v/>
      </c>
      <c r="AC58" s="10" t="str">
        <f t="shared" si="13"/>
        <v/>
      </c>
      <c r="AD58" s="10" t="str">
        <f t="shared" si="14"/>
        <v/>
      </c>
      <c r="AE58" s="10" t="str">
        <f t="shared" si="25"/>
        <v/>
      </c>
      <c r="AF58" s="10" t="str">
        <f t="shared" si="26"/>
        <v/>
      </c>
      <c r="AG58" s="10" t="str">
        <f t="shared" si="15"/>
        <v/>
      </c>
      <c r="AH58" s="10" t="str">
        <f t="shared" si="6"/>
        <v/>
      </c>
      <c r="AI58" s="10" t="str">
        <f t="shared" si="7"/>
        <v/>
      </c>
      <c r="AJ58" s="10" t="str">
        <f t="shared" si="16"/>
        <v/>
      </c>
      <c r="AK58" s="10" t="str">
        <f t="shared" si="27"/>
        <v/>
      </c>
      <c r="AL58" s="10" t="str">
        <f t="shared" si="17"/>
        <v/>
      </c>
      <c r="AM58" s="10" t="str">
        <f t="shared" si="18"/>
        <v/>
      </c>
      <c r="AN58" s="10" t="str">
        <f t="shared" si="19"/>
        <v/>
      </c>
      <c r="AO58" s="10" t="str">
        <f t="shared" si="20"/>
        <v/>
      </c>
      <c r="AP58" s="10" t="str">
        <f t="shared" si="21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8"/>
        <v/>
      </c>
      <c r="J59" s="7" t="str">
        <f t="shared" si="28"/>
        <v/>
      </c>
      <c r="K59" s="7" t="str">
        <f t="shared" si="28"/>
        <v/>
      </c>
      <c r="L59" s="7" t="str">
        <f t="shared" si="28"/>
        <v/>
      </c>
      <c r="M59" s="7" t="str">
        <f t="shared" si="28"/>
        <v/>
      </c>
      <c r="N59" s="7" t="str">
        <f t="shared" si="28"/>
        <v/>
      </c>
      <c r="O59" s="7" t="str">
        <f t="shared" si="28"/>
        <v/>
      </c>
      <c r="P59" s="7" t="str">
        <f t="shared" si="28"/>
        <v/>
      </c>
      <c r="Q59" s="7" t="str">
        <f t="shared" si="28"/>
        <v/>
      </c>
      <c r="R59" s="7" t="str">
        <f t="shared" si="28"/>
        <v/>
      </c>
      <c r="S59" s="7" t="str">
        <f t="shared" si="28"/>
        <v/>
      </c>
      <c r="T59" s="7" t="str">
        <f t="shared" si="28"/>
        <v/>
      </c>
      <c r="U59" s="8" t="str">
        <f t="shared" si="9"/>
        <v/>
      </c>
      <c r="V59" s="8" t="str">
        <f t="shared" si="9"/>
        <v/>
      </c>
      <c r="W59" s="7" t="str">
        <f t="shared" si="29"/>
        <v/>
      </c>
      <c r="X59" s="7" t="str">
        <f t="shared" si="29"/>
        <v/>
      </c>
      <c r="Y59" s="10" t="str">
        <f t="shared" si="3"/>
        <v/>
      </c>
      <c r="Z59" s="10" t="str">
        <f t="shared" si="10"/>
        <v/>
      </c>
      <c r="AA59" s="10" t="str">
        <f t="shared" si="11"/>
        <v/>
      </c>
      <c r="AB59" s="10" t="str">
        <f t="shared" si="12"/>
        <v/>
      </c>
      <c r="AC59" s="10" t="str">
        <f t="shared" si="13"/>
        <v/>
      </c>
      <c r="AD59" s="10" t="str">
        <f t="shared" si="14"/>
        <v/>
      </c>
      <c r="AE59" s="10" t="str">
        <f t="shared" si="25"/>
        <v/>
      </c>
      <c r="AF59" s="10" t="str">
        <f t="shared" si="26"/>
        <v/>
      </c>
      <c r="AG59" s="10" t="str">
        <f t="shared" si="15"/>
        <v/>
      </c>
      <c r="AH59" s="10" t="str">
        <f t="shared" si="6"/>
        <v/>
      </c>
      <c r="AI59" s="10" t="str">
        <f t="shared" si="7"/>
        <v/>
      </c>
      <c r="AJ59" s="10" t="str">
        <f t="shared" si="16"/>
        <v/>
      </c>
      <c r="AK59" s="10" t="str">
        <f t="shared" si="27"/>
        <v/>
      </c>
      <c r="AL59" s="10" t="str">
        <f t="shared" si="17"/>
        <v/>
      </c>
      <c r="AM59" s="10" t="str">
        <f t="shared" si="18"/>
        <v/>
      </c>
      <c r="AN59" s="10" t="str">
        <f t="shared" si="19"/>
        <v/>
      </c>
      <c r="AO59" s="10" t="str">
        <f t="shared" si="20"/>
        <v/>
      </c>
      <c r="AP59" s="10" t="str">
        <f t="shared" si="21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8"/>
        <v/>
      </c>
      <c r="J60" s="7" t="str">
        <f t="shared" si="28"/>
        <v/>
      </c>
      <c r="K60" s="7" t="str">
        <f t="shared" si="28"/>
        <v/>
      </c>
      <c r="L60" s="7" t="str">
        <f t="shared" si="28"/>
        <v/>
      </c>
      <c r="M60" s="7" t="str">
        <f t="shared" si="28"/>
        <v/>
      </c>
      <c r="N60" s="7" t="str">
        <f t="shared" si="28"/>
        <v/>
      </c>
      <c r="O60" s="7" t="str">
        <f t="shared" si="28"/>
        <v/>
      </c>
      <c r="P60" s="7" t="str">
        <f t="shared" si="28"/>
        <v/>
      </c>
      <c r="Q60" s="7" t="str">
        <f t="shared" si="28"/>
        <v/>
      </c>
      <c r="R60" s="7" t="str">
        <f t="shared" si="28"/>
        <v/>
      </c>
      <c r="S60" s="7" t="str">
        <f t="shared" si="28"/>
        <v/>
      </c>
      <c r="T60" s="7" t="str">
        <f t="shared" si="28"/>
        <v/>
      </c>
      <c r="U60" s="8" t="str">
        <f t="shared" si="9"/>
        <v/>
      </c>
      <c r="V60" s="8" t="str">
        <f t="shared" si="9"/>
        <v/>
      </c>
      <c r="W60" s="7" t="str">
        <f t="shared" si="29"/>
        <v/>
      </c>
      <c r="X60" s="7" t="str">
        <f t="shared" si="29"/>
        <v/>
      </c>
      <c r="Y60" s="10" t="str">
        <f t="shared" si="3"/>
        <v/>
      </c>
      <c r="Z60" s="10" t="str">
        <f t="shared" si="10"/>
        <v/>
      </c>
      <c r="AA60" s="10" t="str">
        <f t="shared" si="11"/>
        <v/>
      </c>
      <c r="AB60" s="10" t="str">
        <f t="shared" si="12"/>
        <v/>
      </c>
      <c r="AC60" s="10" t="str">
        <f t="shared" si="13"/>
        <v/>
      </c>
      <c r="AD60" s="10" t="str">
        <f t="shared" si="14"/>
        <v/>
      </c>
      <c r="AE60" s="10" t="str">
        <f t="shared" si="25"/>
        <v/>
      </c>
      <c r="AF60" s="10" t="str">
        <f t="shared" si="26"/>
        <v/>
      </c>
      <c r="AG60" s="10" t="str">
        <f t="shared" si="15"/>
        <v/>
      </c>
      <c r="AH60" s="10" t="str">
        <f t="shared" si="6"/>
        <v/>
      </c>
      <c r="AI60" s="10" t="str">
        <f t="shared" si="7"/>
        <v/>
      </c>
      <c r="AJ60" s="10" t="str">
        <f t="shared" si="16"/>
        <v/>
      </c>
      <c r="AK60" s="10" t="str">
        <f t="shared" si="27"/>
        <v/>
      </c>
      <c r="AL60" s="10" t="str">
        <f t="shared" si="17"/>
        <v/>
      </c>
      <c r="AM60" s="10" t="str">
        <f t="shared" si="18"/>
        <v/>
      </c>
      <c r="AN60" s="10" t="str">
        <f t="shared" si="19"/>
        <v/>
      </c>
      <c r="AO60" s="10" t="str">
        <f t="shared" si="20"/>
        <v/>
      </c>
      <c r="AP60" s="10" t="str">
        <f t="shared" si="21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8"/>
        <v/>
      </c>
      <c r="J61" s="7" t="str">
        <f t="shared" si="28"/>
        <v/>
      </c>
      <c r="K61" s="7" t="str">
        <f t="shared" si="28"/>
        <v/>
      </c>
      <c r="L61" s="7" t="str">
        <f t="shared" si="28"/>
        <v/>
      </c>
      <c r="M61" s="7" t="str">
        <f t="shared" si="28"/>
        <v/>
      </c>
      <c r="N61" s="7" t="str">
        <f t="shared" si="28"/>
        <v/>
      </c>
      <c r="O61" s="7" t="str">
        <f t="shared" si="28"/>
        <v/>
      </c>
      <c r="P61" s="7" t="str">
        <f t="shared" si="28"/>
        <v/>
      </c>
      <c r="Q61" s="7" t="str">
        <f t="shared" si="28"/>
        <v/>
      </c>
      <c r="R61" s="7" t="str">
        <f t="shared" si="28"/>
        <v/>
      </c>
      <c r="S61" s="7" t="str">
        <f t="shared" si="28"/>
        <v/>
      </c>
      <c r="T61" s="7" t="str">
        <f t="shared" si="28"/>
        <v/>
      </c>
      <c r="U61" s="8" t="str">
        <f t="shared" si="9"/>
        <v/>
      </c>
      <c r="V61" s="8" t="str">
        <f t="shared" si="9"/>
        <v/>
      </c>
      <c r="W61" s="7" t="str">
        <f t="shared" si="29"/>
        <v/>
      </c>
      <c r="X61" s="7" t="str">
        <f t="shared" si="29"/>
        <v/>
      </c>
      <c r="Y61" s="10" t="str">
        <f t="shared" si="3"/>
        <v/>
      </c>
      <c r="Z61" s="10" t="str">
        <f t="shared" si="10"/>
        <v/>
      </c>
      <c r="AA61" s="10" t="str">
        <f t="shared" si="11"/>
        <v/>
      </c>
      <c r="AB61" s="10" t="str">
        <f t="shared" si="12"/>
        <v/>
      </c>
      <c r="AC61" s="10" t="str">
        <f t="shared" si="13"/>
        <v/>
      </c>
      <c r="AD61" s="10" t="str">
        <f t="shared" si="14"/>
        <v/>
      </c>
      <c r="AE61" s="10" t="str">
        <f t="shared" si="25"/>
        <v/>
      </c>
      <c r="AF61" s="10" t="str">
        <f t="shared" si="26"/>
        <v/>
      </c>
      <c r="AG61" s="10" t="str">
        <f t="shared" si="15"/>
        <v/>
      </c>
      <c r="AH61" s="10" t="str">
        <f t="shared" si="6"/>
        <v/>
      </c>
      <c r="AI61" s="10" t="str">
        <f t="shared" si="7"/>
        <v/>
      </c>
      <c r="AJ61" s="10" t="str">
        <f t="shared" si="16"/>
        <v/>
      </c>
      <c r="AK61" s="10" t="str">
        <f t="shared" si="27"/>
        <v/>
      </c>
      <c r="AL61" s="10" t="str">
        <f t="shared" si="17"/>
        <v/>
      </c>
      <c r="AM61" s="10" t="str">
        <f t="shared" si="18"/>
        <v/>
      </c>
      <c r="AN61" s="10" t="str">
        <f t="shared" si="19"/>
        <v/>
      </c>
      <c r="AO61" s="10" t="str">
        <f t="shared" si="20"/>
        <v/>
      </c>
      <c r="AP61" s="10" t="str">
        <f t="shared" si="21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8"/>
        <v/>
      </c>
      <c r="J62" s="7" t="str">
        <f t="shared" si="28"/>
        <v/>
      </c>
      <c r="K62" s="7" t="str">
        <f t="shared" si="28"/>
        <v/>
      </c>
      <c r="L62" s="7" t="str">
        <f t="shared" si="28"/>
        <v/>
      </c>
      <c r="M62" s="7" t="str">
        <f t="shared" si="28"/>
        <v/>
      </c>
      <c r="N62" s="7" t="str">
        <f t="shared" si="28"/>
        <v/>
      </c>
      <c r="O62" s="7" t="str">
        <f t="shared" si="28"/>
        <v/>
      </c>
      <c r="P62" s="7" t="str">
        <f t="shared" si="28"/>
        <v/>
      </c>
      <c r="Q62" s="7" t="str">
        <f t="shared" si="28"/>
        <v/>
      </c>
      <c r="R62" s="7" t="str">
        <f t="shared" si="28"/>
        <v/>
      </c>
      <c r="S62" s="7" t="str">
        <f t="shared" si="28"/>
        <v/>
      </c>
      <c r="T62" s="7" t="str">
        <f t="shared" si="28"/>
        <v/>
      </c>
      <c r="U62" s="8" t="str">
        <f t="shared" si="9"/>
        <v/>
      </c>
      <c r="V62" s="8" t="str">
        <f t="shared" si="9"/>
        <v/>
      </c>
      <c r="W62" s="7" t="str">
        <f t="shared" si="29"/>
        <v/>
      </c>
      <c r="X62" s="7" t="str">
        <f t="shared" si="29"/>
        <v/>
      </c>
      <c r="Y62" s="10" t="str">
        <f t="shared" si="3"/>
        <v/>
      </c>
      <c r="Z62" s="10" t="str">
        <f t="shared" si="10"/>
        <v/>
      </c>
      <c r="AA62" s="10" t="str">
        <f t="shared" si="11"/>
        <v/>
      </c>
      <c r="AB62" s="10" t="str">
        <f t="shared" si="12"/>
        <v/>
      </c>
      <c r="AC62" s="10" t="str">
        <f t="shared" si="13"/>
        <v/>
      </c>
      <c r="AD62" s="10" t="str">
        <f t="shared" si="14"/>
        <v/>
      </c>
      <c r="AE62" s="10" t="str">
        <f t="shared" si="25"/>
        <v/>
      </c>
      <c r="AF62" s="10" t="str">
        <f t="shared" si="26"/>
        <v/>
      </c>
      <c r="AG62" s="10" t="str">
        <f t="shared" si="15"/>
        <v/>
      </c>
      <c r="AH62" s="10" t="str">
        <f t="shared" si="6"/>
        <v/>
      </c>
      <c r="AI62" s="10" t="str">
        <f t="shared" si="7"/>
        <v/>
      </c>
      <c r="AJ62" s="10" t="str">
        <f t="shared" si="16"/>
        <v/>
      </c>
      <c r="AK62" s="10" t="str">
        <f t="shared" si="27"/>
        <v/>
      </c>
      <c r="AL62" s="10" t="str">
        <f t="shared" si="17"/>
        <v/>
      </c>
      <c r="AM62" s="10" t="str">
        <f t="shared" si="18"/>
        <v/>
      </c>
      <c r="AN62" s="10" t="str">
        <f t="shared" si="19"/>
        <v/>
      </c>
      <c r="AO62" s="10" t="str">
        <f t="shared" si="20"/>
        <v/>
      </c>
      <c r="AP62" s="10" t="str">
        <f t="shared" si="21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8"/>
        <v/>
      </c>
      <c r="J63" s="7" t="str">
        <f t="shared" si="28"/>
        <v/>
      </c>
      <c r="K63" s="7" t="str">
        <f t="shared" si="28"/>
        <v/>
      </c>
      <c r="L63" s="7" t="str">
        <f t="shared" si="28"/>
        <v/>
      </c>
      <c r="M63" s="7" t="str">
        <f t="shared" si="28"/>
        <v/>
      </c>
      <c r="N63" s="7" t="str">
        <f t="shared" si="28"/>
        <v/>
      </c>
      <c r="O63" s="7" t="str">
        <f t="shared" si="28"/>
        <v/>
      </c>
      <c r="P63" s="7" t="str">
        <f t="shared" si="28"/>
        <v/>
      </c>
      <c r="Q63" s="7" t="str">
        <f t="shared" si="28"/>
        <v/>
      </c>
      <c r="R63" s="7" t="str">
        <f t="shared" si="28"/>
        <v/>
      </c>
      <c r="S63" s="7" t="str">
        <f t="shared" si="28"/>
        <v/>
      </c>
      <c r="T63" s="7" t="str">
        <f t="shared" si="28"/>
        <v/>
      </c>
      <c r="U63" s="8" t="str">
        <f t="shared" si="9"/>
        <v/>
      </c>
      <c r="V63" s="8" t="str">
        <f t="shared" si="9"/>
        <v/>
      </c>
      <c r="W63" s="7" t="str">
        <f t="shared" si="29"/>
        <v/>
      </c>
      <c r="X63" s="7" t="str">
        <f t="shared" si="29"/>
        <v/>
      </c>
      <c r="Y63" s="10" t="str">
        <f t="shared" si="3"/>
        <v/>
      </c>
      <c r="Z63" s="10" t="str">
        <f t="shared" si="10"/>
        <v/>
      </c>
      <c r="AA63" s="10" t="str">
        <f t="shared" si="11"/>
        <v/>
      </c>
      <c r="AB63" s="10" t="str">
        <f t="shared" si="12"/>
        <v/>
      </c>
      <c r="AC63" s="10" t="str">
        <f t="shared" si="13"/>
        <v/>
      </c>
      <c r="AD63" s="10" t="str">
        <f t="shared" si="14"/>
        <v/>
      </c>
      <c r="AE63" s="10" t="str">
        <f t="shared" si="25"/>
        <v/>
      </c>
      <c r="AF63" s="10" t="str">
        <f t="shared" si="26"/>
        <v/>
      </c>
      <c r="AG63" s="10" t="str">
        <f t="shared" si="15"/>
        <v/>
      </c>
      <c r="AH63" s="10" t="str">
        <f t="shared" si="6"/>
        <v/>
      </c>
      <c r="AI63" s="10" t="str">
        <f t="shared" si="7"/>
        <v/>
      </c>
      <c r="AJ63" s="10" t="str">
        <f t="shared" si="16"/>
        <v/>
      </c>
      <c r="AK63" s="10" t="str">
        <f t="shared" si="27"/>
        <v/>
      </c>
      <c r="AL63" s="10" t="str">
        <f t="shared" si="17"/>
        <v/>
      </c>
      <c r="AM63" s="10" t="str">
        <f t="shared" si="18"/>
        <v/>
      </c>
      <c r="AN63" s="10" t="str">
        <f t="shared" si="19"/>
        <v/>
      </c>
      <c r="AO63" s="10" t="str">
        <f t="shared" si="20"/>
        <v/>
      </c>
      <c r="AP63" s="10" t="str">
        <f t="shared" si="21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8"/>
        <v/>
      </c>
      <c r="J64" s="7" t="str">
        <f t="shared" si="28"/>
        <v/>
      </c>
      <c r="K64" s="7" t="str">
        <f t="shared" si="28"/>
        <v/>
      </c>
      <c r="L64" s="7" t="str">
        <f t="shared" si="28"/>
        <v/>
      </c>
      <c r="M64" s="7" t="str">
        <f t="shared" si="28"/>
        <v/>
      </c>
      <c r="N64" s="7" t="str">
        <f t="shared" si="28"/>
        <v/>
      </c>
      <c r="O64" s="7" t="str">
        <f t="shared" si="28"/>
        <v/>
      </c>
      <c r="P64" s="7" t="str">
        <f t="shared" si="28"/>
        <v/>
      </c>
      <c r="Q64" s="7" t="str">
        <f t="shared" si="28"/>
        <v/>
      </c>
      <c r="R64" s="7" t="str">
        <f t="shared" si="28"/>
        <v/>
      </c>
      <c r="S64" s="7" t="str">
        <f t="shared" si="28"/>
        <v/>
      </c>
      <c r="T64" s="7" t="str">
        <f t="shared" si="28"/>
        <v/>
      </c>
      <c r="U64" s="8" t="str">
        <f t="shared" si="9"/>
        <v/>
      </c>
      <c r="V64" s="8" t="str">
        <f t="shared" si="9"/>
        <v/>
      </c>
      <c r="W64" s="7" t="str">
        <f t="shared" si="29"/>
        <v/>
      </c>
      <c r="X64" s="7" t="str">
        <f t="shared" si="29"/>
        <v/>
      </c>
      <c r="Y64" s="10" t="str">
        <f t="shared" si="3"/>
        <v/>
      </c>
      <c r="Z64" s="10" t="str">
        <f t="shared" si="10"/>
        <v/>
      </c>
      <c r="AA64" s="10" t="str">
        <f t="shared" si="11"/>
        <v/>
      </c>
      <c r="AB64" s="10" t="str">
        <f t="shared" si="12"/>
        <v/>
      </c>
      <c r="AC64" s="10" t="str">
        <f t="shared" si="13"/>
        <v/>
      </c>
      <c r="AD64" s="10" t="str">
        <f t="shared" si="14"/>
        <v/>
      </c>
      <c r="AE64" s="10" t="str">
        <f t="shared" si="25"/>
        <v/>
      </c>
      <c r="AF64" s="10" t="str">
        <f t="shared" si="26"/>
        <v/>
      </c>
      <c r="AG64" s="10" t="str">
        <f t="shared" si="15"/>
        <v/>
      </c>
      <c r="AH64" s="10" t="str">
        <f t="shared" si="6"/>
        <v/>
      </c>
      <c r="AI64" s="10" t="str">
        <f t="shared" si="7"/>
        <v/>
      </c>
      <c r="AJ64" s="10" t="str">
        <f t="shared" si="16"/>
        <v/>
      </c>
      <c r="AK64" s="10" t="str">
        <f t="shared" si="27"/>
        <v/>
      </c>
      <c r="AL64" s="10" t="str">
        <f t="shared" si="17"/>
        <v/>
      </c>
      <c r="AM64" s="10" t="str">
        <f t="shared" si="18"/>
        <v/>
      </c>
      <c r="AN64" s="10" t="str">
        <f t="shared" si="19"/>
        <v/>
      </c>
      <c r="AO64" s="10" t="str">
        <f t="shared" si="20"/>
        <v/>
      </c>
      <c r="AP64" s="10" t="str">
        <f t="shared" si="21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8"/>
        <v/>
      </c>
      <c r="J65" s="7" t="str">
        <f t="shared" si="28"/>
        <v/>
      </c>
      <c r="K65" s="7" t="str">
        <f t="shared" si="28"/>
        <v/>
      </c>
      <c r="L65" s="7" t="str">
        <f t="shared" si="28"/>
        <v/>
      </c>
      <c r="M65" s="7" t="str">
        <f t="shared" si="28"/>
        <v/>
      </c>
      <c r="N65" s="7" t="str">
        <f t="shared" si="28"/>
        <v/>
      </c>
      <c r="O65" s="7" t="str">
        <f t="shared" si="28"/>
        <v/>
      </c>
      <c r="P65" s="7" t="str">
        <f t="shared" si="28"/>
        <v/>
      </c>
      <c r="Q65" s="7" t="str">
        <f t="shared" si="28"/>
        <v/>
      </c>
      <c r="R65" s="7" t="str">
        <f t="shared" si="28"/>
        <v/>
      </c>
      <c r="S65" s="7" t="str">
        <f t="shared" si="28"/>
        <v/>
      </c>
      <c r="T65" s="7" t="str">
        <f t="shared" si="28"/>
        <v/>
      </c>
      <c r="U65" s="8" t="str">
        <f t="shared" si="9"/>
        <v/>
      </c>
      <c r="V65" s="8" t="str">
        <f t="shared" si="9"/>
        <v/>
      </c>
      <c r="W65" s="7" t="str">
        <f t="shared" si="29"/>
        <v/>
      </c>
      <c r="X65" s="7" t="str">
        <f t="shared" si="29"/>
        <v/>
      </c>
      <c r="Y65" s="10" t="str">
        <f t="shared" si="3"/>
        <v/>
      </c>
      <c r="Z65" s="10" t="str">
        <f t="shared" si="10"/>
        <v/>
      </c>
      <c r="AA65" s="10" t="str">
        <f t="shared" si="11"/>
        <v/>
      </c>
      <c r="AB65" s="10" t="str">
        <f t="shared" si="12"/>
        <v/>
      </c>
      <c r="AC65" s="10" t="str">
        <f t="shared" si="13"/>
        <v/>
      </c>
      <c r="AD65" s="10" t="str">
        <f t="shared" si="14"/>
        <v/>
      </c>
      <c r="AE65" s="10" t="str">
        <f t="shared" si="25"/>
        <v/>
      </c>
      <c r="AF65" s="10" t="str">
        <f t="shared" si="26"/>
        <v/>
      </c>
      <c r="AG65" s="10" t="str">
        <f t="shared" si="15"/>
        <v/>
      </c>
      <c r="AH65" s="10" t="str">
        <f t="shared" si="6"/>
        <v/>
      </c>
      <c r="AI65" s="10" t="str">
        <f t="shared" si="7"/>
        <v/>
      </c>
      <c r="AJ65" s="10" t="str">
        <f t="shared" si="16"/>
        <v/>
      </c>
      <c r="AK65" s="10" t="str">
        <f t="shared" si="27"/>
        <v/>
      </c>
      <c r="AL65" s="10" t="str">
        <f t="shared" si="17"/>
        <v/>
      </c>
      <c r="AM65" s="10" t="str">
        <f t="shared" si="18"/>
        <v/>
      </c>
      <c r="AN65" s="10" t="str">
        <f t="shared" si="19"/>
        <v/>
      </c>
      <c r="AO65" s="10" t="str">
        <f t="shared" si="20"/>
        <v/>
      </c>
      <c r="AP65" s="10" t="str">
        <f t="shared" si="21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8"/>
        <v/>
      </c>
      <c r="J66" s="7" t="str">
        <f t="shared" si="28"/>
        <v/>
      </c>
      <c r="K66" s="7" t="str">
        <f t="shared" si="28"/>
        <v/>
      </c>
      <c r="L66" s="7" t="str">
        <f t="shared" si="28"/>
        <v/>
      </c>
      <c r="M66" s="7" t="str">
        <f t="shared" si="28"/>
        <v/>
      </c>
      <c r="N66" s="7" t="str">
        <f t="shared" si="28"/>
        <v/>
      </c>
      <c r="O66" s="7" t="str">
        <f t="shared" si="28"/>
        <v/>
      </c>
      <c r="P66" s="7" t="str">
        <f t="shared" si="28"/>
        <v/>
      </c>
      <c r="Q66" s="7" t="str">
        <f t="shared" si="28"/>
        <v/>
      </c>
      <c r="R66" s="7" t="str">
        <f t="shared" si="28"/>
        <v/>
      </c>
      <c r="S66" s="7" t="str">
        <f t="shared" si="28"/>
        <v/>
      </c>
      <c r="T66" s="7" t="str">
        <f t="shared" si="28"/>
        <v/>
      </c>
      <c r="U66" s="8" t="str">
        <f t="shared" si="9"/>
        <v/>
      </c>
      <c r="V66" s="8" t="str">
        <f t="shared" si="9"/>
        <v/>
      </c>
      <c r="W66" s="7" t="str">
        <f t="shared" si="29"/>
        <v/>
      </c>
      <c r="X66" s="7" t="str">
        <f t="shared" si="29"/>
        <v/>
      </c>
      <c r="Y66" s="10" t="str">
        <f t="shared" si="3"/>
        <v/>
      </c>
      <c r="Z66" s="10" t="str">
        <f t="shared" si="10"/>
        <v/>
      </c>
      <c r="AA66" s="10" t="str">
        <f t="shared" si="11"/>
        <v/>
      </c>
      <c r="AB66" s="10" t="str">
        <f t="shared" si="12"/>
        <v/>
      </c>
      <c r="AC66" s="10" t="str">
        <f t="shared" si="13"/>
        <v/>
      </c>
      <c r="AD66" s="10" t="str">
        <f t="shared" si="14"/>
        <v/>
      </c>
      <c r="AE66" s="10" t="str">
        <f t="shared" si="25"/>
        <v/>
      </c>
      <c r="AF66" s="10" t="str">
        <f t="shared" si="26"/>
        <v/>
      </c>
      <c r="AG66" s="10" t="str">
        <f t="shared" si="15"/>
        <v/>
      </c>
      <c r="AH66" s="10" t="str">
        <f t="shared" si="6"/>
        <v/>
      </c>
      <c r="AI66" s="10" t="str">
        <f t="shared" si="7"/>
        <v/>
      </c>
      <c r="AJ66" s="10" t="str">
        <f t="shared" si="16"/>
        <v/>
      </c>
      <c r="AK66" s="10" t="str">
        <f t="shared" si="27"/>
        <v/>
      </c>
      <c r="AL66" s="10" t="str">
        <f t="shared" si="17"/>
        <v/>
      </c>
      <c r="AM66" s="10" t="str">
        <f t="shared" si="18"/>
        <v/>
      </c>
      <c r="AN66" s="10" t="str">
        <f t="shared" si="19"/>
        <v/>
      </c>
      <c r="AO66" s="10" t="str">
        <f t="shared" si="20"/>
        <v/>
      </c>
      <c r="AP66" s="10" t="str">
        <f t="shared" si="21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8"/>
        <v/>
      </c>
      <c r="J67" s="7" t="str">
        <f t="shared" si="28"/>
        <v/>
      </c>
      <c r="K67" s="7" t="str">
        <f t="shared" si="28"/>
        <v/>
      </c>
      <c r="L67" s="7" t="str">
        <f t="shared" si="28"/>
        <v/>
      </c>
      <c r="M67" s="7" t="str">
        <f t="shared" si="28"/>
        <v/>
      </c>
      <c r="N67" s="7" t="str">
        <f t="shared" si="28"/>
        <v/>
      </c>
      <c r="O67" s="7" t="str">
        <f t="shared" si="28"/>
        <v/>
      </c>
      <c r="P67" s="7" t="str">
        <f t="shared" si="28"/>
        <v/>
      </c>
      <c r="Q67" s="7" t="str">
        <f t="shared" si="28"/>
        <v/>
      </c>
      <c r="R67" s="7" t="str">
        <f t="shared" si="28"/>
        <v/>
      </c>
      <c r="S67" s="7" t="str">
        <f t="shared" si="28"/>
        <v/>
      </c>
      <c r="T67" s="7" t="str">
        <f t="shared" si="28"/>
        <v/>
      </c>
      <c r="U67" s="8" t="str">
        <f t="shared" si="9"/>
        <v/>
      </c>
      <c r="V67" s="8" t="str">
        <f t="shared" si="9"/>
        <v/>
      </c>
      <c r="W67" s="7" t="str">
        <f t="shared" si="29"/>
        <v/>
      </c>
      <c r="X67" s="7" t="str">
        <f t="shared" si="29"/>
        <v/>
      </c>
      <c r="Y67" s="10" t="str">
        <f t="shared" si="3"/>
        <v/>
      </c>
      <c r="Z67" s="10" t="str">
        <f t="shared" si="10"/>
        <v/>
      </c>
      <c r="AA67" s="10" t="str">
        <f t="shared" si="11"/>
        <v/>
      </c>
      <c r="AB67" s="10" t="str">
        <f t="shared" si="12"/>
        <v/>
      </c>
      <c r="AC67" s="10" t="str">
        <f t="shared" si="13"/>
        <v/>
      </c>
      <c r="AD67" s="10" t="str">
        <f t="shared" si="14"/>
        <v/>
      </c>
      <c r="AE67" s="10" t="str">
        <f t="shared" si="25"/>
        <v/>
      </c>
      <c r="AF67" s="10" t="str">
        <f t="shared" si="26"/>
        <v/>
      </c>
      <c r="AG67" s="10" t="str">
        <f t="shared" si="15"/>
        <v/>
      </c>
      <c r="AH67" s="10" t="str">
        <f t="shared" si="6"/>
        <v/>
      </c>
      <c r="AI67" s="10" t="str">
        <f t="shared" si="7"/>
        <v/>
      </c>
      <c r="AJ67" s="10" t="str">
        <f t="shared" si="16"/>
        <v/>
      </c>
      <c r="AK67" s="10" t="str">
        <f t="shared" si="27"/>
        <v/>
      </c>
      <c r="AL67" s="10" t="str">
        <f t="shared" si="17"/>
        <v/>
      </c>
      <c r="AM67" s="10" t="str">
        <f t="shared" si="18"/>
        <v/>
      </c>
      <c r="AN67" s="10" t="str">
        <f t="shared" si="19"/>
        <v/>
      </c>
      <c r="AO67" s="10" t="str">
        <f t="shared" si="20"/>
        <v/>
      </c>
      <c r="AP67" s="10" t="str">
        <f t="shared" si="21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8"/>
        <v/>
      </c>
      <c r="J68" s="7" t="str">
        <f t="shared" si="28"/>
        <v/>
      </c>
      <c r="K68" s="7" t="str">
        <f t="shared" si="28"/>
        <v/>
      </c>
      <c r="L68" s="7" t="str">
        <f t="shared" si="28"/>
        <v/>
      </c>
      <c r="M68" s="7" t="str">
        <f t="shared" si="28"/>
        <v/>
      </c>
      <c r="N68" s="7" t="str">
        <f t="shared" si="28"/>
        <v/>
      </c>
      <c r="O68" s="7" t="str">
        <f t="shared" si="28"/>
        <v/>
      </c>
      <c r="P68" s="7" t="str">
        <f t="shared" si="28"/>
        <v/>
      </c>
      <c r="Q68" s="7" t="str">
        <f t="shared" si="28"/>
        <v/>
      </c>
      <c r="R68" s="7" t="str">
        <f t="shared" si="28"/>
        <v/>
      </c>
      <c r="S68" s="7" t="str">
        <f t="shared" si="28"/>
        <v/>
      </c>
      <c r="T68" s="7" t="str">
        <f t="shared" si="28"/>
        <v/>
      </c>
      <c r="U68" s="8" t="str">
        <f t="shared" si="9"/>
        <v/>
      </c>
      <c r="V68" s="8" t="str">
        <f t="shared" si="9"/>
        <v/>
      </c>
      <c r="W68" s="7" t="str">
        <f t="shared" si="29"/>
        <v/>
      </c>
      <c r="X68" s="7" t="str">
        <f t="shared" si="29"/>
        <v/>
      </c>
      <c r="Y68" s="10" t="str">
        <f t="shared" si="3"/>
        <v/>
      </c>
      <c r="Z68" s="10" t="str">
        <f t="shared" si="10"/>
        <v/>
      </c>
      <c r="AA68" s="10" t="str">
        <f t="shared" si="11"/>
        <v/>
      </c>
      <c r="AB68" s="10" t="str">
        <f t="shared" si="12"/>
        <v/>
      </c>
      <c r="AC68" s="10" t="str">
        <f t="shared" si="13"/>
        <v/>
      </c>
      <c r="AD68" s="10" t="str">
        <f t="shared" si="14"/>
        <v/>
      </c>
      <c r="AE68" s="10" t="str">
        <f t="shared" si="25"/>
        <v/>
      </c>
      <c r="AF68" s="10" t="str">
        <f t="shared" si="26"/>
        <v/>
      </c>
      <c r="AG68" s="10" t="str">
        <f t="shared" si="15"/>
        <v/>
      </c>
      <c r="AH68" s="10" t="str">
        <f t="shared" si="6"/>
        <v/>
      </c>
      <c r="AI68" s="10" t="str">
        <f t="shared" si="7"/>
        <v/>
      </c>
      <c r="AJ68" s="10" t="str">
        <f t="shared" si="16"/>
        <v/>
      </c>
      <c r="AK68" s="10" t="str">
        <f t="shared" si="27"/>
        <v/>
      </c>
      <c r="AL68" s="10" t="str">
        <f t="shared" si="17"/>
        <v/>
      </c>
      <c r="AM68" s="10" t="str">
        <f t="shared" si="18"/>
        <v/>
      </c>
      <c r="AN68" s="10" t="str">
        <f t="shared" si="19"/>
        <v/>
      </c>
      <c r="AO68" s="10" t="str">
        <f t="shared" si="20"/>
        <v/>
      </c>
      <c r="AP68" s="10" t="str">
        <f t="shared" si="21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8"/>
        <v/>
      </c>
      <c r="J69" s="7" t="str">
        <f t="shared" si="28"/>
        <v/>
      </c>
      <c r="K69" s="7" t="str">
        <f t="shared" si="28"/>
        <v/>
      </c>
      <c r="L69" s="7" t="str">
        <f t="shared" si="28"/>
        <v/>
      </c>
      <c r="M69" s="7" t="str">
        <f t="shared" si="28"/>
        <v/>
      </c>
      <c r="N69" s="7" t="str">
        <f t="shared" si="28"/>
        <v/>
      </c>
      <c r="O69" s="7" t="str">
        <f t="shared" si="28"/>
        <v/>
      </c>
      <c r="P69" s="7" t="str">
        <f t="shared" si="28"/>
        <v/>
      </c>
      <c r="Q69" s="7" t="str">
        <f t="shared" si="28"/>
        <v/>
      </c>
      <c r="R69" s="7" t="str">
        <f t="shared" si="28"/>
        <v/>
      </c>
      <c r="S69" s="7" t="str">
        <f t="shared" si="28"/>
        <v/>
      </c>
      <c r="T69" s="7" t="str">
        <f t="shared" si="28"/>
        <v/>
      </c>
      <c r="U69" s="8" t="str">
        <f t="shared" si="9"/>
        <v/>
      </c>
      <c r="V69" s="8" t="str">
        <f t="shared" si="9"/>
        <v/>
      </c>
      <c r="W69" s="7" t="str">
        <f t="shared" si="29"/>
        <v/>
      </c>
      <c r="X69" s="7" t="str">
        <f t="shared" si="29"/>
        <v/>
      </c>
      <c r="Y69" s="10" t="str">
        <f t="shared" si="3"/>
        <v/>
      </c>
      <c r="Z69" s="10" t="str">
        <f t="shared" si="10"/>
        <v/>
      </c>
      <c r="AA69" s="10" t="str">
        <f t="shared" si="11"/>
        <v/>
      </c>
      <c r="AB69" s="10" t="str">
        <f t="shared" si="12"/>
        <v/>
      </c>
      <c r="AC69" s="10" t="str">
        <f t="shared" si="13"/>
        <v/>
      </c>
      <c r="AD69" s="10" t="str">
        <f t="shared" si="14"/>
        <v/>
      </c>
      <c r="AE69" s="10" t="str">
        <f t="shared" si="25"/>
        <v/>
      </c>
      <c r="AF69" s="10" t="str">
        <f t="shared" si="26"/>
        <v/>
      </c>
      <c r="AG69" s="10" t="str">
        <f t="shared" si="15"/>
        <v/>
      </c>
      <c r="AH69" s="10" t="str">
        <f t="shared" si="6"/>
        <v/>
      </c>
      <c r="AI69" s="10" t="str">
        <f t="shared" si="7"/>
        <v/>
      </c>
      <c r="AJ69" s="10" t="str">
        <f t="shared" si="16"/>
        <v/>
      </c>
      <c r="AK69" s="10" t="str">
        <f t="shared" si="27"/>
        <v/>
      </c>
      <c r="AL69" s="10" t="str">
        <f t="shared" si="17"/>
        <v/>
      </c>
      <c r="AM69" s="10" t="str">
        <f t="shared" si="18"/>
        <v/>
      </c>
      <c r="AN69" s="10" t="str">
        <f t="shared" si="19"/>
        <v/>
      </c>
      <c r="AO69" s="10" t="str">
        <f t="shared" si="20"/>
        <v/>
      </c>
      <c r="AP69" s="10" t="str">
        <f t="shared" si="21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8"/>
        <v/>
      </c>
      <c r="J70" s="7" t="str">
        <f t="shared" si="28"/>
        <v/>
      </c>
      <c r="K70" s="7" t="str">
        <f t="shared" si="28"/>
        <v/>
      </c>
      <c r="L70" s="7" t="str">
        <f t="shared" si="28"/>
        <v/>
      </c>
      <c r="M70" s="7" t="str">
        <f t="shared" si="28"/>
        <v/>
      </c>
      <c r="N70" s="7" t="str">
        <f t="shared" si="28"/>
        <v/>
      </c>
      <c r="O70" s="7" t="str">
        <f t="shared" si="28"/>
        <v/>
      </c>
      <c r="P70" s="7" t="str">
        <f t="shared" si="28"/>
        <v/>
      </c>
      <c r="Q70" s="7" t="str">
        <f t="shared" si="28"/>
        <v/>
      </c>
      <c r="R70" s="7" t="str">
        <f t="shared" si="28"/>
        <v/>
      </c>
      <c r="S70" s="7" t="str">
        <f t="shared" si="28"/>
        <v/>
      </c>
      <c r="T70" s="7" t="str">
        <f t="shared" si="28"/>
        <v/>
      </c>
      <c r="U70" s="8" t="str">
        <f t="shared" si="9"/>
        <v/>
      </c>
      <c r="V70" s="8" t="str">
        <f t="shared" si="9"/>
        <v/>
      </c>
      <c r="W70" s="7" t="str">
        <f t="shared" si="29"/>
        <v/>
      </c>
      <c r="X70" s="7" t="str">
        <f t="shared" si="29"/>
        <v/>
      </c>
      <c r="Y70" s="10" t="str">
        <f t="shared" si="3"/>
        <v/>
      </c>
      <c r="Z70" s="10" t="str">
        <f t="shared" si="10"/>
        <v/>
      </c>
      <c r="AA70" s="10" t="str">
        <f t="shared" si="11"/>
        <v/>
      </c>
      <c r="AB70" s="10" t="str">
        <f t="shared" si="12"/>
        <v/>
      </c>
      <c r="AC70" s="10" t="str">
        <f t="shared" si="13"/>
        <v/>
      </c>
      <c r="AD70" s="10" t="str">
        <f t="shared" si="14"/>
        <v/>
      </c>
      <c r="AE70" s="10" t="str">
        <f t="shared" si="25"/>
        <v/>
      </c>
      <c r="AF70" s="10" t="str">
        <f t="shared" si="26"/>
        <v/>
      </c>
      <c r="AG70" s="10" t="str">
        <f t="shared" si="15"/>
        <v/>
      </c>
      <c r="AH70" s="10" t="str">
        <f t="shared" si="6"/>
        <v/>
      </c>
      <c r="AI70" s="10" t="str">
        <f t="shared" si="7"/>
        <v/>
      </c>
      <c r="AJ70" s="10" t="str">
        <f t="shared" si="16"/>
        <v/>
      </c>
      <c r="AK70" s="10" t="str">
        <f t="shared" si="27"/>
        <v/>
      </c>
      <c r="AL70" s="10" t="str">
        <f t="shared" si="17"/>
        <v/>
      </c>
      <c r="AM70" s="10" t="str">
        <f t="shared" si="18"/>
        <v/>
      </c>
      <c r="AN70" s="10" t="str">
        <f t="shared" si="19"/>
        <v/>
      </c>
      <c r="AO70" s="10" t="str">
        <f t="shared" si="20"/>
        <v/>
      </c>
      <c r="AP70" s="10" t="str">
        <f t="shared" si="21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8"/>
        <v/>
      </c>
      <c r="J71" s="7" t="str">
        <f t="shared" si="28"/>
        <v/>
      </c>
      <c r="K71" s="7" t="str">
        <f t="shared" si="28"/>
        <v/>
      </c>
      <c r="L71" s="7" t="str">
        <f t="shared" si="28"/>
        <v/>
      </c>
      <c r="M71" s="7" t="str">
        <f t="shared" si="28"/>
        <v/>
      </c>
      <c r="N71" s="7" t="str">
        <f t="shared" si="28"/>
        <v/>
      </c>
      <c r="O71" s="7" t="str">
        <f t="shared" si="28"/>
        <v/>
      </c>
      <c r="P71" s="7" t="str">
        <f t="shared" si="28"/>
        <v/>
      </c>
      <c r="Q71" s="7" t="str">
        <f t="shared" si="28"/>
        <v/>
      </c>
      <c r="R71" s="7" t="str">
        <f t="shared" si="28"/>
        <v/>
      </c>
      <c r="S71" s="7" t="str">
        <f t="shared" si="28"/>
        <v/>
      </c>
      <c r="T71" s="7" t="str">
        <f t="shared" si="28"/>
        <v/>
      </c>
      <c r="U71" s="8" t="str">
        <f t="shared" si="9"/>
        <v/>
      </c>
      <c r="V71" s="8" t="str">
        <f t="shared" si="9"/>
        <v/>
      </c>
      <c r="W71" s="7" t="str">
        <f t="shared" si="29"/>
        <v/>
      </c>
      <c r="X71" s="7" t="str">
        <f t="shared" si="29"/>
        <v/>
      </c>
      <c r="Y71" s="10" t="str">
        <f t="shared" si="3"/>
        <v/>
      </c>
      <c r="Z71" s="10" t="str">
        <f t="shared" si="10"/>
        <v/>
      </c>
      <c r="AA71" s="10" t="str">
        <f t="shared" si="11"/>
        <v/>
      </c>
      <c r="AB71" s="10" t="str">
        <f t="shared" si="12"/>
        <v/>
      </c>
      <c r="AC71" s="10" t="str">
        <f t="shared" si="13"/>
        <v/>
      </c>
      <c r="AD71" s="10" t="str">
        <f t="shared" si="14"/>
        <v/>
      </c>
      <c r="AE71" s="10" t="str">
        <f t="shared" si="25"/>
        <v/>
      </c>
      <c r="AF71" s="10" t="str">
        <f t="shared" si="26"/>
        <v/>
      </c>
      <c r="AG71" s="10" t="str">
        <f t="shared" si="15"/>
        <v/>
      </c>
      <c r="AH71" s="10" t="str">
        <f t="shared" si="6"/>
        <v/>
      </c>
      <c r="AI71" s="10" t="str">
        <f t="shared" si="7"/>
        <v/>
      </c>
      <c r="AJ71" s="10" t="str">
        <f t="shared" si="16"/>
        <v/>
      </c>
      <c r="AK71" s="10" t="str">
        <f t="shared" si="27"/>
        <v/>
      </c>
      <c r="AL71" s="10" t="str">
        <f t="shared" si="17"/>
        <v/>
      </c>
      <c r="AM71" s="10" t="str">
        <f t="shared" si="18"/>
        <v/>
      </c>
      <c r="AN71" s="10" t="str">
        <f t="shared" si="19"/>
        <v/>
      </c>
      <c r="AO71" s="10" t="str">
        <f t="shared" si="20"/>
        <v/>
      </c>
      <c r="AP71" s="10" t="str">
        <f t="shared" si="21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8"/>
        <v/>
      </c>
      <c r="J72" s="7" t="str">
        <f t="shared" si="28"/>
        <v/>
      </c>
      <c r="K72" s="7" t="str">
        <f t="shared" si="28"/>
        <v/>
      </c>
      <c r="L72" s="7" t="str">
        <f t="shared" si="28"/>
        <v/>
      </c>
      <c r="M72" s="7" t="str">
        <f t="shared" si="28"/>
        <v/>
      </c>
      <c r="N72" s="7" t="str">
        <f t="shared" si="28"/>
        <v/>
      </c>
      <c r="O72" s="7" t="str">
        <f t="shared" si="28"/>
        <v/>
      </c>
      <c r="P72" s="7" t="str">
        <f t="shared" si="28"/>
        <v/>
      </c>
      <c r="Q72" s="7" t="str">
        <f t="shared" si="28"/>
        <v/>
      </c>
      <c r="R72" s="7" t="str">
        <f t="shared" si="28"/>
        <v/>
      </c>
      <c r="S72" s="7" t="str">
        <f t="shared" si="28"/>
        <v/>
      </c>
      <c r="T72" s="7" t="str">
        <f t="shared" si="28"/>
        <v/>
      </c>
      <c r="U72" s="8" t="str">
        <f t="shared" si="9"/>
        <v/>
      </c>
      <c r="V72" s="8" t="str">
        <f t="shared" si="9"/>
        <v/>
      </c>
      <c r="W72" s="7" t="str">
        <f t="shared" si="29"/>
        <v/>
      </c>
      <c r="X72" s="7" t="str">
        <f t="shared" si="29"/>
        <v/>
      </c>
      <c r="Y72" s="10" t="str">
        <f t="shared" si="3"/>
        <v/>
      </c>
      <c r="Z72" s="10" t="str">
        <f t="shared" si="10"/>
        <v/>
      </c>
      <c r="AA72" s="10" t="str">
        <f t="shared" si="11"/>
        <v/>
      </c>
      <c r="AB72" s="10" t="str">
        <f t="shared" si="12"/>
        <v/>
      </c>
      <c r="AC72" s="10" t="str">
        <f t="shared" si="13"/>
        <v/>
      </c>
      <c r="AD72" s="10" t="str">
        <f t="shared" si="14"/>
        <v/>
      </c>
      <c r="AE72" s="10" t="str">
        <f t="shared" si="25"/>
        <v/>
      </c>
      <c r="AF72" s="10" t="str">
        <f t="shared" si="26"/>
        <v/>
      </c>
      <c r="AG72" s="10" t="str">
        <f t="shared" si="15"/>
        <v/>
      </c>
      <c r="AH72" s="10" t="str">
        <f t="shared" si="6"/>
        <v/>
      </c>
      <c r="AI72" s="10" t="str">
        <f t="shared" si="7"/>
        <v/>
      </c>
      <c r="AJ72" s="10" t="str">
        <f t="shared" si="16"/>
        <v/>
      </c>
      <c r="AK72" s="10" t="str">
        <f t="shared" si="27"/>
        <v/>
      </c>
      <c r="AL72" s="10" t="str">
        <f t="shared" si="17"/>
        <v/>
      </c>
      <c r="AM72" s="10" t="str">
        <f t="shared" si="18"/>
        <v/>
      </c>
      <c r="AN72" s="10" t="str">
        <f t="shared" si="19"/>
        <v/>
      </c>
      <c r="AO72" s="10" t="str">
        <f t="shared" si="20"/>
        <v/>
      </c>
      <c r="AP72" s="10" t="str">
        <f t="shared" si="21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8"/>
        <v/>
      </c>
      <c r="J73" s="7" t="str">
        <f t="shared" si="28"/>
        <v/>
      </c>
      <c r="K73" s="7" t="str">
        <f t="shared" si="28"/>
        <v/>
      </c>
      <c r="L73" s="7" t="str">
        <f t="shared" si="28"/>
        <v/>
      </c>
      <c r="M73" s="7" t="str">
        <f t="shared" si="28"/>
        <v/>
      </c>
      <c r="N73" s="7" t="str">
        <f t="shared" si="28"/>
        <v/>
      </c>
      <c r="O73" s="7" t="str">
        <f t="shared" si="28"/>
        <v/>
      </c>
      <c r="P73" s="7" t="str">
        <f t="shared" si="28"/>
        <v/>
      </c>
      <c r="Q73" s="7" t="str">
        <f t="shared" si="28"/>
        <v/>
      </c>
      <c r="R73" s="7" t="str">
        <f t="shared" ref="R73:T109" si="30">IF($G73="","",IF($G73=1,(($C$2+$H73)*R$3)*(1+(R$4-R$5)),((R72+($H73*R$3))*(1+(R$4-R$5)))))</f>
        <v/>
      </c>
      <c r="S73" s="7" t="str">
        <f t="shared" si="30"/>
        <v/>
      </c>
      <c r="T73" s="7" t="str">
        <f t="shared" si="30"/>
        <v/>
      </c>
      <c r="U73" s="8" t="str">
        <f t="shared" si="9"/>
        <v/>
      </c>
      <c r="V73" s="8" t="str">
        <f t="shared" si="9"/>
        <v/>
      </c>
      <c r="W73" s="7" t="str">
        <f t="shared" ref="W73:X88" si="31">IF($G73="","",IF($G73=1,(($C$2+$H73)*W$3)*(1+(W$4-W$5)),((W72+($H73*W$3))*(1+(W$4-W$5)))))</f>
        <v/>
      </c>
      <c r="X73" s="7" t="str">
        <f t="shared" si="31"/>
        <v/>
      </c>
      <c r="Y73" s="10" t="str">
        <f t="shared" si="3"/>
        <v/>
      </c>
      <c r="Z73" s="10" t="str">
        <f t="shared" si="10"/>
        <v/>
      </c>
      <c r="AA73" s="10" t="str">
        <f t="shared" si="11"/>
        <v/>
      </c>
      <c r="AB73" s="10" t="str">
        <f t="shared" si="12"/>
        <v/>
      </c>
      <c r="AC73" s="10" t="str">
        <f t="shared" si="13"/>
        <v/>
      </c>
      <c r="AD73" s="10" t="str">
        <f t="shared" si="14"/>
        <v/>
      </c>
      <c r="AE73" s="10" t="str">
        <f t="shared" si="25"/>
        <v/>
      </c>
      <c r="AF73" s="10" t="str">
        <f t="shared" si="26"/>
        <v/>
      </c>
      <c r="AG73" s="10" t="str">
        <f t="shared" si="15"/>
        <v/>
      </c>
      <c r="AH73" s="10" t="str">
        <f t="shared" si="6"/>
        <v/>
      </c>
      <c r="AI73" s="10" t="str">
        <f t="shared" si="7"/>
        <v/>
      </c>
      <c r="AJ73" s="10" t="str">
        <f t="shared" si="16"/>
        <v/>
      </c>
      <c r="AK73" s="10" t="str">
        <f t="shared" si="27"/>
        <v/>
      </c>
      <c r="AL73" s="10" t="str">
        <f t="shared" si="17"/>
        <v/>
      </c>
      <c r="AM73" s="10" t="str">
        <f t="shared" si="18"/>
        <v/>
      </c>
      <c r="AN73" s="10" t="str">
        <f t="shared" si="19"/>
        <v/>
      </c>
      <c r="AO73" s="10" t="str">
        <f t="shared" si="20"/>
        <v/>
      </c>
      <c r="AP73" s="10" t="str">
        <f t="shared" si="21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0"/>
        <v/>
      </c>
      <c r="S74" s="7" t="str">
        <f t="shared" si="32"/>
        <v/>
      </c>
      <c r="T74" s="7" t="str">
        <f t="shared" si="30"/>
        <v/>
      </c>
      <c r="U74" s="8" t="str">
        <f t="shared" si="9"/>
        <v/>
      </c>
      <c r="V74" s="8" t="str">
        <f t="shared" si="9"/>
        <v/>
      </c>
      <c r="W74" s="7" t="str">
        <f t="shared" si="31"/>
        <v/>
      </c>
      <c r="X74" s="7" t="str">
        <f t="shared" si="31"/>
        <v/>
      </c>
      <c r="Y74" s="10" t="str">
        <f t="shared" ref="Y74:Y109" si="33">IF($G74="","",IF($G74=1,(U74-$C$2-H74)/($C$2+H74),(U74-U73-H74)/(U73+H74)))</f>
        <v/>
      </c>
      <c r="Z74" s="10" t="str">
        <f t="shared" si="10"/>
        <v/>
      </c>
      <c r="AA74" s="10" t="str">
        <f t="shared" si="11"/>
        <v/>
      </c>
      <c r="AB74" s="10" t="str">
        <f t="shared" si="12"/>
        <v/>
      </c>
      <c r="AC74" s="10" t="str">
        <f t="shared" si="13"/>
        <v/>
      </c>
      <c r="AD74" s="10" t="str">
        <f t="shared" si="14"/>
        <v/>
      </c>
      <c r="AE74" s="10" t="str">
        <f t="shared" ref="AE74:AE109" si="34">IF($G74="","",IF($G74=1,Y74,(1+Y74)*(1+AE73)-1))</f>
        <v/>
      </c>
      <c r="AF74" s="10" t="str">
        <f t="shared" ref="AF74:AF109" si="35">IF($G74="","",IF($G74=1,Z74,(1+Z74)*(1+AF73)-1))</f>
        <v/>
      </c>
      <c r="AG74" s="10" t="str">
        <f t="shared" si="15"/>
        <v/>
      </c>
      <c r="AH74" s="10" t="str">
        <f t="shared" ref="AH74:AH109" si="36">IF($G74="","",IF($G74=1,AB74,(1+AB74)*(1+AH73)-1))</f>
        <v/>
      </c>
      <c r="AI74" s="10" t="str">
        <f t="shared" ref="AI74:AI109" si="37">IF($G74="","",IF($G74=1,AC74,(1+AC74)*(1+AI73)-1))</f>
        <v/>
      </c>
      <c r="AJ74" s="10" t="str">
        <f t="shared" si="16"/>
        <v/>
      </c>
      <c r="AK74" s="10" t="str">
        <f t="shared" ref="AK74:AK109" si="38">IF($G74="","",(1+AE74)^(1/G74)-1)</f>
        <v/>
      </c>
      <c r="AL74" s="10" t="str">
        <f t="shared" si="17"/>
        <v/>
      </c>
      <c r="AM74" s="10" t="str">
        <f t="shared" si="18"/>
        <v/>
      </c>
      <c r="AN74" s="10" t="str">
        <f t="shared" si="19"/>
        <v/>
      </c>
      <c r="AO74" s="10" t="str">
        <f t="shared" si="20"/>
        <v/>
      </c>
      <c r="AP74" s="10" t="str">
        <f t="shared" si="21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0"/>
        <v/>
      </c>
      <c r="S75" s="7" t="str">
        <f t="shared" si="32"/>
        <v/>
      </c>
      <c r="T75" s="7" t="str">
        <f t="shared" si="30"/>
        <v/>
      </c>
      <c r="U75" s="8" t="str">
        <f t="shared" ref="U75:V109" si="39">IF(G75="","",SUM(I75,K75,M75,O75,Q75,S75))</f>
        <v/>
      </c>
      <c r="V75" s="8" t="str">
        <f t="shared" si="39"/>
        <v/>
      </c>
      <c r="W75" s="7" t="str">
        <f t="shared" si="31"/>
        <v/>
      </c>
      <c r="X75" s="7" t="str">
        <f t="shared" si="31"/>
        <v/>
      </c>
      <c r="Y75" s="10" t="str">
        <f t="shared" si="33"/>
        <v/>
      </c>
      <c r="Z75" s="10" t="str">
        <f t="shared" ref="Z75:Z109" si="40">IF($G75="","",IF($G75=1,(V75-$C$2-H75)/($C$2+H75),(V75-V74-H75)/(V74+H75)))</f>
        <v/>
      </c>
      <c r="AA75" s="10" t="str">
        <f t="shared" ref="AA75:AA109" si="41">IF($G75="","",Z75-Y75)</f>
        <v/>
      </c>
      <c r="AB75" s="10" t="str">
        <f t="shared" ref="AB75:AB109" si="42">IF($G75="","",IF($G75=1,(W75-$C$2-H75)/($C$2+H75),(W75-W74-H75)/(W74+H75)))</f>
        <v/>
      </c>
      <c r="AC75" s="10" t="str">
        <f t="shared" ref="AC75:AC109" si="43">IF($G75="","",IF($G75=1,(X75-$C$2-H75)/($C$2+H75),(X75-X74-H75)/(X74+H75)))</f>
        <v/>
      </c>
      <c r="AD75" s="10" t="str">
        <f t="shared" ref="AD75:AD109" si="44">IF($G75="","",AC75-AB75)</f>
        <v/>
      </c>
      <c r="AE75" s="10" t="str">
        <f t="shared" si="34"/>
        <v/>
      </c>
      <c r="AF75" s="10" t="str">
        <f t="shared" si="35"/>
        <v/>
      </c>
      <c r="AG75" s="10" t="str">
        <f t="shared" ref="AG75:AG109" si="45">IF($G75="","",AF75-AE75)</f>
        <v/>
      </c>
      <c r="AH75" s="10" t="str">
        <f t="shared" si="36"/>
        <v/>
      </c>
      <c r="AI75" s="10" t="str">
        <f t="shared" si="37"/>
        <v/>
      </c>
      <c r="AJ75" s="10" t="str">
        <f t="shared" ref="AJ75:AJ109" si="46">IF($G75="","",AI75-AH75)</f>
        <v/>
      </c>
      <c r="AK75" s="10" t="str">
        <f t="shared" si="38"/>
        <v/>
      </c>
      <c r="AL75" s="10" t="str">
        <f t="shared" ref="AL75:AL109" si="47">IF($G75="","",(1+AF75)^(1/G75)-1)</f>
        <v/>
      </c>
      <c r="AM75" s="10" t="str">
        <f t="shared" ref="AM75:AM109" si="48">IF($G75="","",AL75-AK75)</f>
        <v/>
      </c>
      <c r="AN75" s="10" t="str">
        <f t="shared" ref="AN75:AN109" si="49">IF($G75="","",(1+AH75)^(1/G75)-1)</f>
        <v/>
      </c>
      <c r="AO75" s="10" t="str">
        <f t="shared" ref="AO75:AO109" si="50">IF($G75="","",(1+AI75)^(1/G75)-1)</f>
        <v/>
      </c>
      <c r="AP75" s="10" t="str">
        <f t="shared" ref="AP75:AP109" si="51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0"/>
        <v/>
      </c>
      <c r="S76" s="7" t="str">
        <f t="shared" si="32"/>
        <v/>
      </c>
      <c r="T76" s="7" t="str">
        <f t="shared" si="30"/>
        <v/>
      </c>
      <c r="U76" s="8" t="str">
        <f t="shared" si="39"/>
        <v/>
      </c>
      <c r="V76" s="8" t="str">
        <f t="shared" si="39"/>
        <v/>
      </c>
      <c r="W76" s="7" t="str">
        <f t="shared" si="31"/>
        <v/>
      </c>
      <c r="X76" s="7" t="str">
        <f t="shared" si="31"/>
        <v/>
      </c>
      <c r="Y76" s="10" t="str">
        <f t="shared" si="33"/>
        <v/>
      </c>
      <c r="Z76" s="10" t="str">
        <f t="shared" si="40"/>
        <v/>
      </c>
      <c r="AA76" s="10" t="str">
        <f t="shared" si="41"/>
        <v/>
      </c>
      <c r="AB76" s="10" t="str">
        <f t="shared" si="42"/>
        <v/>
      </c>
      <c r="AC76" s="10" t="str">
        <f t="shared" si="43"/>
        <v/>
      </c>
      <c r="AD76" s="10" t="str">
        <f t="shared" si="44"/>
        <v/>
      </c>
      <c r="AE76" s="10" t="str">
        <f t="shared" si="34"/>
        <v/>
      </c>
      <c r="AF76" s="10" t="str">
        <f t="shared" si="35"/>
        <v/>
      </c>
      <c r="AG76" s="10" t="str">
        <f t="shared" si="45"/>
        <v/>
      </c>
      <c r="AH76" s="10" t="str">
        <f t="shared" si="36"/>
        <v/>
      </c>
      <c r="AI76" s="10" t="str">
        <f t="shared" si="37"/>
        <v/>
      </c>
      <c r="AJ76" s="10" t="str">
        <f t="shared" si="46"/>
        <v/>
      </c>
      <c r="AK76" s="10" t="str">
        <f t="shared" si="38"/>
        <v/>
      </c>
      <c r="AL76" s="10" t="str">
        <f t="shared" si="47"/>
        <v/>
      </c>
      <c r="AM76" s="10" t="str">
        <f t="shared" si="48"/>
        <v/>
      </c>
      <c r="AN76" s="10" t="str">
        <f t="shared" si="49"/>
        <v/>
      </c>
      <c r="AO76" s="10" t="str">
        <f t="shared" si="50"/>
        <v/>
      </c>
      <c r="AP76" s="10" t="str">
        <f t="shared" si="51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0"/>
        <v/>
      </c>
      <c r="S77" s="7" t="str">
        <f t="shared" si="32"/>
        <v/>
      </c>
      <c r="T77" s="7" t="str">
        <f t="shared" si="30"/>
        <v/>
      </c>
      <c r="U77" s="8" t="str">
        <f t="shared" si="39"/>
        <v/>
      </c>
      <c r="V77" s="8" t="str">
        <f t="shared" si="39"/>
        <v/>
      </c>
      <c r="W77" s="7" t="str">
        <f t="shared" si="31"/>
        <v/>
      </c>
      <c r="X77" s="7" t="str">
        <f t="shared" si="31"/>
        <v/>
      </c>
      <c r="Y77" s="10" t="str">
        <f t="shared" si="33"/>
        <v/>
      </c>
      <c r="Z77" s="10" t="str">
        <f t="shared" si="40"/>
        <v/>
      </c>
      <c r="AA77" s="10" t="str">
        <f t="shared" si="41"/>
        <v/>
      </c>
      <c r="AB77" s="10" t="str">
        <f t="shared" si="42"/>
        <v/>
      </c>
      <c r="AC77" s="10" t="str">
        <f t="shared" si="43"/>
        <v/>
      </c>
      <c r="AD77" s="10" t="str">
        <f t="shared" si="44"/>
        <v/>
      </c>
      <c r="AE77" s="10" t="str">
        <f t="shared" si="34"/>
        <v/>
      </c>
      <c r="AF77" s="10" t="str">
        <f t="shared" si="35"/>
        <v/>
      </c>
      <c r="AG77" s="10" t="str">
        <f t="shared" si="45"/>
        <v/>
      </c>
      <c r="AH77" s="10" t="str">
        <f t="shared" si="36"/>
        <v/>
      </c>
      <c r="AI77" s="10" t="str">
        <f t="shared" si="37"/>
        <v/>
      </c>
      <c r="AJ77" s="10" t="str">
        <f t="shared" si="46"/>
        <v/>
      </c>
      <c r="AK77" s="10" t="str">
        <f t="shared" si="38"/>
        <v/>
      </c>
      <c r="AL77" s="10" t="str">
        <f t="shared" si="47"/>
        <v/>
      </c>
      <c r="AM77" s="10" t="str">
        <f t="shared" si="48"/>
        <v/>
      </c>
      <c r="AN77" s="10" t="str">
        <f t="shared" si="49"/>
        <v/>
      </c>
      <c r="AO77" s="10" t="str">
        <f t="shared" si="50"/>
        <v/>
      </c>
      <c r="AP77" s="10" t="str">
        <f t="shared" si="51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0"/>
        <v/>
      </c>
      <c r="S78" s="7" t="str">
        <f t="shared" si="32"/>
        <v/>
      </c>
      <c r="T78" s="7" t="str">
        <f t="shared" si="30"/>
        <v/>
      </c>
      <c r="U78" s="8" t="str">
        <f t="shared" si="39"/>
        <v/>
      </c>
      <c r="V78" s="8" t="str">
        <f t="shared" si="39"/>
        <v/>
      </c>
      <c r="W78" s="7" t="str">
        <f t="shared" si="31"/>
        <v/>
      </c>
      <c r="X78" s="7" t="str">
        <f t="shared" si="31"/>
        <v/>
      </c>
      <c r="Y78" s="10" t="str">
        <f t="shared" si="33"/>
        <v/>
      </c>
      <c r="Z78" s="10" t="str">
        <f t="shared" si="40"/>
        <v/>
      </c>
      <c r="AA78" s="10" t="str">
        <f t="shared" si="41"/>
        <v/>
      </c>
      <c r="AB78" s="10" t="str">
        <f t="shared" si="42"/>
        <v/>
      </c>
      <c r="AC78" s="10" t="str">
        <f t="shared" si="43"/>
        <v/>
      </c>
      <c r="AD78" s="10" t="str">
        <f t="shared" si="44"/>
        <v/>
      </c>
      <c r="AE78" s="10" t="str">
        <f t="shared" si="34"/>
        <v/>
      </c>
      <c r="AF78" s="10" t="str">
        <f t="shared" si="35"/>
        <v/>
      </c>
      <c r="AG78" s="10" t="str">
        <f t="shared" si="45"/>
        <v/>
      </c>
      <c r="AH78" s="10" t="str">
        <f t="shared" si="36"/>
        <v/>
      </c>
      <c r="AI78" s="10" t="str">
        <f t="shared" si="37"/>
        <v/>
      </c>
      <c r="AJ78" s="10" t="str">
        <f t="shared" si="46"/>
        <v/>
      </c>
      <c r="AK78" s="10" t="str">
        <f t="shared" si="38"/>
        <v/>
      </c>
      <c r="AL78" s="10" t="str">
        <f t="shared" si="47"/>
        <v/>
      </c>
      <c r="AM78" s="10" t="str">
        <f t="shared" si="48"/>
        <v/>
      </c>
      <c r="AN78" s="10" t="str">
        <f t="shared" si="49"/>
        <v/>
      </c>
      <c r="AO78" s="10" t="str">
        <f t="shared" si="50"/>
        <v/>
      </c>
      <c r="AP78" s="10" t="str">
        <f t="shared" si="51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0"/>
        <v/>
      </c>
      <c r="S79" s="7" t="str">
        <f t="shared" si="32"/>
        <v/>
      </c>
      <c r="T79" s="7" t="str">
        <f t="shared" si="30"/>
        <v/>
      </c>
      <c r="U79" s="8" t="str">
        <f t="shared" si="39"/>
        <v/>
      </c>
      <c r="V79" s="8" t="str">
        <f t="shared" si="39"/>
        <v/>
      </c>
      <c r="W79" s="7" t="str">
        <f t="shared" si="31"/>
        <v/>
      </c>
      <c r="X79" s="7" t="str">
        <f t="shared" si="31"/>
        <v/>
      </c>
      <c r="Y79" s="10" t="str">
        <f t="shared" si="33"/>
        <v/>
      </c>
      <c r="Z79" s="10" t="str">
        <f t="shared" si="40"/>
        <v/>
      </c>
      <c r="AA79" s="10" t="str">
        <f t="shared" si="41"/>
        <v/>
      </c>
      <c r="AB79" s="10" t="str">
        <f t="shared" si="42"/>
        <v/>
      </c>
      <c r="AC79" s="10" t="str">
        <f t="shared" si="43"/>
        <v/>
      </c>
      <c r="AD79" s="10" t="str">
        <f t="shared" si="44"/>
        <v/>
      </c>
      <c r="AE79" s="10" t="str">
        <f t="shared" si="34"/>
        <v/>
      </c>
      <c r="AF79" s="10" t="str">
        <f t="shared" si="35"/>
        <v/>
      </c>
      <c r="AG79" s="10" t="str">
        <f t="shared" si="45"/>
        <v/>
      </c>
      <c r="AH79" s="10" t="str">
        <f t="shared" si="36"/>
        <v/>
      </c>
      <c r="AI79" s="10" t="str">
        <f t="shared" si="37"/>
        <v/>
      </c>
      <c r="AJ79" s="10" t="str">
        <f t="shared" si="46"/>
        <v/>
      </c>
      <c r="AK79" s="10" t="str">
        <f t="shared" si="38"/>
        <v/>
      </c>
      <c r="AL79" s="10" t="str">
        <f t="shared" si="47"/>
        <v/>
      </c>
      <c r="AM79" s="10" t="str">
        <f t="shared" si="48"/>
        <v/>
      </c>
      <c r="AN79" s="10" t="str">
        <f t="shared" si="49"/>
        <v/>
      </c>
      <c r="AO79" s="10" t="str">
        <f t="shared" si="50"/>
        <v/>
      </c>
      <c r="AP79" s="10" t="str">
        <f t="shared" si="51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0"/>
        <v/>
      </c>
      <c r="S80" s="7" t="str">
        <f t="shared" si="32"/>
        <v/>
      </c>
      <c r="T80" s="7" t="str">
        <f t="shared" si="30"/>
        <v/>
      </c>
      <c r="U80" s="8" t="str">
        <f t="shared" si="39"/>
        <v/>
      </c>
      <c r="V80" s="8" t="str">
        <f t="shared" si="39"/>
        <v/>
      </c>
      <c r="W80" s="7" t="str">
        <f t="shared" si="31"/>
        <v/>
      </c>
      <c r="X80" s="7" t="str">
        <f t="shared" si="31"/>
        <v/>
      </c>
      <c r="Y80" s="10" t="str">
        <f t="shared" si="33"/>
        <v/>
      </c>
      <c r="Z80" s="10" t="str">
        <f t="shared" si="40"/>
        <v/>
      </c>
      <c r="AA80" s="10" t="str">
        <f t="shared" si="41"/>
        <v/>
      </c>
      <c r="AB80" s="10" t="str">
        <f t="shared" si="42"/>
        <v/>
      </c>
      <c r="AC80" s="10" t="str">
        <f t="shared" si="43"/>
        <v/>
      </c>
      <c r="AD80" s="10" t="str">
        <f t="shared" si="44"/>
        <v/>
      </c>
      <c r="AE80" s="10" t="str">
        <f t="shared" si="34"/>
        <v/>
      </c>
      <c r="AF80" s="10" t="str">
        <f t="shared" si="35"/>
        <v/>
      </c>
      <c r="AG80" s="10" t="str">
        <f t="shared" si="45"/>
        <v/>
      </c>
      <c r="AH80" s="10" t="str">
        <f t="shared" si="36"/>
        <v/>
      </c>
      <c r="AI80" s="10" t="str">
        <f t="shared" si="37"/>
        <v/>
      </c>
      <c r="AJ80" s="10" t="str">
        <f t="shared" si="46"/>
        <v/>
      </c>
      <c r="AK80" s="10" t="str">
        <f t="shared" si="38"/>
        <v/>
      </c>
      <c r="AL80" s="10" t="str">
        <f t="shared" si="47"/>
        <v/>
      </c>
      <c r="AM80" s="10" t="str">
        <f t="shared" si="48"/>
        <v/>
      </c>
      <c r="AN80" s="10" t="str">
        <f t="shared" si="49"/>
        <v/>
      </c>
      <c r="AO80" s="10" t="str">
        <f t="shared" si="50"/>
        <v/>
      </c>
      <c r="AP80" s="10" t="str">
        <f t="shared" si="51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0"/>
        <v/>
      </c>
      <c r="S81" s="7" t="str">
        <f t="shared" si="32"/>
        <v/>
      </c>
      <c r="T81" s="7" t="str">
        <f t="shared" si="30"/>
        <v/>
      </c>
      <c r="U81" s="8" t="str">
        <f t="shared" si="39"/>
        <v/>
      </c>
      <c r="V81" s="8" t="str">
        <f t="shared" si="39"/>
        <v/>
      </c>
      <c r="W81" s="7" t="str">
        <f t="shared" si="31"/>
        <v/>
      </c>
      <c r="X81" s="7" t="str">
        <f t="shared" si="31"/>
        <v/>
      </c>
      <c r="Y81" s="10" t="str">
        <f t="shared" si="33"/>
        <v/>
      </c>
      <c r="Z81" s="10" t="str">
        <f t="shared" si="40"/>
        <v/>
      </c>
      <c r="AA81" s="10" t="str">
        <f t="shared" si="41"/>
        <v/>
      </c>
      <c r="AB81" s="10" t="str">
        <f t="shared" si="42"/>
        <v/>
      </c>
      <c r="AC81" s="10" t="str">
        <f t="shared" si="43"/>
        <v/>
      </c>
      <c r="AD81" s="10" t="str">
        <f t="shared" si="44"/>
        <v/>
      </c>
      <c r="AE81" s="10" t="str">
        <f t="shared" si="34"/>
        <v/>
      </c>
      <c r="AF81" s="10" t="str">
        <f t="shared" si="35"/>
        <v/>
      </c>
      <c r="AG81" s="10" t="str">
        <f t="shared" si="45"/>
        <v/>
      </c>
      <c r="AH81" s="10" t="str">
        <f t="shared" si="36"/>
        <v/>
      </c>
      <c r="AI81" s="10" t="str">
        <f t="shared" si="37"/>
        <v/>
      </c>
      <c r="AJ81" s="10" t="str">
        <f t="shared" si="46"/>
        <v/>
      </c>
      <c r="AK81" s="10" t="str">
        <f t="shared" si="38"/>
        <v/>
      </c>
      <c r="AL81" s="10" t="str">
        <f t="shared" si="47"/>
        <v/>
      </c>
      <c r="AM81" s="10" t="str">
        <f t="shared" si="48"/>
        <v/>
      </c>
      <c r="AN81" s="10" t="str">
        <f t="shared" si="49"/>
        <v/>
      </c>
      <c r="AO81" s="10" t="str">
        <f t="shared" si="50"/>
        <v/>
      </c>
      <c r="AP81" s="10" t="str">
        <f t="shared" si="51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0"/>
        <v/>
      </c>
      <c r="S82" s="7" t="str">
        <f t="shared" si="32"/>
        <v/>
      </c>
      <c r="T82" s="7" t="str">
        <f t="shared" si="30"/>
        <v/>
      </c>
      <c r="U82" s="8" t="str">
        <f t="shared" si="39"/>
        <v/>
      </c>
      <c r="V82" s="8" t="str">
        <f t="shared" si="39"/>
        <v/>
      </c>
      <c r="W82" s="7" t="str">
        <f t="shared" si="31"/>
        <v/>
      </c>
      <c r="X82" s="7" t="str">
        <f t="shared" si="31"/>
        <v/>
      </c>
      <c r="Y82" s="10" t="str">
        <f t="shared" si="33"/>
        <v/>
      </c>
      <c r="Z82" s="10" t="str">
        <f t="shared" si="40"/>
        <v/>
      </c>
      <c r="AA82" s="10" t="str">
        <f t="shared" si="41"/>
        <v/>
      </c>
      <c r="AB82" s="10" t="str">
        <f t="shared" si="42"/>
        <v/>
      </c>
      <c r="AC82" s="10" t="str">
        <f t="shared" si="43"/>
        <v/>
      </c>
      <c r="AD82" s="10" t="str">
        <f t="shared" si="44"/>
        <v/>
      </c>
      <c r="AE82" s="10" t="str">
        <f t="shared" si="34"/>
        <v/>
      </c>
      <c r="AF82" s="10" t="str">
        <f t="shared" si="35"/>
        <v/>
      </c>
      <c r="AG82" s="10" t="str">
        <f t="shared" si="45"/>
        <v/>
      </c>
      <c r="AH82" s="10" t="str">
        <f t="shared" si="36"/>
        <v/>
      </c>
      <c r="AI82" s="10" t="str">
        <f t="shared" si="37"/>
        <v/>
      </c>
      <c r="AJ82" s="10" t="str">
        <f t="shared" si="46"/>
        <v/>
      </c>
      <c r="AK82" s="10" t="str">
        <f t="shared" si="38"/>
        <v/>
      </c>
      <c r="AL82" s="10" t="str">
        <f t="shared" si="47"/>
        <v/>
      </c>
      <c r="AM82" s="10" t="str">
        <f t="shared" si="48"/>
        <v/>
      </c>
      <c r="AN82" s="10" t="str">
        <f t="shared" si="49"/>
        <v/>
      </c>
      <c r="AO82" s="10" t="str">
        <f t="shared" si="50"/>
        <v/>
      </c>
      <c r="AP82" s="10" t="str">
        <f t="shared" si="51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0"/>
        <v/>
      </c>
      <c r="S83" s="7" t="str">
        <f t="shared" si="32"/>
        <v/>
      </c>
      <c r="T83" s="7" t="str">
        <f t="shared" si="30"/>
        <v/>
      </c>
      <c r="U83" s="8" t="str">
        <f t="shared" si="39"/>
        <v/>
      </c>
      <c r="V83" s="8" t="str">
        <f t="shared" si="39"/>
        <v/>
      </c>
      <c r="W83" s="7" t="str">
        <f t="shared" si="31"/>
        <v/>
      </c>
      <c r="X83" s="7" t="str">
        <f t="shared" si="31"/>
        <v/>
      </c>
      <c r="Y83" s="10" t="str">
        <f t="shared" si="33"/>
        <v/>
      </c>
      <c r="Z83" s="10" t="str">
        <f t="shared" si="40"/>
        <v/>
      </c>
      <c r="AA83" s="10" t="str">
        <f t="shared" si="41"/>
        <v/>
      </c>
      <c r="AB83" s="10" t="str">
        <f t="shared" si="42"/>
        <v/>
      </c>
      <c r="AC83" s="10" t="str">
        <f t="shared" si="43"/>
        <v/>
      </c>
      <c r="AD83" s="10" t="str">
        <f t="shared" si="44"/>
        <v/>
      </c>
      <c r="AE83" s="10" t="str">
        <f t="shared" si="34"/>
        <v/>
      </c>
      <c r="AF83" s="10" t="str">
        <f t="shared" si="35"/>
        <v/>
      </c>
      <c r="AG83" s="10" t="str">
        <f t="shared" si="45"/>
        <v/>
      </c>
      <c r="AH83" s="10" t="str">
        <f t="shared" si="36"/>
        <v/>
      </c>
      <c r="AI83" s="10" t="str">
        <f t="shared" si="37"/>
        <v/>
      </c>
      <c r="AJ83" s="10" t="str">
        <f t="shared" si="46"/>
        <v/>
      </c>
      <c r="AK83" s="10" t="str">
        <f t="shared" si="38"/>
        <v/>
      </c>
      <c r="AL83" s="10" t="str">
        <f t="shared" si="47"/>
        <v/>
      </c>
      <c r="AM83" s="10" t="str">
        <f t="shared" si="48"/>
        <v/>
      </c>
      <c r="AN83" s="10" t="str">
        <f t="shared" si="49"/>
        <v/>
      </c>
      <c r="AO83" s="10" t="str">
        <f t="shared" si="50"/>
        <v/>
      </c>
      <c r="AP83" s="10" t="str">
        <f t="shared" si="51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0"/>
        <v/>
      </c>
      <c r="S84" s="7" t="str">
        <f t="shared" si="32"/>
        <v/>
      </c>
      <c r="T84" s="7" t="str">
        <f t="shared" si="30"/>
        <v/>
      </c>
      <c r="U84" s="8" t="str">
        <f t="shared" si="39"/>
        <v/>
      </c>
      <c r="V84" s="8" t="str">
        <f t="shared" si="39"/>
        <v/>
      </c>
      <c r="W84" s="7" t="str">
        <f t="shared" si="31"/>
        <v/>
      </c>
      <c r="X84" s="7" t="str">
        <f t="shared" si="31"/>
        <v/>
      </c>
      <c r="Y84" s="10" t="str">
        <f t="shared" si="33"/>
        <v/>
      </c>
      <c r="Z84" s="10" t="str">
        <f t="shared" si="40"/>
        <v/>
      </c>
      <c r="AA84" s="10" t="str">
        <f t="shared" si="41"/>
        <v/>
      </c>
      <c r="AB84" s="10" t="str">
        <f t="shared" si="42"/>
        <v/>
      </c>
      <c r="AC84" s="10" t="str">
        <f t="shared" si="43"/>
        <v/>
      </c>
      <c r="AD84" s="10" t="str">
        <f t="shared" si="44"/>
        <v/>
      </c>
      <c r="AE84" s="10" t="str">
        <f t="shared" si="34"/>
        <v/>
      </c>
      <c r="AF84" s="10" t="str">
        <f t="shared" si="35"/>
        <v/>
      </c>
      <c r="AG84" s="10" t="str">
        <f t="shared" si="45"/>
        <v/>
      </c>
      <c r="AH84" s="10" t="str">
        <f t="shared" si="36"/>
        <v/>
      </c>
      <c r="AI84" s="10" t="str">
        <f t="shared" si="37"/>
        <v/>
      </c>
      <c r="AJ84" s="10" t="str">
        <f t="shared" si="46"/>
        <v/>
      </c>
      <c r="AK84" s="10" t="str">
        <f t="shared" si="38"/>
        <v/>
      </c>
      <c r="AL84" s="10" t="str">
        <f t="shared" si="47"/>
        <v/>
      </c>
      <c r="AM84" s="10" t="str">
        <f t="shared" si="48"/>
        <v/>
      </c>
      <c r="AN84" s="10" t="str">
        <f t="shared" si="49"/>
        <v/>
      </c>
      <c r="AO84" s="10" t="str">
        <f t="shared" si="50"/>
        <v/>
      </c>
      <c r="AP84" s="10" t="str">
        <f t="shared" si="51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0"/>
        <v/>
      </c>
      <c r="S85" s="7" t="str">
        <f t="shared" si="32"/>
        <v/>
      </c>
      <c r="T85" s="7" t="str">
        <f t="shared" si="30"/>
        <v/>
      </c>
      <c r="U85" s="8" t="str">
        <f t="shared" si="39"/>
        <v/>
      </c>
      <c r="V85" s="8" t="str">
        <f t="shared" si="39"/>
        <v/>
      </c>
      <c r="W85" s="7" t="str">
        <f t="shared" si="31"/>
        <v/>
      </c>
      <c r="X85" s="7" t="str">
        <f t="shared" si="31"/>
        <v/>
      </c>
      <c r="Y85" s="10" t="str">
        <f t="shared" si="33"/>
        <v/>
      </c>
      <c r="Z85" s="10" t="str">
        <f t="shared" si="40"/>
        <v/>
      </c>
      <c r="AA85" s="10" t="str">
        <f t="shared" si="41"/>
        <v/>
      </c>
      <c r="AB85" s="10" t="str">
        <f t="shared" si="42"/>
        <v/>
      </c>
      <c r="AC85" s="10" t="str">
        <f t="shared" si="43"/>
        <v/>
      </c>
      <c r="AD85" s="10" t="str">
        <f t="shared" si="44"/>
        <v/>
      </c>
      <c r="AE85" s="10" t="str">
        <f t="shared" si="34"/>
        <v/>
      </c>
      <c r="AF85" s="10" t="str">
        <f t="shared" si="35"/>
        <v/>
      </c>
      <c r="AG85" s="10" t="str">
        <f t="shared" si="45"/>
        <v/>
      </c>
      <c r="AH85" s="10" t="str">
        <f t="shared" si="36"/>
        <v/>
      </c>
      <c r="AI85" s="10" t="str">
        <f t="shared" si="37"/>
        <v/>
      </c>
      <c r="AJ85" s="10" t="str">
        <f t="shared" si="46"/>
        <v/>
      </c>
      <c r="AK85" s="10" t="str">
        <f t="shared" si="38"/>
        <v/>
      </c>
      <c r="AL85" s="10" t="str">
        <f t="shared" si="47"/>
        <v/>
      </c>
      <c r="AM85" s="10" t="str">
        <f t="shared" si="48"/>
        <v/>
      </c>
      <c r="AN85" s="10" t="str">
        <f t="shared" si="49"/>
        <v/>
      </c>
      <c r="AO85" s="10" t="str">
        <f t="shared" si="50"/>
        <v/>
      </c>
      <c r="AP85" s="10" t="str">
        <f t="shared" si="51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0"/>
        <v/>
      </c>
      <c r="S86" s="7" t="str">
        <f t="shared" si="32"/>
        <v/>
      </c>
      <c r="T86" s="7" t="str">
        <f t="shared" si="30"/>
        <v/>
      </c>
      <c r="U86" s="8" t="str">
        <f t="shared" si="39"/>
        <v/>
      </c>
      <c r="V86" s="8" t="str">
        <f t="shared" si="39"/>
        <v/>
      </c>
      <c r="W86" s="7" t="str">
        <f t="shared" si="31"/>
        <v/>
      </c>
      <c r="X86" s="7" t="str">
        <f t="shared" si="31"/>
        <v/>
      </c>
      <c r="Y86" s="10" t="str">
        <f t="shared" si="33"/>
        <v/>
      </c>
      <c r="Z86" s="10" t="str">
        <f t="shared" si="40"/>
        <v/>
      </c>
      <c r="AA86" s="10" t="str">
        <f t="shared" si="41"/>
        <v/>
      </c>
      <c r="AB86" s="10" t="str">
        <f t="shared" si="42"/>
        <v/>
      </c>
      <c r="AC86" s="10" t="str">
        <f t="shared" si="43"/>
        <v/>
      </c>
      <c r="AD86" s="10" t="str">
        <f t="shared" si="44"/>
        <v/>
      </c>
      <c r="AE86" s="10" t="str">
        <f t="shared" si="34"/>
        <v/>
      </c>
      <c r="AF86" s="10" t="str">
        <f t="shared" si="35"/>
        <v/>
      </c>
      <c r="AG86" s="10" t="str">
        <f t="shared" si="45"/>
        <v/>
      </c>
      <c r="AH86" s="10" t="str">
        <f t="shared" si="36"/>
        <v/>
      </c>
      <c r="AI86" s="10" t="str">
        <f t="shared" si="37"/>
        <v/>
      </c>
      <c r="AJ86" s="10" t="str">
        <f t="shared" si="46"/>
        <v/>
      </c>
      <c r="AK86" s="10" t="str">
        <f t="shared" si="38"/>
        <v/>
      </c>
      <c r="AL86" s="10" t="str">
        <f t="shared" si="47"/>
        <v/>
      </c>
      <c r="AM86" s="10" t="str">
        <f t="shared" si="48"/>
        <v/>
      </c>
      <c r="AN86" s="10" t="str">
        <f t="shared" si="49"/>
        <v/>
      </c>
      <c r="AO86" s="10" t="str">
        <f t="shared" si="50"/>
        <v/>
      </c>
      <c r="AP86" s="10" t="str">
        <f t="shared" si="51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0"/>
        <v/>
      </c>
      <c r="S87" s="7" t="str">
        <f t="shared" si="32"/>
        <v/>
      </c>
      <c r="T87" s="7" t="str">
        <f t="shared" si="30"/>
        <v/>
      </c>
      <c r="U87" s="8" t="str">
        <f t="shared" si="39"/>
        <v/>
      </c>
      <c r="V87" s="8" t="str">
        <f t="shared" si="39"/>
        <v/>
      </c>
      <c r="W87" s="7" t="str">
        <f t="shared" si="31"/>
        <v/>
      </c>
      <c r="X87" s="7" t="str">
        <f t="shared" si="31"/>
        <v/>
      </c>
      <c r="Y87" s="10" t="str">
        <f t="shared" si="33"/>
        <v/>
      </c>
      <c r="Z87" s="10" t="str">
        <f t="shared" si="40"/>
        <v/>
      </c>
      <c r="AA87" s="10" t="str">
        <f t="shared" si="41"/>
        <v/>
      </c>
      <c r="AB87" s="10" t="str">
        <f t="shared" si="42"/>
        <v/>
      </c>
      <c r="AC87" s="10" t="str">
        <f t="shared" si="43"/>
        <v/>
      </c>
      <c r="AD87" s="10" t="str">
        <f t="shared" si="44"/>
        <v/>
      </c>
      <c r="AE87" s="10" t="str">
        <f t="shared" si="34"/>
        <v/>
      </c>
      <c r="AF87" s="10" t="str">
        <f t="shared" si="35"/>
        <v/>
      </c>
      <c r="AG87" s="10" t="str">
        <f t="shared" si="45"/>
        <v/>
      </c>
      <c r="AH87" s="10" t="str">
        <f t="shared" si="36"/>
        <v/>
      </c>
      <c r="AI87" s="10" t="str">
        <f t="shared" si="37"/>
        <v/>
      </c>
      <c r="AJ87" s="10" t="str">
        <f t="shared" si="46"/>
        <v/>
      </c>
      <c r="AK87" s="10" t="str">
        <f t="shared" si="38"/>
        <v/>
      </c>
      <c r="AL87" s="10" t="str">
        <f t="shared" si="47"/>
        <v/>
      </c>
      <c r="AM87" s="10" t="str">
        <f t="shared" si="48"/>
        <v/>
      </c>
      <c r="AN87" s="10" t="str">
        <f t="shared" si="49"/>
        <v/>
      </c>
      <c r="AO87" s="10" t="str">
        <f t="shared" si="50"/>
        <v/>
      </c>
      <c r="AP87" s="10" t="str">
        <f t="shared" si="51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0"/>
        <v/>
      </c>
      <c r="S88" s="7" t="str">
        <f t="shared" si="32"/>
        <v/>
      </c>
      <c r="T88" s="7" t="str">
        <f t="shared" si="30"/>
        <v/>
      </c>
      <c r="U88" s="8" t="str">
        <f t="shared" si="39"/>
        <v/>
      </c>
      <c r="V88" s="8" t="str">
        <f t="shared" si="39"/>
        <v/>
      </c>
      <c r="W88" s="7" t="str">
        <f t="shared" si="31"/>
        <v/>
      </c>
      <c r="X88" s="7" t="str">
        <f t="shared" si="31"/>
        <v/>
      </c>
      <c r="Y88" s="10" t="str">
        <f t="shared" si="33"/>
        <v/>
      </c>
      <c r="Z88" s="10" t="str">
        <f t="shared" si="40"/>
        <v/>
      </c>
      <c r="AA88" s="10" t="str">
        <f t="shared" si="41"/>
        <v/>
      </c>
      <c r="AB88" s="10" t="str">
        <f t="shared" si="42"/>
        <v/>
      </c>
      <c r="AC88" s="10" t="str">
        <f t="shared" si="43"/>
        <v/>
      </c>
      <c r="AD88" s="10" t="str">
        <f t="shared" si="44"/>
        <v/>
      </c>
      <c r="AE88" s="10" t="str">
        <f t="shared" si="34"/>
        <v/>
      </c>
      <c r="AF88" s="10" t="str">
        <f t="shared" si="35"/>
        <v/>
      </c>
      <c r="AG88" s="10" t="str">
        <f t="shared" si="45"/>
        <v/>
      </c>
      <c r="AH88" s="10" t="str">
        <f t="shared" si="36"/>
        <v/>
      </c>
      <c r="AI88" s="10" t="str">
        <f t="shared" si="37"/>
        <v/>
      </c>
      <c r="AJ88" s="10" t="str">
        <f t="shared" si="46"/>
        <v/>
      </c>
      <c r="AK88" s="10" t="str">
        <f t="shared" si="38"/>
        <v/>
      </c>
      <c r="AL88" s="10" t="str">
        <f t="shared" si="47"/>
        <v/>
      </c>
      <c r="AM88" s="10" t="str">
        <f t="shared" si="48"/>
        <v/>
      </c>
      <c r="AN88" s="10" t="str">
        <f t="shared" si="49"/>
        <v/>
      </c>
      <c r="AO88" s="10" t="str">
        <f t="shared" si="50"/>
        <v/>
      </c>
      <c r="AP88" s="10" t="str">
        <f t="shared" si="51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0"/>
        <v/>
      </c>
      <c r="S89" s="7" t="str">
        <f t="shared" si="32"/>
        <v/>
      </c>
      <c r="T89" s="7" t="str">
        <f t="shared" si="30"/>
        <v/>
      </c>
      <c r="U89" s="8" t="str">
        <f t="shared" si="39"/>
        <v/>
      </c>
      <c r="V89" s="8" t="str">
        <f t="shared" si="39"/>
        <v/>
      </c>
      <c r="W89" s="7" t="str">
        <f t="shared" ref="W89:X98" si="52">IF($G89="","",IF($G89=1,(($C$2+$H89)*W$3)*(1+(W$4-W$5)),((W88+($H89*W$3))*(1+(W$4-W$5)))))</f>
        <v/>
      </c>
      <c r="X89" s="7" t="str">
        <f t="shared" si="52"/>
        <v/>
      </c>
      <c r="Y89" s="10" t="str">
        <f t="shared" si="33"/>
        <v/>
      </c>
      <c r="Z89" s="10" t="str">
        <f t="shared" si="40"/>
        <v/>
      </c>
      <c r="AA89" s="10" t="str">
        <f t="shared" si="41"/>
        <v/>
      </c>
      <c r="AB89" s="10" t="str">
        <f t="shared" si="42"/>
        <v/>
      </c>
      <c r="AC89" s="10" t="str">
        <f t="shared" si="43"/>
        <v/>
      </c>
      <c r="AD89" s="10" t="str">
        <f t="shared" si="44"/>
        <v/>
      </c>
      <c r="AE89" s="10" t="str">
        <f t="shared" si="34"/>
        <v/>
      </c>
      <c r="AF89" s="10" t="str">
        <f t="shared" si="35"/>
        <v/>
      </c>
      <c r="AG89" s="10" t="str">
        <f t="shared" si="45"/>
        <v/>
      </c>
      <c r="AH89" s="10" t="str">
        <f t="shared" si="36"/>
        <v/>
      </c>
      <c r="AI89" s="10" t="str">
        <f t="shared" si="37"/>
        <v/>
      </c>
      <c r="AJ89" s="10" t="str">
        <f t="shared" si="46"/>
        <v/>
      </c>
      <c r="AK89" s="10" t="str">
        <f t="shared" si="38"/>
        <v/>
      </c>
      <c r="AL89" s="10" t="str">
        <f t="shared" si="47"/>
        <v/>
      </c>
      <c r="AM89" s="10" t="str">
        <f t="shared" si="48"/>
        <v/>
      </c>
      <c r="AN89" s="10" t="str">
        <f t="shared" si="49"/>
        <v/>
      </c>
      <c r="AO89" s="10" t="str">
        <f t="shared" si="50"/>
        <v/>
      </c>
      <c r="AP89" s="10" t="str">
        <f t="shared" si="51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0"/>
        <v/>
      </c>
      <c r="S90" s="7" t="str">
        <f t="shared" si="32"/>
        <v/>
      </c>
      <c r="T90" s="7" t="str">
        <f t="shared" si="30"/>
        <v/>
      </c>
      <c r="U90" s="8" t="str">
        <f t="shared" si="39"/>
        <v/>
      </c>
      <c r="V90" s="8" t="str">
        <f t="shared" si="39"/>
        <v/>
      </c>
      <c r="W90" s="7" t="str">
        <f t="shared" si="52"/>
        <v/>
      </c>
      <c r="X90" s="7" t="str">
        <f t="shared" si="52"/>
        <v/>
      </c>
      <c r="Y90" s="10" t="str">
        <f t="shared" si="33"/>
        <v/>
      </c>
      <c r="Z90" s="10" t="str">
        <f t="shared" si="40"/>
        <v/>
      </c>
      <c r="AA90" s="10" t="str">
        <f t="shared" si="41"/>
        <v/>
      </c>
      <c r="AB90" s="10" t="str">
        <f t="shared" si="42"/>
        <v/>
      </c>
      <c r="AC90" s="10" t="str">
        <f t="shared" si="43"/>
        <v/>
      </c>
      <c r="AD90" s="10" t="str">
        <f t="shared" si="44"/>
        <v/>
      </c>
      <c r="AE90" s="10" t="str">
        <f t="shared" si="34"/>
        <v/>
      </c>
      <c r="AF90" s="10" t="str">
        <f t="shared" si="35"/>
        <v/>
      </c>
      <c r="AG90" s="10" t="str">
        <f t="shared" si="45"/>
        <v/>
      </c>
      <c r="AH90" s="10" t="str">
        <f t="shared" si="36"/>
        <v/>
      </c>
      <c r="AI90" s="10" t="str">
        <f t="shared" si="37"/>
        <v/>
      </c>
      <c r="AJ90" s="10" t="str">
        <f t="shared" si="46"/>
        <v/>
      </c>
      <c r="AK90" s="10" t="str">
        <f t="shared" si="38"/>
        <v/>
      </c>
      <c r="AL90" s="10" t="str">
        <f t="shared" si="47"/>
        <v/>
      </c>
      <c r="AM90" s="10" t="str">
        <f t="shared" si="48"/>
        <v/>
      </c>
      <c r="AN90" s="10" t="str">
        <f t="shared" si="49"/>
        <v/>
      </c>
      <c r="AO90" s="10" t="str">
        <f t="shared" si="50"/>
        <v/>
      </c>
      <c r="AP90" s="10" t="str">
        <f t="shared" si="51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0"/>
        <v/>
      </c>
      <c r="S91" s="7" t="str">
        <f t="shared" si="32"/>
        <v/>
      </c>
      <c r="T91" s="7" t="str">
        <f t="shared" si="30"/>
        <v/>
      </c>
      <c r="U91" s="8" t="str">
        <f t="shared" si="39"/>
        <v/>
      </c>
      <c r="V91" s="8" t="str">
        <f t="shared" si="39"/>
        <v/>
      </c>
      <c r="W91" s="7" t="str">
        <f t="shared" si="52"/>
        <v/>
      </c>
      <c r="X91" s="7" t="str">
        <f t="shared" si="52"/>
        <v/>
      </c>
      <c r="Y91" s="10" t="str">
        <f t="shared" si="33"/>
        <v/>
      </c>
      <c r="Z91" s="10" t="str">
        <f t="shared" si="40"/>
        <v/>
      </c>
      <c r="AA91" s="10" t="str">
        <f t="shared" si="41"/>
        <v/>
      </c>
      <c r="AB91" s="10" t="str">
        <f t="shared" si="42"/>
        <v/>
      </c>
      <c r="AC91" s="10" t="str">
        <f t="shared" si="43"/>
        <v/>
      </c>
      <c r="AD91" s="10" t="str">
        <f t="shared" si="44"/>
        <v/>
      </c>
      <c r="AE91" s="10" t="str">
        <f t="shared" si="34"/>
        <v/>
      </c>
      <c r="AF91" s="10" t="str">
        <f t="shared" si="35"/>
        <v/>
      </c>
      <c r="AG91" s="10" t="str">
        <f t="shared" si="45"/>
        <v/>
      </c>
      <c r="AH91" s="10" t="str">
        <f t="shared" si="36"/>
        <v/>
      </c>
      <c r="AI91" s="10" t="str">
        <f t="shared" si="37"/>
        <v/>
      </c>
      <c r="AJ91" s="10" t="str">
        <f t="shared" si="46"/>
        <v/>
      </c>
      <c r="AK91" s="10" t="str">
        <f t="shared" si="38"/>
        <v/>
      </c>
      <c r="AL91" s="10" t="str">
        <f t="shared" si="47"/>
        <v/>
      </c>
      <c r="AM91" s="10" t="str">
        <f t="shared" si="48"/>
        <v/>
      </c>
      <c r="AN91" s="10" t="str">
        <f t="shared" si="49"/>
        <v/>
      </c>
      <c r="AO91" s="10" t="str">
        <f t="shared" si="50"/>
        <v/>
      </c>
      <c r="AP91" s="10" t="str">
        <f t="shared" si="51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0"/>
        <v/>
      </c>
      <c r="S92" s="7" t="str">
        <f t="shared" si="32"/>
        <v/>
      </c>
      <c r="T92" s="7" t="str">
        <f t="shared" si="30"/>
        <v/>
      </c>
      <c r="U92" s="8" t="str">
        <f t="shared" si="39"/>
        <v/>
      </c>
      <c r="V92" s="8" t="str">
        <f t="shared" si="39"/>
        <v/>
      </c>
      <c r="W92" s="7" t="str">
        <f t="shared" si="52"/>
        <v/>
      </c>
      <c r="X92" s="7" t="str">
        <f t="shared" si="52"/>
        <v/>
      </c>
      <c r="Y92" s="10" t="str">
        <f t="shared" si="33"/>
        <v/>
      </c>
      <c r="Z92" s="10" t="str">
        <f t="shared" si="40"/>
        <v/>
      </c>
      <c r="AA92" s="10" t="str">
        <f t="shared" si="41"/>
        <v/>
      </c>
      <c r="AB92" s="10" t="str">
        <f t="shared" si="42"/>
        <v/>
      </c>
      <c r="AC92" s="10" t="str">
        <f t="shared" si="43"/>
        <v/>
      </c>
      <c r="AD92" s="10" t="str">
        <f t="shared" si="44"/>
        <v/>
      </c>
      <c r="AE92" s="10" t="str">
        <f t="shared" si="34"/>
        <v/>
      </c>
      <c r="AF92" s="10" t="str">
        <f t="shared" si="35"/>
        <v/>
      </c>
      <c r="AG92" s="10" t="str">
        <f t="shared" si="45"/>
        <v/>
      </c>
      <c r="AH92" s="10" t="str">
        <f t="shared" si="36"/>
        <v/>
      </c>
      <c r="AI92" s="10" t="str">
        <f t="shared" si="37"/>
        <v/>
      </c>
      <c r="AJ92" s="10" t="str">
        <f t="shared" si="46"/>
        <v/>
      </c>
      <c r="AK92" s="10" t="str">
        <f t="shared" si="38"/>
        <v/>
      </c>
      <c r="AL92" s="10" t="str">
        <f t="shared" si="47"/>
        <v/>
      </c>
      <c r="AM92" s="10" t="str">
        <f t="shared" si="48"/>
        <v/>
      </c>
      <c r="AN92" s="10" t="str">
        <f t="shared" si="49"/>
        <v/>
      </c>
      <c r="AO92" s="10" t="str">
        <f t="shared" si="50"/>
        <v/>
      </c>
      <c r="AP92" s="10" t="str">
        <f t="shared" si="51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0"/>
        <v/>
      </c>
      <c r="S93" s="7" t="str">
        <f t="shared" si="32"/>
        <v/>
      </c>
      <c r="T93" s="7" t="str">
        <f t="shared" si="30"/>
        <v/>
      </c>
      <c r="U93" s="8" t="str">
        <f t="shared" si="39"/>
        <v/>
      </c>
      <c r="V93" s="8" t="str">
        <f t="shared" si="39"/>
        <v/>
      </c>
      <c r="W93" s="7" t="str">
        <f t="shared" si="52"/>
        <v/>
      </c>
      <c r="X93" s="7" t="str">
        <f t="shared" si="52"/>
        <v/>
      </c>
      <c r="Y93" s="10" t="str">
        <f t="shared" si="33"/>
        <v/>
      </c>
      <c r="Z93" s="10" t="str">
        <f t="shared" si="40"/>
        <v/>
      </c>
      <c r="AA93" s="10" t="str">
        <f t="shared" si="41"/>
        <v/>
      </c>
      <c r="AB93" s="10" t="str">
        <f t="shared" si="42"/>
        <v/>
      </c>
      <c r="AC93" s="10" t="str">
        <f t="shared" si="43"/>
        <v/>
      </c>
      <c r="AD93" s="10" t="str">
        <f t="shared" si="44"/>
        <v/>
      </c>
      <c r="AE93" s="10" t="str">
        <f t="shared" si="34"/>
        <v/>
      </c>
      <c r="AF93" s="10" t="str">
        <f t="shared" si="35"/>
        <v/>
      </c>
      <c r="AG93" s="10" t="str">
        <f t="shared" si="45"/>
        <v/>
      </c>
      <c r="AH93" s="10" t="str">
        <f t="shared" si="36"/>
        <v/>
      </c>
      <c r="AI93" s="10" t="str">
        <f t="shared" si="37"/>
        <v/>
      </c>
      <c r="AJ93" s="10" t="str">
        <f t="shared" si="46"/>
        <v/>
      </c>
      <c r="AK93" s="10" t="str">
        <f t="shared" si="38"/>
        <v/>
      </c>
      <c r="AL93" s="10" t="str">
        <f t="shared" si="47"/>
        <v/>
      </c>
      <c r="AM93" s="10" t="str">
        <f t="shared" si="48"/>
        <v/>
      </c>
      <c r="AN93" s="10" t="str">
        <f t="shared" si="49"/>
        <v/>
      </c>
      <c r="AO93" s="10" t="str">
        <f t="shared" si="50"/>
        <v/>
      </c>
      <c r="AP93" s="10" t="str">
        <f t="shared" si="51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0"/>
        <v/>
      </c>
      <c r="S94" s="7" t="str">
        <f t="shared" si="32"/>
        <v/>
      </c>
      <c r="T94" s="7" t="str">
        <f t="shared" si="30"/>
        <v/>
      </c>
      <c r="U94" s="8" t="str">
        <f t="shared" si="39"/>
        <v/>
      </c>
      <c r="V94" s="8" t="str">
        <f t="shared" si="39"/>
        <v/>
      </c>
      <c r="W94" s="7" t="str">
        <f t="shared" si="52"/>
        <v/>
      </c>
      <c r="X94" s="7" t="str">
        <f t="shared" si="52"/>
        <v/>
      </c>
      <c r="Y94" s="10" t="str">
        <f t="shared" si="33"/>
        <v/>
      </c>
      <c r="Z94" s="10" t="str">
        <f t="shared" si="40"/>
        <v/>
      </c>
      <c r="AA94" s="10" t="str">
        <f t="shared" si="41"/>
        <v/>
      </c>
      <c r="AB94" s="10" t="str">
        <f t="shared" si="42"/>
        <v/>
      </c>
      <c r="AC94" s="10" t="str">
        <f t="shared" si="43"/>
        <v/>
      </c>
      <c r="AD94" s="10" t="str">
        <f t="shared" si="44"/>
        <v/>
      </c>
      <c r="AE94" s="10" t="str">
        <f t="shared" si="34"/>
        <v/>
      </c>
      <c r="AF94" s="10" t="str">
        <f t="shared" si="35"/>
        <v/>
      </c>
      <c r="AG94" s="10" t="str">
        <f t="shared" si="45"/>
        <v/>
      </c>
      <c r="AH94" s="10" t="str">
        <f t="shared" si="36"/>
        <v/>
      </c>
      <c r="AI94" s="10" t="str">
        <f t="shared" si="37"/>
        <v/>
      </c>
      <c r="AJ94" s="10" t="str">
        <f t="shared" si="46"/>
        <v/>
      </c>
      <c r="AK94" s="10" t="str">
        <f t="shared" si="38"/>
        <v/>
      </c>
      <c r="AL94" s="10" t="str">
        <f t="shared" si="47"/>
        <v/>
      </c>
      <c r="AM94" s="10" t="str">
        <f t="shared" si="48"/>
        <v/>
      </c>
      <c r="AN94" s="10" t="str">
        <f t="shared" si="49"/>
        <v/>
      </c>
      <c r="AO94" s="10" t="str">
        <f t="shared" si="50"/>
        <v/>
      </c>
      <c r="AP94" s="10" t="str">
        <f t="shared" si="51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0"/>
        <v/>
      </c>
      <c r="S95" s="7" t="str">
        <f t="shared" si="32"/>
        <v/>
      </c>
      <c r="T95" s="7" t="str">
        <f t="shared" si="30"/>
        <v/>
      </c>
      <c r="U95" s="8" t="str">
        <f t="shared" si="39"/>
        <v/>
      </c>
      <c r="V95" s="8" t="str">
        <f t="shared" si="39"/>
        <v/>
      </c>
      <c r="W95" s="7" t="str">
        <f t="shared" si="52"/>
        <v/>
      </c>
      <c r="X95" s="7" t="str">
        <f t="shared" si="52"/>
        <v/>
      </c>
      <c r="Y95" s="10" t="str">
        <f t="shared" si="33"/>
        <v/>
      </c>
      <c r="Z95" s="10" t="str">
        <f t="shared" si="40"/>
        <v/>
      </c>
      <c r="AA95" s="10" t="str">
        <f t="shared" si="41"/>
        <v/>
      </c>
      <c r="AB95" s="10" t="str">
        <f t="shared" si="42"/>
        <v/>
      </c>
      <c r="AC95" s="10" t="str">
        <f t="shared" si="43"/>
        <v/>
      </c>
      <c r="AD95" s="10" t="str">
        <f t="shared" si="44"/>
        <v/>
      </c>
      <c r="AE95" s="10" t="str">
        <f t="shared" si="34"/>
        <v/>
      </c>
      <c r="AF95" s="10" t="str">
        <f t="shared" si="35"/>
        <v/>
      </c>
      <c r="AG95" s="10" t="str">
        <f t="shared" si="45"/>
        <v/>
      </c>
      <c r="AH95" s="10" t="str">
        <f t="shared" si="36"/>
        <v/>
      </c>
      <c r="AI95" s="10" t="str">
        <f t="shared" si="37"/>
        <v/>
      </c>
      <c r="AJ95" s="10" t="str">
        <f t="shared" si="46"/>
        <v/>
      </c>
      <c r="AK95" s="10" t="str">
        <f t="shared" si="38"/>
        <v/>
      </c>
      <c r="AL95" s="10" t="str">
        <f t="shared" si="47"/>
        <v/>
      </c>
      <c r="AM95" s="10" t="str">
        <f t="shared" si="48"/>
        <v/>
      </c>
      <c r="AN95" s="10" t="str">
        <f t="shared" si="49"/>
        <v/>
      </c>
      <c r="AO95" s="10" t="str">
        <f t="shared" si="50"/>
        <v/>
      </c>
      <c r="AP95" s="10" t="str">
        <f t="shared" si="51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0"/>
        <v/>
      </c>
      <c r="S96" s="7" t="str">
        <f t="shared" si="32"/>
        <v/>
      </c>
      <c r="T96" s="7" t="str">
        <f t="shared" si="30"/>
        <v/>
      </c>
      <c r="U96" s="8" t="str">
        <f t="shared" si="39"/>
        <v/>
      </c>
      <c r="V96" s="8" t="str">
        <f t="shared" si="39"/>
        <v/>
      </c>
      <c r="W96" s="7" t="str">
        <f t="shared" si="52"/>
        <v/>
      </c>
      <c r="X96" s="7" t="str">
        <f t="shared" si="52"/>
        <v/>
      </c>
      <c r="Y96" s="10" t="str">
        <f t="shared" si="33"/>
        <v/>
      </c>
      <c r="Z96" s="10" t="str">
        <f t="shared" si="40"/>
        <v/>
      </c>
      <c r="AA96" s="10" t="str">
        <f t="shared" si="41"/>
        <v/>
      </c>
      <c r="AB96" s="10" t="str">
        <f t="shared" si="42"/>
        <v/>
      </c>
      <c r="AC96" s="10" t="str">
        <f t="shared" si="43"/>
        <v/>
      </c>
      <c r="AD96" s="10" t="str">
        <f t="shared" si="44"/>
        <v/>
      </c>
      <c r="AE96" s="10" t="str">
        <f t="shared" si="34"/>
        <v/>
      </c>
      <c r="AF96" s="10" t="str">
        <f t="shared" si="35"/>
        <v/>
      </c>
      <c r="AG96" s="10" t="str">
        <f t="shared" si="45"/>
        <v/>
      </c>
      <c r="AH96" s="10" t="str">
        <f t="shared" si="36"/>
        <v/>
      </c>
      <c r="AI96" s="10" t="str">
        <f t="shared" si="37"/>
        <v/>
      </c>
      <c r="AJ96" s="10" t="str">
        <f t="shared" si="46"/>
        <v/>
      </c>
      <c r="AK96" s="10" t="str">
        <f t="shared" si="38"/>
        <v/>
      </c>
      <c r="AL96" s="10" t="str">
        <f t="shared" si="47"/>
        <v/>
      </c>
      <c r="AM96" s="10" t="str">
        <f t="shared" si="48"/>
        <v/>
      </c>
      <c r="AN96" s="10" t="str">
        <f t="shared" si="49"/>
        <v/>
      </c>
      <c r="AO96" s="10" t="str">
        <f t="shared" si="50"/>
        <v/>
      </c>
      <c r="AP96" s="10" t="str">
        <f t="shared" si="51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0"/>
        <v/>
      </c>
      <c r="S97" s="7" t="str">
        <f t="shared" si="32"/>
        <v/>
      </c>
      <c r="T97" s="7" t="str">
        <f t="shared" si="30"/>
        <v/>
      </c>
      <c r="U97" s="8" t="str">
        <f t="shared" si="39"/>
        <v/>
      </c>
      <c r="V97" s="8" t="str">
        <f t="shared" si="39"/>
        <v/>
      </c>
      <c r="W97" s="7" t="str">
        <f t="shared" si="52"/>
        <v/>
      </c>
      <c r="X97" s="7" t="str">
        <f t="shared" si="52"/>
        <v/>
      </c>
      <c r="Y97" s="10" t="str">
        <f t="shared" si="33"/>
        <v/>
      </c>
      <c r="Z97" s="10" t="str">
        <f t="shared" si="40"/>
        <v/>
      </c>
      <c r="AA97" s="10" t="str">
        <f t="shared" si="41"/>
        <v/>
      </c>
      <c r="AB97" s="10" t="str">
        <f t="shared" si="42"/>
        <v/>
      </c>
      <c r="AC97" s="10" t="str">
        <f t="shared" si="43"/>
        <v/>
      </c>
      <c r="AD97" s="10" t="str">
        <f t="shared" si="44"/>
        <v/>
      </c>
      <c r="AE97" s="10" t="str">
        <f t="shared" si="34"/>
        <v/>
      </c>
      <c r="AF97" s="10" t="str">
        <f t="shared" si="35"/>
        <v/>
      </c>
      <c r="AG97" s="10" t="str">
        <f t="shared" si="45"/>
        <v/>
      </c>
      <c r="AH97" s="10" t="str">
        <f t="shared" si="36"/>
        <v/>
      </c>
      <c r="AI97" s="10" t="str">
        <f t="shared" si="37"/>
        <v/>
      </c>
      <c r="AJ97" s="10" t="str">
        <f t="shared" si="46"/>
        <v/>
      </c>
      <c r="AK97" s="10" t="str">
        <f t="shared" si="38"/>
        <v/>
      </c>
      <c r="AL97" s="10" t="str">
        <f t="shared" si="47"/>
        <v/>
      </c>
      <c r="AM97" s="10" t="str">
        <f t="shared" si="48"/>
        <v/>
      </c>
      <c r="AN97" s="10" t="str">
        <f t="shared" si="49"/>
        <v/>
      </c>
      <c r="AO97" s="10" t="str">
        <f t="shared" si="50"/>
        <v/>
      </c>
      <c r="AP97" s="10" t="str">
        <f t="shared" si="51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0"/>
        <v/>
      </c>
      <c r="S98" s="7" t="str">
        <f t="shared" si="32"/>
        <v/>
      </c>
      <c r="T98" s="7" t="str">
        <f t="shared" si="30"/>
        <v/>
      </c>
      <c r="U98" s="8" t="str">
        <f t="shared" si="39"/>
        <v/>
      </c>
      <c r="V98" s="8" t="str">
        <f t="shared" si="39"/>
        <v/>
      </c>
      <c r="W98" s="7" t="str">
        <f t="shared" si="52"/>
        <v/>
      </c>
      <c r="X98" s="7" t="str">
        <f t="shared" si="52"/>
        <v/>
      </c>
      <c r="Y98" s="10" t="str">
        <f t="shared" si="33"/>
        <v/>
      </c>
      <c r="Z98" s="10" t="str">
        <f t="shared" si="40"/>
        <v/>
      </c>
      <c r="AA98" s="10" t="str">
        <f t="shared" si="41"/>
        <v/>
      </c>
      <c r="AB98" s="10" t="str">
        <f t="shared" si="42"/>
        <v/>
      </c>
      <c r="AC98" s="10" t="str">
        <f t="shared" si="43"/>
        <v/>
      </c>
      <c r="AD98" s="10" t="str">
        <f t="shared" si="44"/>
        <v/>
      </c>
      <c r="AE98" s="10" t="str">
        <f t="shared" si="34"/>
        <v/>
      </c>
      <c r="AF98" s="10" t="str">
        <f t="shared" si="35"/>
        <v/>
      </c>
      <c r="AG98" s="10" t="str">
        <f t="shared" si="45"/>
        <v/>
      </c>
      <c r="AH98" s="10" t="str">
        <f t="shared" si="36"/>
        <v/>
      </c>
      <c r="AI98" s="10" t="str">
        <f t="shared" si="37"/>
        <v/>
      </c>
      <c r="AJ98" s="10" t="str">
        <f t="shared" si="46"/>
        <v/>
      </c>
      <c r="AK98" s="10" t="str">
        <f t="shared" si="38"/>
        <v/>
      </c>
      <c r="AL98" s="10" t="str">
        <f t="shared" si="47"/>
        <v/>
      </c>
      <c r="AM98" s="10" t="str">
        <f t="shared" si="48"/>
        <v/>
      </c>
      <c r="AN98" s="10" t="str">
        <f t="shared" si="49"/>
        <v/>
      </c>
      <c r="AO98" s="10" t="str">
        <f t="shared" si="50"/>
        <v/>
      </c>
      <c r="AP98" s="10" t="str">
        <f t="shared" si="51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3">IF($G99="","",IF($G99=1,(($C$2+$H99)*N$3)*(1+(N$4-N$5)),((N98+($H99*N$3))*(1+(N$4-N$5)))))</f>
        <v/>
      </c>
      <c r="O99" s="7" t="str">
        <f t="shared" si="53"/>
        <v/>
      </c>
      <c r="P99" s="7" t="str">
        <f t="shared" si="53"/>
        <v/>
      </c>
      <c r="Q99" s="7" t="str">
        <f t="shared" si="53"/>
        <v/>
      </c>
      <c r="R99" s="7" t="str">
        <f t="shared" si="30"/>
        <v/>
      </c>
      <c r="S99" s="7" t="str">
        <f t="shared" si="53"/>
        <v/>
      </c>
      <c r="T99" s="7" t="str">
        <f t="shared" si="30"/>
        <v/>
      </c>
      <c r="U99" s="8" t="str">
        <f t="shared" si="39"/>
        <v/>
      </c>
      <c r="V99" s="8" t="str">
        <f t="shared" si="39"/>
        <v/>
      </c>
      <c r="W99" s="7" t="str">
        <f t="shared" ref="W99:X99" si="54">IF($G99="","",IF($G99=1,(($C$2+$H99)*W$3)*(1+(W$4-W$5)),((W98+($H99*W$3))*(1+(W$4-W$5)))))</f>
        <v/>
      </c>
      <c r="X99" s="7" t="str">
        <f t="shared" si="54"/>
        <v/>
      </c>
      <c r="Y99" s="10" t="str">
        <f t="shared" si="33"/>
        <v/>
      </c>
      <c r="Z99" s="10" t="str">
        <f t="shared" si="40"/>
        <v/>
      </c>
      <c r="AA99" s="10" t="str">
        <f t="shared" si="41"/>
        <v/>
      </c>
      <c r="AB99" s="10" t="str">
        <f t="shared" si="42"/>
        <v/>
      </c>
      <c r="AC99" s="10" t="str">
        <f t="shared" si="43"/>
        <v/>
      </c>
      <c r="AD99" s="10" t="str">
        <f t="shared" si="44"/>
        <v/>
      </c>
      <c r="AE99" s="10" t="str">
        <f t="shared" si="34"/>
        <v/>
      </c>
      <c r="AF99" s="10" t="str">
        <f t="shared" si="35"/>
        <v/>
      </c>
      <c r="AG99" s="10" t="str">
        <f t="shared" si="45"/>
        <v/>
      </c>
      <c r="AH99" s="10" t="str">
        <f t="shared" si="36"/>
        <v/>
      </c>
      <c r="AI99" s="10" t="str">
        <f t="shared" si="37"/>
        <v/>
      </c>
      <c r="AJ99" s="10" t="str">
        <f t="shared" si="46"/>
        <v/>
      </c>
      <c r="AK99" s="10" t="str">
        <f t="shared" si="38"/>
        <v/>
      </c>
      <c r="AL99" s="10" t="str">
        <f t="shared" si="47"/>
        <v/>
      </c>
      <c r="AM99" s="10" t="str">
        <f t="shared" si="48"/>
        <v/>
      </c>
      <c r="AN99" s="10" t="str">
        <f t="shared" si="49"/>
        <v/>
      </c>
      <c r="AO99" s="10" t="str">
        <f t="shared" si="50"/>
        <v/>
      </c>
      <c r="AP99" s="10" t="str">
        <f t="shared" si="51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3"/>
        <v/>
      </c>
      <c r="J100" s="7" t="str">
        <f t="shared" si="53"/>
        <v/>
      </c>
      <c r="K100" s="7" t="str">
        <f t="shared" si="53"/>
        <v/>
      </c>
      <c r="L100" s="7" t="str">
        <f t="shared" si="53"/>
        <v/>
      </c>
      <c r="M100" s="7" t="str">
        <f t="shared" si="53"/>
        <v/>
      </c>
      <c r="N100" s="7" t="str">
        <f t="shared" si="53"/>
        <v/>
      </c>
      <c r="O100" s="7" t="str">
        <f t="shared" si="53"/>
        <v/>
      </c>
      <c r="P100" s="7" t="str">
        <f t="shared" si="53"/>
        <v/>
      </c>
      <c r="Q100" s="7" t="str">
        <f t="shared" si="53"/>
        <v/>
      </c>
      <c r="R100" s="7" t="str">
        <f t="shared" si="30"/>
        <v/>
      </c>
      <c r="S100" s="7" t="str">
        <f t="shared" si="53"/>
        <v/>
      </c>
      <c r="T100" s="7" t="str">
        <f t="shared" si="30"/>
        <v/>
      </c>
      <c r="U100" s="8" t="str">
        <f t="shared" si="39"/>
        <v/>
      </c>
      <c r="V100" s="8" t="str">
        <f t="shared" si="39"/>
        <v/>
      </c>
      <c r="W100" s="7" t="str">
        <f t="shared" ref="W100:X100" si="55">IF($G100="","",IF($G100=1,(($C$2+$H100)*W$3)*(1+(W$4-W$5)),((W99+($H100*W$3))*(1+(W$4-W$5)))))</f>
        <v/>
      </c>
      <c r="X100" s="7" t="str">
        <f t="shared" si="55"/>
        <v/>
      </c>
      <c r="Y100" s="10" t="str">
        <f t="shared" si="33"/>
        <v/>
      </c>
      <c r="Z100" s="10" t="str">
        <f t="shared" si="40"/>
        <v/>
      </c>
      <c r="AA100" s="10" t="str">
        <f t="shared" si="41"/>
        <v/>
      </c>
      <c r="AB100" s="10" t="str">
        <f t="shared" si="42"/>
        <v/>
      </c>
      <c r="AC100" s="10" t="str">
        <f t="shared" si="43"/>
        <v/>
      </c>
      <c r="AD100" s="10" t="str">
        <f t="shared" si="44"/>
        <v/>
      </c>
      <c r="AE100" s="10" t="str">
        <f t="shared" si="34"/>
        <v/>
      </c>
      <c r="AF100" s="10" t="str">
        <f t="shared" si="35"/>
        <v/>
      </c>
      <c r="AG100" s="10" t="str">
        <f t="shared" si="45"/>
        <v/>
      </c>
      <c r="AH100" s="10" t="str">
        <f t="shared" si="36"/>
        <v/>
      </c>
      <c r="AI100" s="10" t="str">
        <f t="shared" si="37"/>
        <v/>
      </c>
      <c r="AJ100" s="10" t="str">
        <f t="shared" si="46"/>
        <v/>
      </c>
      <c r="AK100" s="10" t="str">
        <f t="shared" si="38"/>
        <v/>
      </c>
      <c r="AL100" s="10" t="str">
        <f t="shared" si="47"/>
        <v/>
      </c>
      <c r="AM100" s="10" t="str">
        <f t="shared" si="48"/>
        <v/>
      </c>
      <c r="AN100" s="10" t="str">
        <f t="shared" si="49"/>
        <v/>
      </c>
      <c r="AO100" s="10" t="str">
        <f t="shared" si="50"/>
        <v/>
      </c>
      <c r="AP100" s="10" t="str">
        <f t="shared" si="51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3"/>
        <v/>
      </c>
      <c r="J101" s="7" t="str">
        <f t="shared" si="53"/>
        <v/>
      </c>
      <c r="K101" s="7" t="str">
        <f t="shared" si="53"/>
        <v/>
      </c>
      <c r="L101" s="7" t="str">
        <f t="shared" si="53"/>
        <v/>
      </c>
      <c r="M101" s="7" t="str">
        <f t="shared" si="53"/>
        <v/>
      </c>
      <c r="N101" s="7" t="str">
        <f t="shared" si="53"/>
        <v/>
      </c>
      <c r="O101" s="7" t="str">
        <f t="shared" si="53"/>
        <v/>
      </c>
      <c r="P101" s="7" t="str">
        <f t="shared" si="53"/>
        <v/>
      </c>
      <c r="Q101" s="7" t="str">
        <f t="shared" si="53"/>
        <v/>
      </c>
      <c r="R101" s="7" t="str">
        <f t="shared" si="30"/>
        <v/>
      </c>
      <c r="S101" s="7" t="str">
        <f t="shared" si="53"/>
        <v/>
      </c>
      <c r="T101" s="7" t="str">
        <f t="shared" si="30"/>
        <v/>
      </c>
      <c r="U101" s="8" t="str">
        <f t="shared" si="39"/>
        <v/>
      </c>
      <c r="V101" s="8" t="str">
        <f t="shared" si="39"/>
        <v/>
      </c>
      <c r="W101" s="7" t="str">
        <f t="shared" ref="W101:X101" si="56">IF($G101="","",IF($G101=1,(($C$2+$H101)*W$3)*(1+(W$4-W$5)),((W100+($H101*W$3))*(1+(W$4-W$5)))))</f>
        <v/>
      </c>
      <c r="X101" s="7" t="str">
        <f t="shared" si="56"/>
        <v/>
      </c>
      <c r="Y101" s="10" t="str">
        <f t="shared" si="33"/>
        <v/>
      </c>
      <c r="Z101" s="10" t="str">
        <f t="shared" si="40"/>
        <v/>
      </c>
      <c r="AA101" s="10" t="str">
        <f t="shared" si="41"/>
        <v/>
      </c>
      <c r="AB101" s="10" t="str">
        <f t="shared" si="42"/>
        <v/>
      </c>
      <c r="AC101" s="10" t="str">
        <f t="shared" si="43"/>
        <v/>
      </c>
      <c r="AD101" s="10" t="str">
        <f t="shared" si="44"/>
        <v/>
      </c>
      <c r="AE101" s="10" t="str">
        <f t="shared" si="34"/>
        <v/>
      </c>
      <c r="AF101" s="10" t="str">
        <f t="shared" si="35"/>
        <v/>
      </c>
      <c r="AG101" s="10" t="str">
        <f t="shared" si="45"/>
        <v/>
      </c>
      <c r="AH101" s="10" t="str">
        <f t="shared" si="36"/>
        <v/>
      </c>
      <c r="AI101" s="10" t="str">
        <f t="shared" si="37"/>
        <v/>
      </c>
      <c r="AJ101" s="10" t="str">
        <f t="shared" si="46"/>
        <v/>
      </c>
      <c r="AK101" s="10" t="str">
        <f t="shared" si="38"/>
        <v/>
      </c>
      <c r="AL101" s="10" t="str">
        <f t="shared" si="47"/>
        <v/>
      </c>
      <c r="AM101" s="10" t="str">
        <f t="shared" si="48"/>
        <v/>
      </c>
      <c r="AN101" s="10" t="str">
        <f t="shared" si="49"/>
        <v/>
      </c>
      <c r="AO101" s="10" t="str">
        <f t="shared" si="50"/>
        <v/>
      </c>
      <c r="AP101" s="10" t="str">
        <f t="shared" si="51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3"/>
        <v/>
      </c>
      <c r="J102" s="7" t="str">
        <f t="shared" si="53"/>
        <v/>
      </c>
      <c r="K102" s="7" t="str">
        <f t="shared" si="53"/>
        <v/>
      </c>
      <c r="L102" s="7" t="str">
        <f t="shared" si="53"/>
        <v/>
      </c>
      <c r="M102" s="7" t="str">
        <f t="shared" si="53"/>
        <v/>
      </c>
      <c r="N102" s="7" t="str">
        <f t="shared" si="53"/>
        <v/>
      </c>
      <c r="O102" s="7" t="str">
        <f t="shared" si="53"/>
        <v/>
      </c>
      <c r="P102" s="7" t="str">
        <f t="shared" si="53"/>
        <v/>
      </c>
      <c r="Q102" s="7" t="str">
        <f t="shared" si="53"/>
        <v/>
      </c>
      <c r="R102" s="7" t="str">
        <f t="shared" si="30"/>
        <v/>
      </c>
      <c r="S102" s="7" t="str">
        <f t="shared" si="53"/>
        <v/>
      </c>
      <c r="T102" s="7" t="str">
        <f t="shared" si="30"/>
        <v/>
      </c>
      <c r="U102" s="8" t="str">
        <f t="shared" si="39"/>
        <v/>
      </c>
      <c r="V102" s="8" t="str">
        <f t="shared" si="39"/>
        <v/>
      </c>
      <c r="W102" s="7" t="str">
        <f t="shared" ref="W102:X102" si="57">IF($G102="","",IF($G102=1,(($C$2+$H102)*W$3)*(1+(W$4-W$5)),((W101+($H102*W$3))*(1+(W$4-W$5)))))</f>
        <v/>
      </c>
      <c r="X102" s="7" t="str">
        <f t="shared" si="57"/>
        <v/>
      </c>
      <c r="Y102" s="10" t="str">
        <f t="shared" si="33"/>
        <v/>
      </c>
      <c r="Z102" s="10" t="str">
        <f t="shared" si="40"/>
        <v/>
      </c>
      <c r="AA102" s="10" t="str">
        <f t="shared" si="41"/>
        <v/>
      </c>
      <c r="AB102" s="10" t="str">
        <f t="shared" si="42"/>
        <v/>
      </c>
      <c r="AC102" s="10" t="str">
        <f t="shared" si="43"/>
        <v/>
      </c>
      <c r="AD102" s="10" t="str">
        <f t="shared" si="44"/>
        <v/>
      </c>
      <c r="AE102" s="10" t="str">
        <f t="shared" si="34"/>
        <v/>
      </c>
      <c r="AF102" s="10" t="str">
        <f t="shared" si="35"/>
        <v/>
      </c>
      <c r="AG102" s="10" t="str">
        <f t="shared" si="45"/>
        <v/>
      </c>
      <c r="AH102" s="10" t="str">
        <f t="shared" si="36"/>
        <v/>
      </c>
      <c r="AI102" s="10" t="str">
        <f t="shared" si="37"/>
        <v/>
      </c>
      <c r="AJ102" s="10" t="str">
        <f t="shared" si="46"/>
        <v/>
      </c>
      <c r="AK102" s="10" t="str">
        <f t="shared" si="38"/>
        <v/>
      </c>
      <c r="AL102" s="10" t="str">
        <f t="shared" si="47"/>
        <v/>
      </c>
      <c r="AM102" s="10" t="str">
        <f t="shared" si="48"/>
        <v/>
      </c>
      <c r="AN102" s="10" t="str">
        <f t="shared" si="49"/>
        <v/>
      </c>
      <c r="AO102" s="10" t="str">
        <f t="shared" si="50"/>
        <v/>
      </c>
      <c r="AP102" s="10" t="str">
        <f t="shared" si="51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3"/>
        <v/>
      </c>
      <c r="J103" s="7" t="str">
        <f t="shared" si="53"/>
        <v/>
      </c>
      <c r="K103" s="7" t="str">
        <f t="shared" si="53"/>
        <v/>
      </c>
      <c r="L103" s="7" t="str">
        <f t="shared" si="53"/>
        <v/>
      </c>
      <c r="M103" s="7" t="str">
        <f t="shared" si="53"/>
        <v/>
      </c>
      <c r="N103" s="7" t="str">
        <f t="shared" si="53"/>
        <v/>
      </c>
      <c r="O103" s="7" t="str">
        <f t="shared" si="53"/>
        <v/>
      </c>
      <c r="P103" s="7" t="str">
        <f t="shared" si="53"/>
        <v/>
      </c>
      <c r="Q103" s="7" t="str">
        <f t="shared" si="53"/>
        <v/>
      </c>
      <c r="R103" s="7" t="str">
        <f t="shared" si="30"/>
        <v/>
      </c>
      <c r="S103" s="7" t="str">
        <f t="shared" si="53"/>
        <v/>
      </c>
      <c r="T103" s="7" t="str">
        <f t="shared" si="30"/>
        <v/>
      </c>
      <c r="U103" s="8" t="str">
        <f t="shared" si="39"/>
        <v/>
      </c>
      <c r="V103" s="8" t="str">
        <f t="shared" si="39"/>
        <v/>
      </c>
      <c r="W103" s="7" t="str">
        <f t="shared" ref="W103:X103" si="58">IF($G103="","",IF($G103=1,(($C$2+$H103)*W$3)*(1+(W$4-W$5)),((W102+($H103*W$3))*(1+(W$4-W$5)))))</f>
        <v/>
      </c>
      <c r="X103" s="7" t="str">
        <f t="shared" si="58"/>
        <v/>
      </c>
      <c r="Y103" s="10" t="str">
        <f t="shared" si="33"/>
        <v/>
      </c>
      <c r="Z103" s="10" t="str">
        <f t="shared" si="40"/>
        <v/>
      </c>
      <c r="AA103" s="10" t="str">
        <f t="shared" si="41"/>
        <v/>
      </c>
      <c r="AB103" s="10" t="str">
        <f t="shared" si="42"/>
        <v/>
      </c>
      <c r="AC103" s="10" t="str">
        <f t="shared" si="43"/>
        <v/>
      </c>
      <c r="AD103" s="10" t="str">
        <f t="shared" si="44"/>
        <v/>
      </c>
      <c r="AE103" s="10" t="str">
        <f t="shared" si="34"/>
        <v/>
      </c>
      <c r="AF103" s="10" t="str">
        <f t="shared" si="35"/>
        <v/>
      </c>
      <c r="AG103" s="10" t="str">
        <f t="shared" si="45"/>
        <v/>
      </c>
      <c r="AH103" s="10" t="str">
        <f t="shared" si="36"/>
        <v/>
      </c>
      <c r="AI103" s="10" t="str">
        <f t="shared" si="37"/>
        <v/>
      </c>
      <c r="AJ103" s="10" t="str">
        <f t="shared" si="46"/>
        <v/>
      </c>
      <c r="AK103" s="10" t="str">
        <f t="shared" si="38"/>
        <v/>
      </c>
      <c r="AL103" s="10" t="str">
        <f t="shared" si="47"/>
        <v/>
      </c>
      <c r="AM103" s="10" t="str">
        <f t="shared" si="48"/>
        <v/>
      </c>
      <c r="AN103" s="10" t="str">
        <f t="shared" si="49"/>
        <v/>
      </c>
      <c r="AO103" s="10" t="str">
        <f t="shared" si="50"/>
        <v/>
      </c>
      <c r="AP103" s="10" t="str">
        <f t="shared" si="51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3"/>
        <v/>
      </c>
      <c r="J104" s="7" t="str">
        <f t="shared" si="53"/>
        <v/>
      </c>
      <c r="K104" s="7" t="str">
        <f t="shared" si="53"/>
        <v/>
      </c>
      <c r="L104" s="7" t="str">
        <f t="shared" si="53"/>
        <v/>
      </c>
      <c r="M104" s="7" t="str">
        <f t="shared" si="53"/>
        <v/>
      </c>
      <c r="N104" s="7" t="str">
        <f t="shared" si="53"/>
        <v/>
      </c>
      <c r="O104" s="7" t="str">
        <f t="shared" si="53"/>
        <v/>
      </c>
      <c r="P104" s="7" t="str">
        <f t="shared" si="53"/>
        <v/>
      </c>
      <c r="Q104" s="7" t="str">
        <f t="shared" si="53"/>
        <v/>
      </c>
      <c r="R104" s="7" t="str">
        <f t="shared" si="30"/>
        <v/>
      </c>
      <c r="S104" s="7" t="str">
        <f t="shared" si="53"/>
        <v/>
      </c>
      <c r="T104" s="7" t="str">
        <f t="shared" si="30"/>
        <v/>
      </c>
      <c r="U104" s="8" t="str">
        <f t="shared" si="39"/>
        <v/>
      </c>
      <c r="V104" s="8" t="str">
        <f t="shared" si="39"/>
        <v/>
      </c>
      <c r="W104" s="7" t="str">
        <f t="shared" ref="W104:X104" si="59">IF($G104="","",IF($G104=1,(($C$2+$H104)*W$3)*(1+(W$4-W$5)),((W103+($H104*W$3))*(1+(W$4-W$5)))))</f>
        <v/>
      </c>
      <c r="X104" s="7" t="str">
        <f t="shared" si="59"/>
        <v/>
      </c>
      <c r="Y104" s="10" t="str">
        <f t="shared" si="33"/>
        <v/>
      </c>
      <c r="Z104" s="10" t="str">
        <f t="shared" si="40"/>
        <v/>
      </c>
      <c r="AA104" s="10" t="str">
        <f t="shared" si="41"/>
        <v/>
      </c>
      <c r="AB104" s="10" t="str">
        <f t="shared" si="42"/>
        <v/>
      </c>
      <c r="AC104" s="10" t="str">
        <f t="shared" si="43"/>
        <v/>
      </c>
      <c r="AD104" s="10" t="str">
        <f t="shared" si="44"/>
        <v/>
      </c>
      <c r="AE104" s="10" t="str">
        <f t="shared" si="34"/>
        <v/>
      </c>
      <c r="AF104" s="10" t="str">
        <f t="shared" si="35"/>
        <v/>
      </c>
      <c r="AG104" s="10" t="str">
        <f t="shared" si="45"/>
        <v/>
      </c>
      <c r="AH104" s="10" t="str">
        <f t="shared" si="36"/>
        <v/>
      </c>
      <c r="AI104" s="10" t="str">
        <f t="shared" si="37"/>
        <v/>
      </c>
      <c r="AJ104" s="10" t="str">
        <f t="shared" si="46"/>
        <v/>
      </c>
      <c r="AK104" s="10" t="str">
        <f t="shared" si="38"/>
        <v/>
      </c>
      <c r="AL104" s="10" t="str">
        <f t="shared" si="47"/>
        <v/>
      </c>
      <c r="AM104" s="10" t="str">
        <f t="shared" si="48"/>
        <v/>
      </c>
      <c r="AN104" s="10" t="str">
        <f t="shared" si="49"/>
        <v/>
      </c>
      <c r="AO104" s="10" t="str">
        <f t="shared" si="50"/>
        <v/>
      </c>
      <c r="AP104" s="10" t="str">
        <f t="shared" si="51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3"/>
        <v/>
      </c>
      <c r="J105" s="7" t="str">
        <f t="shared" si="53"/>
        <v/>
      </c>
      <c r="K105" s="7" t="str">
        <f t="shared" si="53"/>
        <v/>
      </c>
      <c r="L105" s="7" t="str">
        <f t="shared" si="53"/>
        <v/>
      </c>
      <c r="M105" s="7" t="str">
        <f t="shared" si="53"/>
        <v/>
      </c>
      <c r="N105" s="7" t="str">
        <f t="shared" si="53"/>
        <v/>
      </c>
      <c r="O105" s="7" t="str">
        <f t="shared" si="53"/>
        <v/>
      </c>
      <c r="P105" s="7" t="str">
        <f t="shared" si="53"/>
        <v/>
      </c>
      <c r="Q105" s="7" t="str">
        <f t="shared" si="53"/>
        <v/>
      </c>
      <c r="R105" s="7" t="str">
        <f t="shared" si="30"/>
        <v/>
      </c>
      <c r="S105" s="7" t="str">
        <f t="shared" si="53"/>
        <v/>
      </c>
      <c r="T105" s="7" t="str">
        <f t="shared" si="30"/>
        <v/>
      </c>
      <c r="U105" s="8" t="str">
        <f t="shared" si="39"/>
        <v/>
      </c>
      <c r="V105" s="8" t="str">
        <f t="shared" si="39"/>
        <v/>
      </c>
      <c r="W105" s="7" t="str">
        <f t="shared" ref="W105:X105" si="60">IF($G105="","",IF($G105=1,(($C$2+$H105)*W$3)*(1+(W$4-W$5)),((W104+($H105*W$3))*(1+(W$4-W$5)))))</f>
        <v/>
      </c>
      <c r="X105" s="7" t="str">
        <f t="shared" si="60"/>
        <v/>
      </c>
      <c r="Y105" s="10" t="str">
        <f t="shared" si="33"/>
        <v/>
      </c>
      <c r="Z105" s="10" t="str">
        <f t="shared" si="40"/>
        <v/>
      </c>
      <c r="AA105" s="10" t="str">
        <f t="shared" si="41"/>
        <v/>
      </c>
      <c r="AB105" s="10" t="str">
        <f t="shared" si="42"/>
        <v/>
      </c>
      <c r="AC105" s="10" t="str">
        <f t="shared" si="43"/>
        <v/>
      </c>
      <c r="AD105" s="10" t="str">
        <f t="shared" si="44"/>
        <v/>
      </c>
      <c r="AE105" s="10" t="str">
        <f t="shared" si="34"/>
        <v/>
      </c>
      <c r="AF105" s="10" t="str">
        <f t="shared" si="35"/>
        <v/>
      </c>
      <c r="AG105" s="10" t="str">
        <f t="shared" si="45"/>
        <v/>
      </c>
      <c r="AH105" s="10" t="str">
        <f t="shared" si="36"/>
        <v/>
      </c>
      <c r="AI105" s="10" t="str">
        <f t="shared" si="37"/>
        <v/>
      </c>
      <c r="AJ105" s="10" t="str">
        <f t="shared" si="46"/>
        <v/>
      </c>
      <c r="AK105" s="10" t="str">
        <f t="shared" si="38"/>
        <v/>
      </c>
      <c r="AL105" s="10" t="str">
        <f t="shared" si="47"/>
        <v/>
      </c>
      <c r="AM105" s="10" t="str">
        <f t="shared" si="48"/>
        <v/>
      </c>
      <c r="AN105" s="10" t="str">
        <f t="shared" si="49"/>
        <v/>
      </c>
      <c r="AO105" s="10" t="str">
        <f t="shared" si="50"/>
        <v/>
      </c>
      <c r="AP105" s="10" t="str">
        <f t="shared" si="51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3"/>
        <v/>
      </c>
      <c r="J106" s="7" t="str">
        <f t="shared" si="53"/>
        <v/>
      </c>
      <c r="K106" s="7" t="str">
        <f t="shared" si="53"/>
        <v/>
      </c>
      <c r="L106" s="7" t="str">
        <f t="shared" si="53"/>
        <v/>
      </c>
      <c r="M106" s="7" t="str">
        <f t="shared" si="53"/>
        <v/>
      </c>
      <c r="N106" s="7" t="str">
        <f t="shared" si="53"/>
        <v/>
      </c>
      <c r="O106" s="7" t="str">
        <f t="shared" si="53"/>
        <v/>
      </c>
      <c r="P106" s="7" t="str">
        <f t="shared" si="53"/>
        <v/>
      </c>
      <c r="Q106" s="7" t="str">
        <f t="shared" si="53"/>
        <v/>
      </c>
      <c r="R106" s="7" t="str">
        <f t="shared" si="30"/>
        <v/>
      </c>
      <c r="S106" s="7" t="str">
        <f t="shared" si="53"/>
        <v/>
      </c>
      <c r="T106" s="7" t="str">
        <f t="shared" si="30"/>
        <v/>
      </c>
      <c r="U106" s="8" t="str">
        <f t="shared" si="39"/>
        <v/>
      </c>
      <c r="V106" s="8" t="str">
        <f t="shared" si="39"/>
        <v/>
      </c>
      <c r="W106" s="7" t="str">
        <f t="shared" ref="W106:X106" si="61">IF($G106="","",IF($G106=1,(($C$2+$H106)*W$3)*(1+(W$4-W$5)),((W105+($H106*W$3))*(1+(W$4-W$5)))))</f>
        <v/>
      </c>
      <c r="X106" s="7" t="str">
        <f t="shared" si="61"/>
        <v/>
      </c>
      <c r="Y106" s="10" t="str">
        <f t="shared" si="33"/>
        <v/>
      </c>
      <c r="Z106" s="10" t="str">
        <f t="shared" si="40"/>
        <v/>
      </c>
      <c r="AA106" s="10" t="str">
        <f t="shared" si="41"/>
        <v/>
      </c>
      <c r="AB106" s="10" t="str">
        <f t="shared" si="42"/>
        <v/>
      </c>
      <c r="AC106" s="10" t="str">
        <f t="shared" si="43"/>
        <v/>
      </c>
      <c r="AD106" s="10" t="str">
        <f t="shared" si="44"/>
        <v/>
      </c>
      <c r="AE106" s="10" t="str">
        <f t="shared" si="34"/>
        <v/>
      </c>
      <c r="AF106" s="10" t="str">
        <f t="shared" si="35"/>
        <v/>
      </c>
      <c r="AG106" s="10" t="str">
        <f t="shared" si="45"/>
        <v/>
      </c>
      <c r="AH106" s="10" t="str">
        <f t="shared" si="36"/>
        <v/>
      </c>
      <c r="AI106" s="10" t="str">
        <f t="shared" si="37"/>
        <v/>
      </c>
      <c r="AJ106" s="10" t="str">
        <f t="shared" si="46"/>
        <v/>
      </c>
      <c r="AK106" s="10" t="str">
        <f t="shared" si="38"/>
        <v/>
      </c>
      <c r="AL106" s="10" t="str">
        <f t="shared" si="47"/>
        <v/>
      </c>
      <c r="AM106" s="10" t="str">
        <f t="shared" si="48"/>
        <v/>
      </c>
      <c r="AN106" s="10" t="str">
        <f t="shared" si="49"/>
        <v/>
      </c>
      <c r="AO106" s="10" t="str">
        <f t="shared" si="50"/>
        <v/>
      </c>
      <c r="AP106" s="10" t="str">
        <f t="shared" si="51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3"/>
        <v/>
      </c>
      <c r="J107" s="7" t="str">
        <f t="shared" si="53"/>
        <v/>
      </c>
      <c r="K107" s="7" t="str">
        <f t="shared" si="53"/>
        <v/>
      </c>
      <c r="L107" s="7" t="str">
        <f t="shared" si="53"/>
        <v/>
      </c>
      <c r="M107" s="7" t="str">
        <f t="shared" si="53"/>
        <v/>
      </c>
      <c r="N107" s="7" t="str">
        <f t="shared" si="53"/>
        <v/>
      </c>
      <c r="O107" s="7" t="str">
        <f t="shared" si="53"/>
        <v/>
      </c>
      <c r="P107" s="7" t="str">
        <f t="shared" si="53"/>
        <v/>
      </c>
      <c r="Q107" s="7" t="str">
        <f t="shared" si="53"/>
        <v/>
      </c>
      <c r="R107" s="7" t="str">
        <f t="shared" si="30"/>
        <v/>
      </c>
      <c r="S107" s="7" t="str">
        <f t="shared" si="53"/>
        <v/>
      </c>
      <c r="T107" s="7" t="str">
        <f t="shared" si="30"/>
        <v/>
      </c>
      <c r="U107" s="8" t="str">
        <f t="shared" si="39"/>
        <v/>
      </c>
      <c r="V107" s="8" t="str">
        <f t="shared" si="39"/>
        <v/>
      </c>
      <c r="W107" s="7" t="str">
        <f t="shared" ref="W107:X107" si="62">IF($G107="","",IF($G107=1,(($C$2+$H107)*W$3)*(1+(W$4-W$5)),((W106+($H107*W$3))*(1+(W$4-W$5)))))</f>
        <v/>
      </c>
      <c r="X107" s="7" t="str">
        <f t="shared" si="62"/>
        <v/>
      </c>
      <c r="Y107" s="10" t="str">
        <f t="shared" si="33"/>
        <v/>
      </c>
      <c r="Z107" s="10" t="str">
        <f t="shared" si="40"/>
        <v/>
      </c>
      <c r="AA107" s="10" t="str">
        <f t="shared" si="41"/>
        <v/>
      </c>
      <c r="AB107" s="10" t="str">
        <f t="shared" si="42"/>
        <v/>
      </c>
      <c r="AC107" s="10" t="str">
        <f t="shared" si="43"/>
        <v/>
      </c>
      <c r="AD107" s="10" t="str">
        <f t="shared" si="44"/>
        <v/>
      </c>
      <c r="AE107" s="10" t="str">
        <f t="shared" si="34"/>
        <v/>
      </c>
      <c r="AF107" s="10" t="str">
        <f t="shared" si="35"/>
        <v/>
      </c>
      <c r="AG107" s="10" t="str">
        <f t="shared" si="45"/>
        <v/>
      </c>
      <c r="AH107" s="10" t="str">
        <f t="shared" si="36"/>
        <v/>
      </c>
      <c r="AI107" s="10" t="str">
        <f t="shared" si="37"/>
        <v/>
      </c>
      <c r="AJ107" s="10" t="str">
        <f t="shared" si="46"/>
        <v/>
      </c>
      <c r="AK107" s="10" t="str">
        <f t="shared" si="38"/>
        <v/>
      </c>
      <c r="AL107" s="10" t="str">
        <f t="shared" si="47"/>
        <v/>
      </c>
      <c r="AM107" s="10" t="str">
        <f t="shared" si="48"/>
        <v/>
      </c>
      <c r="AN107" s="10" t="str">
        <f t="shared" si="49"/>
        <v/>
      </c>
      <c r="AO107" s="10" t="str">
        <f t="shared" si="50"/>
        <v/>
      </c>
      <c r="AP107" s="10" t="str">
        <f t="shared" si="51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3"/>
        <v/>
      </c>
      <c r="J108" s="7" t="str">
        <f t="shared" si="53"/>
        <v/>
      </c>
      <c r="K108" s="7" t="str">
        <f t="shared" si="53"/>
        <v/>
      </c>
      <c r="L108" s="7" t="str">
        <f t="shared" si="53"/>
        <v/>
      </c>
      <c r="M108" s="7" t="str">
        <f t="shared" si="53"/>
        <v/>
      </c>
      <c r="N108" s="7" t="str">
        <f t="shared" si="53"/>
        <v/>
      </c>
      <c r="O108" s="7" t="str">
        <f t="shared" si="53"/>
        <v/>
      </c>
      <c r="P108" s="7" t="str">
        <f t="shared" si="53"/>
        <v/>
      </c>
      <c r="Q108" s="7" t="str">
        <f t="shared" si="53"/>
        <v/>
      </c>
      <c r="R108" s="7" t="str">
        <f t="shared" si="30"/>
        <v/>
      </c>
      <c r="S108" s="7" t="str">
        <f t="shared" si="53"/>
        <v/>
      </c>
      <c r="T108" s="7" t="str">
        <f t="shared" si="30"/>
        <v/>
      </c>
      <c r="U108" s="8" t="str">
        <f t="shared" si="39"/>
        <v/>
      </c>
      <c r="V108" s="8" t="str">
        <f t="shared" si="39"/>
        <v/>
      </c>
      <c r="W108" s="7" t="str">
        <f t="shared" ref="W108:X108" si="63">IF($G108="","",IF($G108=1,(($C$2+$H108)*W$3)*(1+(W$4-W$5)),((W107+($H108*W$3))*(1+(W$4-W$5)))))</f>
        <v/>
      </c>
      <c r="X108" s="7" t="str">
        <f t="shared" si="63"/>
        <v/>
      </c>
      <c r="Y108" s="10" t="str">
        <f t="shared" si="33"/>
        <v/>
      </c>
      <c r="Z108" s="10" t="str">
        <f t="shared" si="40"/>
        <v/>
      </c>
      <c r="AA108" s="10" t="str">
        <f t="shared" si="41"/>
        <v/>
      </c>
      <c r="AB108" s="10" t="str">
        <f t="shared" si="42"/>
        <v/>
      </c>
      <c r="AC108" s="10" t="str">
        <f t="shared" si="43"/>
        <v/>
      </c>
      <c r="AD108" s="10" t="str">
        <f t="shared" si="44"/>
        <v/>
      </c>
      <c r="AE108" s="10" t="str">
        <f t="shared" si="34"/>
        <v/>
      </c>
      <c r="AF108" s="10" t="str">
        <f t="shared" si="35"/>
        <v/>
      </c>
      <c r="AG108" s="10" t="str">
        <f t="shared" si="45"/>
        <v/>
      </c>
      <c r="AH108" s="10" t="str">
        <f t="shared" si="36"/>
        <v/>
      </c>
      <c r="AI108" s="10" t="str">
        <f t="shared" si="37"/>
        <v/>
      </c>
      <c r="AJ108" s="10" t="str">
        <f t="shared" si="46"/>
        <v/>
      </c>
      <c r="AK108" s="10" t="str">
        <f t="shared" si="38"/>
        <v/>
      </c>
      <c r="AL108" s="10" t="str">
        <f t="shared" si="47"/>
        <v/>
      </c>
      <c r="AM108" s="10" t="str">
        <f t="shared" si="48"/>
        <v/>
      </c>
      <c r="AN108" s="10" t="str">
        <f t="shared" si="49"/>
        <v/>
      </c>
      <c r="AO108" s="10" t="str">
        <f t="shared" si="50"/>
        <v/>
      </c>
      <c r="AP108" s="10" t="str">
        <f t="shared" si="51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3"/>
        <v/>
      </c>
      <c r="J109" s="7" t="str">
        <f t="shared" si="53"/>
        <v/>
      </c>
      <c r="K109" s="7" t="str">
        <f t="shared" si="53"/>
        <v/>
      </c>
      <c r="L109" s="7" t="str">
        <f t="shared" si="53"/>
        <v/>
      </c>
      <c r="M109" s="7" t="str">
        <f t="shared" si="53"/>
        <v/>
      </c>
      <c r="N109" s="7" t="str">
        <f t="shared" si="53"/>
        <v/>
      </c>
      <c r="O109" s="7" t="str">
        <f t="shared" si="53"/>
        <v/>
      </c>
      <c r="P109" s="7" t="str">
        <f t="shared" si="53"/>
        <v/>
      </c>
      <c r="Q109" s="7" t="str">
        <f t="shared" si="53"/>
        <v/>
      </c>
      <c r="R109" s="7" t="str">
        <f t="shared" si="30"/>
        <v/>
      </c>
      <c r="S109" s="7" t="str">
        <f t="shared" si="53"/>
        <v/>
      </c>
      <c r="T109" s="7" t="str">
        <f t="shared" si="30"/>
        <v/>
      </c>
      <c r="U109" s="8" t="str">
        <f t="shared" si="39"/>
        <v/>
      </c>
      <c r="V109" s="8" t="str">
        <f t="shared" si="39"/>
        <v/>
      </c>
      <c r="W109" s="7" t="str">
        <f t="shared" ref="W109:X109" si="64">IF($G109="","",IF($G109=1,(($C$2+$H109)*W$3)*(1+(W$4-W$5)),((W108+($H109*W$3))*(1+(W$4-W$5)))))</f>
        <v/>
      </c>
      <c r="X109" s="7" t="str">
        <f t="shared" si="64"/>
        <v/>
      </c>
      <c r="Y109" s="10" t="str">
        <f t="shared" si="33"/>
        <v/>
      </c>
      <c r="Z109" s="10" t="str">
        <f t="shared" si="40"/>
        <v/>
      </c>
      <c r="AA109" s="10" t="str">
        <f t="shared" si="41"/>
        <v/>
      </c>
      <c r="AB109" s="10" t="str">
        <f t="shared" si="42"/>
        <v/>
      </c>
      <c r="AC109" s="10" t="str">
        <f t="shared" si="43"/>
        <v/>
      </c>
      <c r="AD109" s="10" t="str">
        <f t="shared" si="44"/>
        <v/>
      </c>
      <c r="AE109" s="10" t="str">
        <f t="shared" si="34"/>
        <v/>
      </c>
      <c r="AF109" s="10" t="str">
        <f t="shared" si="35"/>
        <v/>
      </c>
      <c r="AG109" s="10" t="str">
        <f t="shared" si="45"/>
        <v/>
      </c>
      <c r="AH109" s="10" t="str">
        <f t="shared" si="36"/>
        <v/>
      </c>
      <c r="AI109" s="10" t="str">
        <f t="shared" si="37"/>
        <v/>
      </c>
      <c r="AJ109" s="10" t="str">
        <f t="shared" si="46"/>
        <v/>
      </c>
      <c r="AK109" s="10" t="str">
        <f t="shared" si="38"/>
        <v/>
      </c>
      <c r="AL109" s="10" t="str">
        <f t="shared" si="47"/>
        <v/>
      </c>
      <c r="AM109" s="10" t="str">
        <f t="shared" si="48"/>
        <v/>
      </c>
      <c r="AN109" s="10" t="str">
        <f t="shared" si="49"/>
        <v/>
      </c>
      <c r="AO109" s="10" t="str">
        <f t="shared" si="50"/>
        <v/>
      </c>
      <c r="AP109" s="10" t="str">
        <f t="shared" si="51"/>
        <v/>
      </c>
    </row>
  </sheetData>
  <conditionalFormatting sqref="D5">
    <cfRule type="cellIs" dxfId="50" priority="1" operator="equal">
      <formula>"Error"</formula>
    </cfRule>
    <cfRule type="cellIs" dxfId="49" priority="2" operator="equal">
      <formula>"GOOD"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ABF9-73EB-4AF3-9D7C-817FE34B4896}">
  <sheetPr>
    <tabColor theme="3" tint="0.249977111117893"/>
  </sheetPr>
  <dimension ref="B1:AP109"/>
  <sheetViews>
    <sheetView workbookViewId="0">
      <selection activeCell="D10" sqref="D10:E10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Page!C3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Page!C4</f>
        <v>20</v>
      </c>
      <c r="H3" s="1" t="s">
        <v>12</v>
      </c>
      <c r="I3" s="10">
        <f>$D$7*(1-$E$7)</f>
        <v>0.6</v>
      </c>
      <c r="J3" s="10">
        <f>$D$7*(1-$E$7)</f>
        <v>0.6</v>
      </c>
      <c r="K3" s="10">
        <f>$D$7*$E$7</f>
        <v>0</v>
      </c>
      <c r="L3" s="10">
        <f>$D$7*$E$7</f>
        <v>0</v>
      </c>
      <c r="M3" s="10">
        <f>$D$8*(1-$E$8)</f>
        <v>0.4</v>
      </c>
      <c r="N3" s="10">
        <f>$D$8*(1-$E$8)</f>
        <v>0.4</v>
      </c>
      <c r="O3" s="10">
        <f>$D$8*$E$8</f>
        <v>0</v>
      </c>
      <c r="P3" s="10">
        <f>$D$8*$E$8</f>
        <v>0</v>
      </c>
      <c r="Q3" s="10">
        <f>$D$9*(1-$E$9)</f>
        <v>0</v>
      </c>
      <c r="R3" s="10">
        <f>$D$9*(1-$E$9)</f>
        <v>0</v>
      </c>
      <c r="S3" s="10">
        <f>$D$9*$E$9</f>
        <v>0</v>
      </c>
      <c r="T3" s="10">
        <f>$D$9*$E$9</f>
        <v>0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6.8000000000000005E-2</v>
      </c>
      <c r="X4" s="10">
        <f>SUMPRODUCT(I3:T3,I4:T4)/2</f>
        <v>6.8000000000000005E-2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23">
        <v>0</v>
      </c>
      <c r="J5" s="10">
        <f>$C$7*($C$15+$C$16)</f>
        <v>1.9040000000000001E-2</v>
      </c>
      <c r="K5" s="23">
        <v>0</v>
      </c>
      <c r="L5" s="10">
        <f>$C$11</f>
        <v>5.0000000000000001E-3</v>
      </c>
      <c r="M5" s="23">
        <v>0</v>
      </c>
      <c r="N5" s="10">
        <f>$C$8*($C$14+$C$16)</f>
        <v>2.0400000000000001E-2</v>
      </c>
      <c r="O5" s="23">
        <v>0</v>
      </c>
      <c r="P5" s="10">
        <f>$C$11</f>
        <v>5.0000000000000001E-3</v>
      </c>
      <c r="Q5" s="23">
        <v>0</v>
      </c>
      <c r="R5" s="10">
        <f>(50%*$C$9*($C$14+$C$16))+(50%*$C$9*($C$15+$C$16))</f>
        <v>2.5839999999999998E-2</v>
      </c>
      <c r="S5" s="23">
        <v>0</v>
      </c>
      <c r="T5" s="10">
        <f>$C$11</f>
        <v>5.0000000000000001E-3</v>
      </c>
      <c r="V5" s="10"/>
      <c r="W5" s="23">
        <v>0</v>
      </c>
      <c r="X5" s="10">
        <f>SUMPRODUCT(J3:T3,J5:T5)</f>
        <v>1.9584000000000001E-2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Page!C12</f>
        <v>0.08</v>
      </c>
      <c r="D7" s="18">
        <v>0.6</v>
      </c>
      <c r="E7" s="18">
        <v>0</v>
      </c>
      <c r="U7" s="83" t="s">
        <v>76</v>
      </c>
      <c r="V7" s="83" t="s">
        <v>76</v>
      </c>
      <c r="W7" s="84" t="s">
        <v>77</v>
      </c>
      <c r="X7" s="84" t="s">
        <v>77</v>
      </c>
      <c r="Y7" s="83" t="s">
        <v>76</v>
      </c>
      <c r="Z7" s="83" t="s">
        <v>76</v>
      </c>
      <c r="AA7" s="83" t="s">
        <v>76</v>
      </c>
      <c r="AB7" s="84" t="s">
        <v>77</v>
      </c>
      <c r="AC7" s="84" t="s">
        <v>77</v>
      </c>
      <c r="AD7" s="84" t="s">
        <v>77</v>
      </c>
      <c r="AE7" s="83" t="s">
        <v>76</v>
      </c>
      <c r="AF7" s="83" t="s">
        <v>76</v>
      </c>
      <c r="AG7" s="83" t="s">
        <v>76</v>
      </c>
      <c r="AH7" s="84" t="s">
        <v>77</v>
      </c>
      <c r="AI7" s="84" t="s">
        <v>77</v>
      </c>
      <c r="AJ7" s="84" t="s">
        <v>77</v>
      </c>
      <c r="AK7" s="83" t="s">
        <v>76</v>
      </c>
      <c r="AL7" s="83" t="s">
        <v>76</v>
      </c>
      <c r="AM7" s="83" t="s">
        <v>76</v>
      </c>
      <c r="AN7" s="84" t="s">
        <v>77</v>
      </c>
      <c r="AO7" s="84" t="s">
        <v>77</v>
      </c>
      <c r="AP7" s="84" t="s">
        <v>77</v>
      </c>
    </row>
    <row r="8" spans="2:42" x14ac:dyDescent="0.45">
      <c r="B8" t="s">
        <v>1</v>
      </c>
      <c r="C8" s="4">
        <f>Page!C13</f>
        <v>0.05</v>
      </c>
      <c r="D8" s="18">
        <v>0.4</v>
      </c>
      <c r="E8" s="18">
        <v>0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Page!C14</f>
        <v>0.08</v>
      </c>
      <c r="D9" s="18">
        <v>0</v>
      </c>
      <c r="E9" s="18">
        <v>0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6480000</v>
      </c>
      <c r="J10" s="7">
        <f t="shared" si="1"/>
        <v>6365759.9999999991</v>
      </c>
      <c r="K10" s="7">
        <f t="shared" si="1"/>
        <v>0</v>
      </c>
      <c r="L10" s="7">
        <f t="shared" si="1"/>
        <v>0</v>
      </c>
      <c r="M10" s="7">
        <f t="shared" si="1"/>
        <v>4200000</v>
      </c>
      <c r="N10" s="7">
        <f t="shared" si="1"/>
        <v>4118400.0000000005</v>
      </c>
      <c r="O10" s="7">
        <f t="shared" si="1"/>
        <v>0</v>
      </c>
      <c r="P10" s="7">
        <f t="shared" si="1"/>
        <v>0</v>
      </c>
      <c r="Q10" s="7">
        <f t="shared" si="1"/>
        <v>0</v>
      </c>
      <c r="R10" s="7">
        <f t="shared" si="1"/>
        <v>0</v>
      </c>
      <c r="S10" s="7">
        <f t="shared" si="1"/>
        <v>0</v>
      </c>
      <c r="T10" s="7">
        <f t="shared" si="1"/>
        <v>0</v>
      </c>
      <c r="U10" s="8">
        <f>IF(G10="","",SUM(I10,K10,M10,O10,Q10,S10))</f>
        <v>10680000</v>
      </c>
      <c r="V10" s="8">
        <f>IF(H10="","",SUM(J10,L10,N10,P10,R10,T10))</f>
        <v>10484160</v>
      </c>
      <c r="W10" s="7">
        <f t="shared" ref="W10:X25" si="2">IF($G10="","",IF($G10=1,(($C$2+$H10)*W$3)*(1+(W$4-W$5)),((W9+($H10*W$3))*(1+(W$4-W$5)))))</f>
        <v>10680000</v>
      </c>
      <c r="X10" s="7">
        <f t="shared" si="2"/>
        <v>10484160</v>
      </c>
      <c r="Y10" s="10">
        <f t="shared" ref="Y10:Y73" si="3">IF($G10="","",IF($G10=1,(U10-$C$2-H10)/($C$2+H10),(U10-U9-H10)/(U9+H10)))</f>
        <v>6.8000000000000005E-2</v>
      </c>
      <c r="Z10" s="10">
        <f>IF($G10="","",IF($G10=1,(V10-$C$2-H10)/($C$2+H10),(V10-V9-H10)/(V9+H10)))</f>
        <v>4.8416000000000001E-2</v>
      </c>
      <c r="AA10" s="10">
        <f>IF($G10="","",Z10-Y10)</f>
        <v>-1.9584000000000004E-2</v>
      </c>
      <c r="AB10" s="10">
        <f>IF($G10="","",IF($G10=1,(W10-$C$2-H10)/($C$2+H10),(W10-W9-H10)/(W9+H10)))</f>
        <v>6.8000000000000005E-2</v>
      </c>
      <c r="AC10" s="10">
        <f>IF($G10="","",IF($G10=1,(X10-$C$2-H10)/($C$2+H10),(X10-X9-H10)/(X9+H10)))</f>
        <v>4.8416000000000001E-2</v>
      </c>
      <c r="AD10" s="10">
        <f>IF($G10="","",AC10-AB10)</f>
        <v>-1.9584000000000004E-2</v>
      </c>
      <c r="AE10" s="10">
        <f t="shared" ref="AE10:AF25" si="4">IF($G10="","",IF($G10=1,Y10,(1+Y10)*(1+AE9)-1))</f>
        <v>6.8000000000000005E-2</v>
      </c>
      <c r="AF10" s="10">
        <f t="shared" si="4"/>
        <v>4.8416000000000001E-2</v>
      </c>
      <c r="AG10" s="10">
        <f>IF($G10="","",AF10-AE10)</f>
        <v>-1.9584000000000004E-2</v>
      </c>
      <c r="AH10" s="10">
        <f t="shared" ref="AH10:AI25" si="5">IF($G10="","",IF($G10=1,AB10,(1+AB10)*(1+AH9)-1))</f>
        <v>6.8000000000000005E-2</v>
      </c>
      <c r="AI10" s="10">
        <f t="shared" si="5"/>
        <v>4.8416000000000001E-2</v>
      </c>
      <c r="AJ10" s="10">
        <f>IF($G10="","",AI10-AH10)</f>
        <v>-1.9584000000000004E-2</v>
      </c>
      <c r="AK10" s="10">
        <f t="shared" ref="AK10:AK73" si="6">IF($G10="","",(1+AE10)^(1/G10)-1)</f>
        <v>6.800000000000006E-2</v>
      </c>
      <c r="AL10" s="10">
        <f>IF($G10="","",(1+AF10)^(1/G10)-1)</f>
        <v>4.8416000000000015E-2</v>
      </c>
      <c r="AM10" s="10">
        <f>IF($G10="","",AL10-AK10)</f>
        <v>-1.9584000000000046E-2</v>
      </c>
      <c r="AN10" s="10">
        <f>IF($G10="","",(1+AH10)^(1/G10)-1)</f>
        <v>6.800000000000006E-2</v>
      </c>
      <c r="AO10" s="10">
        <f>IF($G10="","",(1+AI10)^(1/G10)-1)</f>
        <v>4.8416000000000015E-2</v>
      </c>
      <c r="AP10" s="10">
        <f>IF($G10="","",AO10-AN10)</f>
        <v>-1.9584000000000046E-2</v>
      </c>
    </row>
    <row r="11" spans="2:42" x14ac:dyDescent="0.45">
      <c r="B11" t="s">
        <v>5</v>
      </c>
      <c r="C11" s="4">
        <f>Page!C27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6998400</v>
      </c>
      <c r="J11" s="7">
        <f t="shared" si="1"/>
        <v>6753816.7295999983</v>
      </c>
      <c r="K11" s="7">
        <f t="shared" si="1"/>
        <v>0</v>
      </c>
      <c r="L11" s="7">
        <f t="shared" si="1"/>
        <v>0</v>
      </c>
      <c r="M11" s="7">
        <f t="shared" si="1"/>
        <v>4410000</v>
      </c>
      <c r="N11" s="7">
        <f t="shared" si="1"/>
        <v>4240304.6400000006</v>
      </c>
      <c r="O11" s="7">
        <f t="shared" si="1"/>
        <v>0</v>
      </c>
      <c r="P11" s="7">
        <f t="shared" si="1"/>
        <v>0</v>
      </c>
      <c r="Q11" s="7">
        <f t="shared" si="1"/>
        <v>0</v>
      </c>
      <c r="R11" s="7">
        <f t="shared" si="1"/>
        <v>0</v>
      </c>
      <c r="S11" s="7">
        <f t="shared" si="1"/>
        <v>0</v>
      </c>
      <c r="T11" s="7">
        <f t="shared" si="1"/>
        <v>0</v>
      </c>
      <c r="U11" s="8">
        <f t="shared" ref="U11:V74" si="7">IF(G11="","",SUM(I11,K11,M11,O11,Q11,S11))</f>
        <v>11408400</v>
      </c>
      <c r="V11" s="8">
        <f t="shared" si="7"/>
        <v>10994121.369599998</v>
      </c>
      <c r="W11" s="7">
        <f t="shared" si="2"/>
        <v>11406240</v>
      </c>
      <c r="X11" s="7">
        <f t="shared" si="2"/>
        <v>10991761.09056</v>
      </c>
      <c r="Y11" s="10">
        <f t="shared" si="3"/>
        <v>6.8202247191011242E-2</v>
      </c>
      <c r="Z11" s="10">
        <f t="shared" ref="Z11:Z74" si="8">IF($G11="","",IF($G11=1,(V11-$C$2-H11)/($C$2+H11),(V11-V10-H11)/(V10+H11)))</f>
        <v>4.8641128101821987E-2</v>
      </c>
      <c r="AA11" s="10">
        <f t="shared" ref="AA11:AA74" si="9">IF($G11="","",Z11-Y11)</f>
        <v>-1.9561119089189255E-2</v>
      </c>
      <c r="AB11" s="10">
        <f t="shared" ref="AB11:AB74" si="10">IF($G11="","",IF($G11=1,(W11-$C$2-H11)/($C$2+H11),(W11-W10-H11)/(W10+H11)))</f>
        <v>6.8000000000000005E-2</v>
      </c>
      <c r="AC11" s="10">
        <f t="shared" ref="AC11:AC74" si="11">IF($G11="","",IF($G11=1,(X11-$C$2-H11)/($C$2+H11),(X11-X10-H11)/(X10+H11)))</f>
        <v>4.8416000000000035E-2</v>
      </c>
      <c r="AD11" s="10">
        <f t="shared" ref="AD11:AD74" si="12">IF($G11="","",AC11-AB11)</f>
        <v>-1.9583999999999969E-2</v>
      </c>
      <c r="AE11" s="10">
        <f t="shared" si="4"/>
        <v>0.14084000000000008</v>
      </c>
      <c r="AF11" s="10">
        <f t="shared" si="4"/>
        <v>9.9412136959999842E-2</v>
      </c>
      <c r="AG11" s="10">
        <f t="shared" ref="AG11:AG74" si="13">IF($G11="","",AF11-AE11)</f>
        <v>-4.1427863040000235E-2</v>
      </c>
      <c r="AH11" s="10">
        <f t="shared" si="5"/>
        <v>0.14062400000000008</v>
      </c>
      <c r="AI11" s="10">
        <f t="shared" si="5"/>
        <v>9.9176109055999939E-2</v>
      </c>
      <c r="AJ11" s="10">
        <f t="shared" ref="AJ11:AJ74" si="14">IF($G11="","",AI11-AH11)</f>
        <v>-4.1447890944000143E-2</v>
      </c>
      <c r="AK11" s="10">
        <f t="shared" si="6"/>
        <v>6.8101118808514327E-2</v>
      </c>
      <c r="AL11" s="10">
        <f t="shared" ref="AL11:AL74" si="15">IF($G11="","",(1+AF11)^(1/G11)-1)</f>
        <v>4.8528558008793521E-2</v>
      </c>
      <c r="AM11" s="10">
        <f t="shared" ref="AM11:AM74" si="16">IF($G11="","",AL11-AK11)</f>
        <v>-1.9572560799720806E-2</v>
      </c>
      <c r="AN11" s="10">
        <f t="shared" ref="AN11:AN74" si="17">IF($G11="","",(1+AH11)^(1/G11)-1)</f>
        <v>6.800000000000006E-2</v>
      </c>
      <c r="AO11" s="10">
        <f t="shared" ref="AO11:AO74" si="18">IF($G11="","",(1+AI11)^(1/G11)-1)</f>
        <v>4.8416000000000015E-2</v>
      </c>
      <c r="AP11" s="10">
        <f t="shared" ref="AP11:AP74" si="19">IF($G11="","",AO11-AN11)</f>
        <v>-1.9584000000000046E-2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7558272.0000000009</v>
      </c>
      <c r="J12" s="7">
        <f t="shared" si="1"/>
        <v>7165529.3974364139</v>
      </c>
      <c r="K12" s="7">
        <f t="shared" si="1"/>
        <v>0</v>
      </c>
      <c r="L12" s="7">
        <f t="shared" si="1"/>
        <v>0</v>
      </c>
      <c r="M12" s="7">
        <f t="shared" si="1"/>
        <v>4630500</v>
      </c>
      <c r="N12" s="7">
        <f t="shared" si="1"/>
        <v>4365817.6573440013</v>
      </c>
      <c r="O12" s="7">
        <f t="shared" si="1"/>
        <v>0</v>
      </c>
      <c r="P12" s="7">
        <f t="shared" si="1"/>
        <v>0</v>
      </c>
      <c r="Q12" s="7">
        <f t="shared" si="1"/>
        <v>0</v>
      </c>
      <c r="R12" s="7">
        <f t="shared" si="1"/>
        <v>0</v>
      </c>
      <c r="S12" s="7">
        <f t="shared" si="1"/>
        <v>0</v>
      </c>
      <c r="T12" s="7">
        <f t="shared" si="1"/>
        <v>0</v>
      </c>
      <c r="U12" s="8">
        <f t="shared" si="7"/>
        <v>12188772</v>
      </c>
      <c r="V12" s="8">
        <f t="shared" si="7"/>
        <v>11531347.054780416</v>
      </c>
      <c r="W12" s="7">
        <f t="shared" si="2"/>
        <v>12181864.32</v>
      </c>
      <c r="X12" s="7">
        <f t="shared" si="2"/>
        <v>11523938.195520554</v>
      </c>
      <c r="Y12" s="10">
        <f t="shared" si="3"/>
        <v>6.8403281792363518E-2</v>
      </c>
      <c r="Z12" s="10">
        <f t="shared" si="8"/>
        <v>4.8864813032345508E-2</v>
      </c>
      <c r="AA12" s="10">
        <f t="shared" si="9"/>
        <v>-1.953846876001801E-2</v>
      </c>
      <c r="AB12" s="10">
        <f t="shared" si="10"/>
        <v>6.8000000000000033E-2</v>
      </c>
      <c r="AC12" s="10">
        <f t="shared" si="11"/>
        <v>4.8416000000000035E-2</v>
      </c>
      <c r="AD12" s="10">
        <f t="shared" si="12"/>
        <v>-1.9583999999999997E-2</v>
      </c>
      <c r="AE12" s="10">
        <f t="shared" si="4"/>
        <v>0.21887719999999988</v>
      </c>
      <c r="AF12" s="10">
        <f t="shared" si="4"/>
        <v>0.15313470547804164</v>
      </c>
      <c r="AG12" s="10">
        <f t="shared" si="13"/>
        <v>-6.5742494521958239E-2</v>
      </c>
      <c r="AH12" s="10">
        <f t="shared" si="5"/>
        <v>0.21818643200000021</v>
      </c>
      <c r="AI12" s="10">
        <f t="shared" si="5"/>
        <v>0.15239381955205533</v>
      </c>
      <c r="AJ12" s="10">
        <f t="shared" si="14"/>
        <v>-6.5792612447944876E-2</v>
      </c>
      <c r="AK12" s="10">
        <f t="shared" si="6"/>
        <v>6.8201830306722E-2</v>
      </c>
      <c r="AL12" s="10">
        <f t="shared" si="15"/>
        <v>4.8640631037179194E-2</v>
      </c>
      <c r="AM12" s="10">
        <f t="shared" si="16"/>
        <v>-1.9561199269542806E-2</v>
      </c>
      <c r="AN12" s="10">
        <f t="shared" si="17"/>
        <v>6.800000000000006E-2</v>
      </c>
      <c r="AO12" s="10">
        <f t="shared" si="18"/>
        <v>4.8416000000000015E-2</v>
      </c>
      <c r="AP12" s="10">
        <f t="shared" si="19"/>
        <v>-1.9584000000000046E-2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8162933.7600000016</v>
      </c>
      <c r="J13" s="7">
        <f t="shared" si="1"/>
        <v>7602340.0695041372</v>
      </c>
      <c r="K13" s="7">
        <f t="shared" si="1"/>
        <v>0</v>
      </c>
      <c r="L13" s="7">
        <f t="shared" si="1"/>
        <v>0</v>
      </c>
      <c r="M13" s="7">
        <f t="shared" si="1"/>
        <v>4862025</v>
      </c>
      <c r="N13" s="7">
        <f t="shared" si="1"/>
        <v>4495045.8600013843</v>
      </c>
      <c r="O13" s="7">
        <f t="shared" si="1"/>
        <v>0</v>
      </c>
      <c r="P13" s="7">
        <f t="shared" si="1"/>
        <v>0</v>
      </c>
      <c r="Q13" s="7">
        <f t="shared" si="1"/>
        <v>0</v>
      </c>
      <c r="R13" s="7">
        <f t="shared" si="1"/>
        <v>0</v>
      </c>
      <c r="S13" s="7">
        <f t="shared" si="1"/>
        <v>0</v>
      </c>
      <c r="T13" s="7">
        <f t="shared" si="1"/>
        <v>0</v>
      </c>
      <c r="U13" s="8">
        <f t="shared" si="7"/>
        <v>13024958.760000002</v>
      </c>
      <c r="V13" s="8">
        <f t="shared" si="7"/>
        <v>12097385.929505521</v>
      </c>
      <c r="W13" s="7">
        <f t="shared" si="2"/>
        <v>13010231.093760001</v>
      </c>
      <c r="X13" s="7">
        <f t="shared" si="2"/>
        <v>12081881.187194876</v>
      </c>
      <c r="Y13" s="10">
        <f t="shared" si="3"/>
        <v>6.8603035646248992E-2</v>
      </c>
      <c r="Z13" s="10">
        <f t="shared" si="8"/>
        <v>4.9086968940931244E-2</v>
      </c>
      <c r="AA13" s="10">
        <f t="shared" si="9"/>
        <v>-1.9516066705317747E-2</v>
      </c>
      <c r="AB13" s="10">
        <f t="shared" si="10"/>
        <v>6.8000000000000019E-2</v>
      </c>
      <c r="AC13" s="10">
        <f t="shared" si="11"/>
        <v>4.8415999999999959E-2</v>
      </c>
      <c r="AD13" s="10">
        <f t="shared" si="12"/>
        <v>-1.958400000000006E-2</v>
      </c>
      <c r="AE13" s="10">
        <f t="shared" si="4"/>
        <v>0.30249587600000005</v>
      </c>
      <c r="AF13" s="10">
        <f t="shared" si="4"/>
        <v>0.20973859295055219</v>
      </c>
      <c r="AG13" s="10">
        <f t="shared" si="13"/>
        <v>-9.2757283049447858E-2</v>
      </c>
      <c r="AH13" s="10">
        <f t="shared" si="5"/>
        <v>0.3010231093760003</v>
      </c>
      <c r="AI13" s="10">
        <f t="shared" si="5"/>
        <v>0.20818811871948761</v>
      </c>
      <c r="AJ13" s="10">
        <f t="shared" si="14"/>
        <v>-9.2834990656512684E-2</v>
      </c>
      <c r="AK13" s="10">
        <f t="shared" si="6"/>
        <v>6.8302117517651917E-2</v>
      </c>
      <c r="AL13" s="10">
        <f t="shared" si="15"/>
        <v>4.8752197707200962E-2</v>
      </c>
      <c r="AM13" s="10">
        <f t="shared" si="16"/>
        <v>-1.9549919810450955E-2</v>
      </c>
      <c r="AN13" s="10">
        <f t="shared" si="17"/>
        <v>6.800000000000006E-2</v>
      </c>
      <c r="AO13" s="10">
        <f t="shared" si="18"/>
        <v>4.8416000000000015E-2</v>
      </c>
      <c r="AP13" s="10">
        <f t="shared" si="19"/>
        <v>-1.9584000000000046E-2</v>
      </c>
    </row>
    <row r="14" spans="2:42" x14ac:dyDescent="0.45">
      <c r="B14" t="s">
        <v>7</v>
      </c>
      <c r="C14" s="4">
        <f>Page!C17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8815968.4608000033</v>
      </c>
      <c r="J14" s="7">
        <f t="shared" si="1"/>
        <v>8065778.7201411091</v>
      </c>
      <c r="K14" s="7">
        <f t="shared" si="1"/>
        <v>0</v>
      </c>
      <c r="L14" s="7">
        <f t="shared" si="1"/>
        <v>0</v>
      </c>
      <c r="M14" s="7">
        <f t="shared" si="1"/>
        <v>5105126.25</v>
      </c>
      <c r="N14" s="7">
        <f t="shared" si="1"/>
        <v>4628099.2174574258</v>
      </c>
      <c r="O14" s="7">
        <f t="shared" si="1"/>
        <v>0</v>
      </c>
      <c r="P14" s="7">
        <f t="shared" si="1"/>
        <v>0</v>
      </c>
      <c r="Q14" s="7">
        <f t="shared" si="1"/>
        <v>0</v>
      </c>
      <c r="R14" s="7">
        <f t="shared" si="1"/>
        <v>0</v>
      </c>
      <c r="S14" s="7">
        <f t="shared" si="1"/>
        <v>0</v>
      </c>
      <c r="T14" s="7">
        <f t="shared" si="1"/>
        <v>0</v>
      </c>
      <c r="U14" s="8">
        <f t="shared" si="7"/>
        <v>13921094.710800003</v>
      </c>
      <c r="V14" s="8">
        <f t="shared" si="7"/>
        <v>12693877.937598534</v>
      </c>
      <c r="W14" s="7">
        <f t="shared" si="2"/>
        <v>13894926.808135681</v>
      </c>
      <c r="X14" s="7">
        <f t="shared" si="2"/>
        <v>12666837.546754103</v>
      </c>
      <c r="Y14" s="10">
        <f t="shared" si="3"/>
        <v>6.8801442469979962E-2</v>
      </c>
      <c r="Z14" s="10">
        <f t="shared" si="8"/>
        <v>4.9307512512944525E-2</v>
      </c>
      <c r="AA14" s="10">
        <f t="shared" si="9"/>
        <v>-1.9493929957035437E-2</v>
      </c>
      <c r="AB14" s="10">
        <f t="shared" si="10"/>
        <v>6.8000000000000019E-2</v>
      </c>
      <c r="AC14" s="10">
        <f t="shared" si="11"/>
        <v>4.8415999999999973E-2</v>
      </c>
      <c r="AD14" s="10">
        <f t="shared" si="12"/>
        <v>-1.9584000000000046E-2</v>
      </c>
      <c r="AE14" s="10">
        <f t="shared" si="4"/>
        <v>0.39210947108000016</v>
      </c>
      <c r="AF14" s="10">
        <f t="shared" si="4"/>
        <v>0.26938779375985344</v>
      </c>
      <c r="AG14" s="10">
        <f t="shared" si="13"/>
        <v>-0.12272167732014672</v>
      </c>
      <c r="AH14" s="10">
        <f t="shared" si="5"/>
        <v>0.38949268081356836</v>
      </c>
      <c r="AI14" s="10">
        <f t="shared" si="5"/>
        <v>0.26668375467541039</v>
      </c>
      <c r="AJ14" s="10">
        <f t="shared" si="14"/>
        <v>-0.12280892613815797</v>
      </c>
      <c r="AK14" s="10">
        <f t="shared" si="6"/>
        <v>6.8401963842573021E-2</v>
      </c>
      <c r="AL14" s="10">
        <f t="shared" si="15"/>
        <v>4.8863237152663164E-2</v>
      </c>
      <c r="AM14" s="10">
        <f t="shared" si="16"/>
        <v>-1.9538726689909858E-2</v>
      </c>
      <c r="AN14" s="10">
        <f t="shared" si="17"/>
        <v>6.800000000000006E-2</v>
      </c>
      <c r="AO14" s="10">
        <f t="shared" si="18"/>
        <v>4.8416000000000015E-2</v>
      </c>
      <c r="AP14" s="10">
        <f t="shared" si="19"/>
        <v>-1.9584000000000046E-2</v>
      </c>
    </row>
    <row r="15" spans="2:42" x14ac:dyDescent="0.45">
      <c r="B15" t="s">
        <v>8</v>
      </c>
      <c r="C15" s="4">
        <f>Page!C18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9521245.937664004</v>
      </c>
      <c r="J15" s="7">
        <f t="shared" si="1"/>
        <v>8557468.5909209102</v>
      </c>
      <c r="K15" s="7">
        <f t="shared" si="1"/>
        <v>0</v>
      </c>
      <c r="L15" s="7">
        <f t="shared" si="1"/>
        <v>0</v>
      </c>
      <c r="M15" s="7">
        <f t="shared" si="1"/>
        <v>5360382.5625</v>
      </c>
      <c r="N15" s="7">
        <f t="shared" si="1"/>
        <v>4765090.9542941656</v>
      </c>
      <c r="O15" s="7">
        <f t="shared" si="1"/>
        <v>0</v>
      </c>
      <c r="P15" s="7">
        <f t="shared" si="1"/>
        <v>0</v>
      </c>
      <c r="Q15" s="7">
        <f t="shared" si="1"/>
        <v>0</v>
      </c>
      <c r="R15" s="7">
        <f t="shared" si="1"/>
        <v>0</v>
      </c>
      <c r="S15" s="7">
        <f t="shared" si="1"/>
        <v>0</v>
      </c>
      <c r="T15" s="7">
        <f t="shared" si="1"/>
        <v>0</v>
      </c>
      <c r="U15" s="8">
        <f t="shared" si="7"/>
        <v>14881628.500164004</v>
      </c>
      <c r="V15" s="8">
        <f t="shared" si="7"/>
        <v>13322559.545215076</v>
      </c>
      <c r="W15" s="7">
        <f t="shared" si="2"/>
        <v>14839781.831088908</v>
      </c>
      <c r="X15" s="7">
        <f t="shared" si="2"/>
        <v>13280115.153417749</v>
      </c>
      <c r="Y15" s="10">
        <f t="shared" si="3"/>
        <v>6.8998437933104312E-2</v>
      </c>
      <c r="Z15" s="10">
        <f t="shared" si="8"/>
        <v>4.9526363078884132E-2</v>
      </c>
      <c r="AA15" s="10">
        <f t="shared" si="9"/>
        <v>-1.947207485422018E-2</v>
      </c>
      <c r="AB15" s="10">
        <f t="shared" si="10"/>
        <v>6.800000000000006E-2</v>
      </c>
      <c r="AC15" s="10">
        <f t="shared" si="11"/>
        <v>4.8415999999999959E-2</v>
      </c>
      <c r="AD15" s="10">
        <f t="shared" si="12"/>
        <v>-1.9584000000000101E-2</v>
      </c>
      <c r="AE15" s="10">
        <f t="shared" si="4"/>
        <v>0.48816285001640036</v>
      </c>
      <c r="AF15" s="10">
        <f t="shared" si="4"/>
        <v>0.33225595452150758</v>
      </c>
      <c r="AG15" s="10">
        <f t="shared" si="13"/>
        <v>-0.15590689549489278</v>
      </c>
      <c r="AH15" s="10">
        <f t="shared" si="5"/>
        <v>0.48397818310889118</v>
      </c>
      <c r="AI15" s="10">
        <f t="shared" si="5"/>
        <v>0.32801151534177508</v>
      </c>
      <c r="AJ15" s="10">
        <f t="shared" si="14"/>
        <v>-0.1559666677671161</v>
      </c>
      <c r="AK15" s="10">
        <f t="shared" si="6"/>
        <v>6.8501353073654903E-2</v>
      </c>
      <c r="AL15" s="10">
        <f t="shared" si="15"/>
        <v>4.8973729037021796E-2</v>
      </c>
      <c r="AM15" s="10">
        <f t="shared" si="16"/>
        <v>-1.9527624036633107E-2</v>
      </c>
      <c r="AN15" s="10">
        <f t="shared" si="17"/>
        <v>6.800000000000006E-2</v>
      </c>
      <c r="AO15" s="10">
        <f t="shared" si="18"/>
        <v>4.8416000000000015E-2</v>
      </c>
      <c r="AP15" s="10">
        <f t="shared" si="19"/>
        <v>-1.9584000000000046E-2</v>
      </c>
    </row>
    <row r="16" spans="2:42" x14ac:dyDescent="0.45">
      <c r="B16" t="s">
        <v>9</v>
      </c>
      <c r="C16" s="4">
        <f>Page!C19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10282945.612677125</v>
      </c>
      <c r="J16" s="7">
        <f t="shared" si="1"/>
        <v>9079131.8762234487</v>
      </c>
      <c r="K16" s="7">
        <f t="shared" si="1"/>
        <v>0</v>
      </c>
      <c r="L16" s="7">
        <f t="shared" si="1"/>
        <v>0</v>
      </c>
      <c r="M16" s="7">
        <f t="shared" si="1"/>
        <v>5628401.6906249998</v>
      </c>
      <c r="N16" s="7">
        <f t="shared" si="1"/>
        <v>4906137.6465412732</v>
      </c>
      <c r="O16" s="7">
        <f t="shared" si="1"/>
        <v>0</v>
      </c>
      <c r="P16" s="7">
        <f t="shared" si="1"/>
        <v>0</v>
      </c>
      <c r="Q16" s="7">
        <f t="shared" si="1"/>
        <v>0</v>
      </c>
      <c r="R16" s="7">
        <f t="shared" si="1"/>
        <v>0</v>
      </c>
      <c r="S16" s="7">
        <f t="shared" si="1"/>
        <v>0</v>
      </c>
      <c r="T16" s="7">
        <f t="shared" si="1"/>
        <v>0</v>
      </c>
      <c r="U16" s="8">
        <f t="shared" si="7"/>
        <v>15911347.303302124</v>
      </c>
      <c r="V16" s="8">
        <f t="shared" si="7"/>
        <v>13985269.522764722</v>
      </c>
      <c r="W16" s="7">
        <f t="shared" si="2"/>
        <v>15848886.995602954</v>
      </c>
      <c r="X16" s="7">
        <f t="shared" si="2"/>
        <v>13923085.208685623</v>
      </c>
      <c r="Y16" s="10">
        <f t="shared" si="3"/>
        <v>6.9193959728720014E-2</v>
      </c>
      <c r="Z16" s="10">
        <f t="shared" si="8"/>
        <v>4.9743442714629459E-2</v>
      </c>
      <c r="AA16" s="10">
        <f t="shared" si="9"/>
        <v>-1.9450517014090556E-2</v>
      </c>
      <c r="AB16" s="10">
        <f t="shared" si="10"/>
        <v>6.8000000000000033E-2</v>
      </c>
      <c r="AC16" s="10">
        <f t="shared" si="11"/>
        <v>4.8416000000000028E-2</v>
      </c>
      <c r="AD16" s="10">
        <f t="shared" si="12"/>
        <v>-1.9584000000000004E-2</v>
      </c>
      <c r="AE16" s="10">
        <f t="shared" si="4"/>
        <v>0.59113473033021258</v>
      </c>
      <c r="AF16" s="10">
        <f t="shared" si="4"/>
        <v>0.39852695227647228</v>
      </c>
      <c r="AG16" s="10">
        <f t="shared" si="13"/>
        <v>-0.1926077780537403</v>
      </c>
      <c r="AH16" s="10">
        <f t="shared" si="5"/>
        <v>0.58488869956029577</v>
      </c>
      <c r="AI16" s="10">
        <f t="shared" si="5"/>
        <v>0.39230852086856238</v>
      </c>
      <c r="AJ16" s="10">
        <f t="shared" si="14"/>
        <v>-0.19258017869173338</v>
      </c>
      <c r="AK16" s="10">
        <f t="shared" si="6"/>
        <v>6.8600269405794112E-2</v>
      </c>
      <c r="AL16" s="10">
        <f t="shared" si="15"/>
        <v>4.908365357000144E-2</v>
      </c>
      <c r="AM16" s="10">
        <f t="shared" si="16"/>
        <v>-1.9516615835792672E-2</v>
      </c>
      <c r="AN16" s="10">
        <f t="shared" si="17"/>
        <v>6.800000000000006E-2</v>
      </c>
      <c r="AO16" s="10">
        <f t="shared" si="18"/>
        <v>4.8416000000000015E-2</v>
      </c>
      <c r="AP16" s="10">
        <f t="shared" si="19"/>
        <v>-1.9584000000000046E-2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11105581.261691296</v>
      </c>
      <c r="J17" s="7">
        <f t="shared" si="1"/>
        <v>9632595.7553980295</v>
      </c>
      <c r="K17" s="7">
        <f t="shared" si="1"/>
        <v>0</v>
      </c>
      <c r="L17" s="7">
        <f t="shared" si="1"/>
        <v>0</v>
      </c>
      <c r="M17" s="7">
        <f t="shared" si="1"/>
        <v>5909821.7751562502</v>
      </c>
      <c r="N17" s="7">
        <f t="shared" si="1"/>
        <v>5051359.320878895</v>
      </c>
      <c r="O17" s="7">
        <f t="shared" si="1"/>
        <v>0</v>
      </c>
      <c r="P17" s="7">
        <f t="shared" si="1"/>
        <v>0</v>
      </c>
      <c r="Q17" s="7">
        <f t="shared" si="1"/>
        <v>0</v>
      </c>
      <c r="R17" s="7">
        <f t="shared" si="1"/>
        <v>0</v>
      </c>
      <c r="S17" s="7">
        <f t="shared" si="1"/>
        <v>0</v>
      </c>
      <c r="T17" s="7">
        <f t="shared" si="1"/>
        <v>0</v>
      </c>
      <c r="U17" s="8">
        <f t="shared" si="7"/>
        <v>17015403.036847547</v>
      </c>
      <c r="V17" s="8">
        <f t="shared" si="7"/>
        <v>14683955.076276924</v>
      </c>
      <c r="W17" s="7">
        <f t="shared" si="2"/>
        <v>16926611.311303955</v>
      </c>
      <c r="X17" s="7">
        <f t="shared" si="2"/>
        <v>14597185.302149346</v>
      </c>
      <c r="Y17" s="10">
        <f t="shared" si="3"/>
        <v>6.9387947638871225E-2</v>
      </c>
      <c r="Z17" s="10">
        <f t="shared" si="8"/>
        <v>4.995867633261606E-2</v>
      </c>
      <c r="AA17" s="10">
        <f t="shared" si="9"/>
        <v>-1.9429271306255165E-2</v>
      </c>
      <c r="AB17" s="10">
        <f t="shared" si="10"/>
        <v>6.7999999999999963E-2</v>
      </c>
      <c r="AC17" s="10">
        <f t="shared" si="11"/>
        <v>4.8415999999999959E-2</v>
      </c>
      <c r="AD17" s="10">
        <f t="shared" si="12"/>
        <v>-1.9584000000000004E-2</v>
      </c>
      <c r="AE17" s="10">
        <f t="shared" si="4"/>
        <v>0.70154030368475495</v>
      </c>
      <c r="AF17" s="10">
        <f t="shared" si="4"/>
        <v>0.46839550762769266</v>
      </c>
      <c r="AG17" s="10">
        <f t="shared" si="13"/>
        <v>-0.23314479605706229</v>
      </c>
      <c r="AH17" s="10">
        <f t="shared" si="5"/>
        <v>0.69266113113039607</v>
      </c>
      <c r="AI17" s="10">
        <f t="shared" si="5"/>
        <v>0.4597185302149347</v>
      </c>
      <c r="AJ17" s="10">
        <f t="shared" si="14"/>
        <v>-0.23294260091546137</v>
      </c>
      <c r="AK17" s="10">
        <f t="shared" si="6"/>
        <v>6.8698697447593382E-2</v>
      </c>
      <c r="AL17" s="10">
        <f t="shared" si="15"/>
        <v>4.919299152291301E-2</v>
      </c>
      <c r="AM17" s="10">
        <f t="shared" si="16"/>
        <v>-1.9505705924680372E-2</v>
      </c>
      <c r="AN17" s="10">
        <f t="shared" si="17"/>
        <v>6.800000000000006E-2</v>
      </c>
      <c r="AO17" s="10">
        <f t="shared" si="18"/>
        <v>4.8416000000000015E-2</v>
      </c>
      <c r="AP17" s="10">
        <f t="shared" si="19"/>
        <v>-1.9584000000000046E-2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11994027.762626601</v>
      </c>
      <c r="J18" s="7">
        <f t="shared" si="1"/>
        <v>10219798.792647092</v>
      </c>
      <c r="K18" s="7">
        <f t="shared" si="1"/>
        <v>0</v>
      </c>
      <c r="L18" s="7">
        <f t="shared" si="1"/>
        <v>0</v>
      </c>
      <c r="M18" s="7">
        <f t="shared" si="1"/>
        <v>6205312.8639140632</v>
      </c>
      <c r="N18" s="7">
        <f t="shared" si="1"/>
        <v>5200879.556776911</v>
      </c>
      <c r="O18" s="7">
        <f t="shared" si="1"/>
        <v>0</v>
      </c>
      <c r="P18" s="7">
        <f t="shared" si="1"/>
        <v>0</v>
      </c>
      <c r="Q18" s="7">
        <f t="shared" si="1"/>
        <v>0</v>
      </c>
      <c r="R18" s="7">
        <f t="shared" si="1"/>
        <v>0</v>
      </c>
      <c r="S18" s="7">
        <f t="shared" si="1"/>
        <v>0</v>
      </c>
      <c r="T18" s="7">
        <f t="shared" si="1"/>
        <v>0</v>
      </c>
      <c r="U18" s="8">
        <f t="shared" si="7"/>
        <v>18199340.626540665</v>
      </c>
      <c r="V18" s="8">
        <f t="shared" si="7"/>
        <v>15420678.349424003</v>
      </c>
      <c r="W18" s="7">
        <f t="shared" si="2"/>
        <v>18077620.880472623</v>
      </c>
      <c r="X18" s="7">
        <f t="shared" si="2"/>
        <v>15303922.625738209</v>
      </c>
      <c r="Y18" s="10">
        <f t="shared" si="3"/>
        <v>6.9580343593933863E-2</v>
      </c>
      <c r="Z18" s="10">
        <f t="shared" si="8"/>
        <v>5.0171991763807024E-2</v>
      </c>
      <c r="AA18" s="10">
        <f t="shared" si="9"/>
        <v>-1.940835183012684E-2</v>
      </c>
      <c r="AB18" s="10">
        <f t="shared" si="10"/>
        <v>6.7999999999999963E-2</v>
      </c>
      <c r="AC18" s="10">
        <f t="shared" si="11"/>
        <v>4.8416000000000022E-2</v>
      </c>
      <c r="AD18" s="10">
        <f t="shared" si="12"/>
        <v>-1.9583999999999942E-2</v>
      </c>
      <c r="AE18" s="10">
        <f t="shared" si="4"/>
        <v>0.81993406265406699</v>
      </c>
      <c r="AF18" s="10">
        <f t="shared" si="4"/>
        <v>0.54206783494240063</v>
      </c>
      <c r="AG18" s="10">
        <f t="shared" si="13"/>
        <v>-0.27786622771166636</v>
      </c>
      <c r="AH18" s="10">
        <f t="shared" si="5"/>
        <v>0.80776208804726313</v>
      </c>
      <c r="AI18" s="10">
        <f t="shared" si="5"/>
        <v>0.5303922625738211</v>
      </c>
      <c r="AJ18" s="10">
        <f t="shared" si="14"/>
        <v>-0.27736982547344202</v>
      </c>
      <c r="AK18" s="10">
        <f t="shared" si="6"/>
        <v>6.8796622231481974E-2</v>
      </c>
      <c r="AL18" s="10">
        <f t="shared" si="15"/>
        <v>4.9301724242658107E-2</v>
      </c>
      <c r="AM18" s="10">
        <f t="shared" si="16"/>
        <v>-1.9494897988823867E-2</v>
      </c>
      <c r="AN18" s="10">
        <f t="shared" si="17"/>
        <v>6.800000000000006E-2</v>
      </c>
      <c r="AO18" s="10">
        <f t="shared" si="18"/>
        <v>4.8416000000000015E-2</v>
      </c>
      <c r="AP18" s="10">
        <f t="shared" si="19"/>
        <v>-1.9584000000000046E-2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12953549.983636729</v>
      </c>
      <c r="J19" s="7">
        <f t="shared" si="1"/>
        <v>10842797.727046857</v>
      </c>
      <c r="K19" s="7">
        <f t="shared" si="1"/>
        <v>0</v>
      </c>
      <c r="L19" s="7">
        <f t="shared" si="1"/>
        <v>0</v>
      </c>
      <c r="M19" s="7">
        <f t="shared" si="1"/>
        <v>6515578.5071097668</v>
      </c>
      <c r="N19" s="7">
        <f t="shared" si="1"/>
        <v>5354825.5916575082</v>
      </c>
      <c r="O19" s="7">
        <f t="shared" si="1"/>
        <v>0</v>
      </c>
      <c r="P19" s="7">
        <f t="shared" si="1"/>
        <v>0</v>
      </c>
      <c r="Q19" s="7">
        <f t="shared" si="1"/>
        <v>0</v>
      </c>
      <c r="R19" s="7">
        <f t="shared" si="1"/>
        <v>0</v>
      </c>
      <c r="S19" s="7">
        <f t="shared" si="1"/>
        <v>0</v>
      </c>
      <c r="T19" s="7">
        <f t="shared" si="1"/>
        <v>0</v>
      </c>
      <c r="U19" s="8">
        <f t="shared" si="7"/>
        <v>19469128.490746498</v>
      </c>
      <c r="V19" s="8">
        <f t="shared" si="7"/>
        <v>16197623.318704365</v>
      </c>
      <c r="W19" s="7">
        <f t="shared" si="2"/>
        <v>19306899.100344762</v>
      </c>
      <c r="X19" s="7">
        <f t="shared" si="2"/>
        <v>16044877.343585951</v>
      </c>
      <c r="Y19" s="10">
        <f t="shared" si="3"/>
        <v>6.9771091725931128E-2</v>
      </c>
      <c r="Z19" s="10">
        <f t="shared" si="8"/>
        <v>5.0383319830374571E-2</v>
      </c>
      <c r="AA19" s="10">
        <f t="shared" si="9"/>
        <v>-1.9387771895556558E-2</v>
      </c>
      <c r="AB19" s="10">
        <f t="shared" si="10"/>
        <v>6.800000000000006E-2</v>
      </c>
      <c r="AC19" s="10">
        <f t="shared" si="11"/>
        <v>4.8416000000000063E-2</v>
      </c>
      <c r="AD19" s="10">
        <f t="shared" si="12"/>
        <v>-1.9583999999999997E-2</v>
      </c>
      <c r="AE19" s="10">
        <f t="shared" si="4"/>
        <v>0.94691284907465034</v>
      </c>
      <c r="AF19" s="10">
        <f t="shared" si="4"/>
        <v>0.61976233187043661</v>
      </c>
      <c r="AG19" s="10">
        <f t="shared" si="13"/>
        <v>-0.32715051720421373</v>
      </c>
      <c r="AH19" s="10">
        <f t="shared" si="5"/>
        <v>0.93068991003447721</v>
      </c>
      <c r="AI19" s="10">
        <f t="shared" si="5"/>
        <v>0.60448773435859526</v>
      </c>
      <c r="AJ19" s="10">
        <f t="shared" si="14"/>
        <v>-0.32620217567588194</v>
      </c>
      <c r="AK19" s="10">
        <f t="shared" si="6"/>
        <v>6.8894029222972053E-2</v>
      </c>
      <c r="AL19" s="10">
        <f t="shared" si="15"/>
        <v>4.9409833664406877E-2</v>
      </c>
      <c r="AM19" s="10">
        <f t="shared" si="16"/>
        <v>-1.9484195558565176E-2</v>
      </c>
      <c r="AN19" s="10">
        <f t="shared" si="17"/>
        <v>6.800000000000006E-2</v>
      </c>
      <c r="AO19" s="10">
        <f t="shared" si="18"/>
        <v>4.8416000000000015E-2</v>
      </c>
      <c r="AP19" s="10">
        <f t="shared" si="19"/>
        <v>-1.9584000000000046E-2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13989833.982327668</v>
      </c>
      <c r="J20" s="7">
        <f t="shared" si="1"/>
        <v>11503774.676487632</v>
      </c>
      <c r="K20" s="7">
        <f t="shared" si="1"/>
        <v>0</v>
      </c>
      <c r="L20" s="7">
        <f t="shared" si="1"/>
        <v>0</v>
      </c>
      <c r="M20" s="7">
        <f t="shared" si="1"/>
        <v>6841357.4324652553</v>
      </c>
      <c r="N20" s="7">
        <f t="shared" si="1"/>
        <v>5513328.4291705703</v>
      </c>
      <c r="O20" s="7">
        <f t="shared" si="1"/>
        <v>0</v>
      </c>
      <c r="P20" s="7">
        <f t="shared" si="1"/>
        <v>0</v>
      </c>
      <c r="Q20" s="7">
        <f t="shared" si="1"/>
        <v>0</v>
      </c>
      <c r="R20" s="7">
        <f t="shared" si="1"/>
        <v>0</v>
      </c>
      <c r="S20" s="7">
        <f t="shared" si="1"/>
        <v>0</v>
      </c>
      <c r="T20" s="7">
        <f t="shared" si="1"/>
        <v>0</v>
      </c>
      <c r="U20" s="8">
        <f t="shared" si="7"/>
        <v>20831191.414792925</v>
      </c>
      <c r="V20" s="8">
        <f t="shared" si="7"/>
        <v>17017103.105658203</v>
      </c>
      <c r="W20" s="7">
        <f t="shared" si="2"/>
        <v>20619768.239168208</v>
      </c>
      <c r="X20" s="7">
        <f t="shared" si="2"/>
        <v>16821706.125053007</v>
      </c>
      <c r="Y20" s="10">
        <f t="shared" si="3"/>
        <v>6.9960138415738712E-2</v>
      </c>
      <c r="Z20" s="10">
        <f t="shared" si="8"/>
        <v>5.0592594409053594E-2</v>
      </c>
      <c r="AA20" s="10">
        <f t="shared" si="9"/>
        <v>-1.9367544006685118E-2</v>
      </c>
      <c r="AB20" s="10">
        <f t="shared" si="10"/>
        <v>6.8000000000000102E-2</v>
      </c>
      <c r="AC20" s="10">
        <f t="shared" si="11"/>
        <v>4.8415999999999904E-2</v>
      </c>
      <c r="AD20" s="10">
        <f t="shared" si="12"/>
        <v>-1.9584000000000198E-2</v>
      </c>
      <c r="AE20" s="10">
        <f t="shared" si="4"/>
        <v>1.0831191414792931</v>
      </c>
      <c r="AF20" s="10">
        <f t="shared" si="4"/>
        <v>0.70171031056582023</v>
      </c>
      <c r="AG20" s="10">
        <f t="shared" si="13"/>
        <v>-0.38140883091347288</v>
      </c>
      <c r="AH20" s="10">
        <f t="shared" si="5"/>
        <v>1.0619768239168219</v>
      </c>
      <c r="AI20" s="10">
        <f t="shared" si="5"/>
        <v>0.68217061250530109</v>
      </c>
      <c r="AJ20" s="10">
        <f t="shared" si="14"/>
        <v>-0.37980621141152082</v>
      </c>
      <c r="AK20" s="10">
        <f t="shared" si="6"/>
        <v>6.8990904329041758E-2</v>
      </c>
      <c r="AL20" s="10">
        <f t="shared" si="15"/>
        <v>4.9517302322947598E-2</v>
      </c>
      <c r="AM20" s="10">
        <f t="shared" si="16"/>
        <v>-1.9473602006094159E-2</v>
      </c>
      <c r="AN20" s="10">
        <f t="shared" si="17"/>
        <v>6.800000000000006E-2</v>
      </c>
      <c r="AO20" s="10">
        <f t="shared" si="18"/>
        <v>4.8416000000000015E-2</v>
      </c>
      <c r="AP20" s="10">
        <f t="shared" si="19"/>
        <v>-1.9584000000000046E-2</v>
      </c>
    </row>
    <row r="21" spans="2:42" x14ac:dyDescent="0.45">
      <c r="B21" s="85" t="s">
        <v>42</v>
      </c>
      <c r="C21" s="86" t="s">
        <v>76</v>
      </c>
      <c r="D21" s="86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15109020.700913882</v>
      </c>
      <c r="J21" s="7">
        <f t="shared" si="1"/>
        <v>12205044.780766318</v>
      </c>
      <c r="K21" s="7">
        <f t="shared" si="1"/>
        <v>0</v>
      </c>
      <c r="L21" s="7">
        <f t="shared" si="1"/>
        <v>0</v>
      </c>
      <c r="M21" s="7">
        <f t="shared" si="1"/>
        <v>7183425.304088518</v>
      </c>
      <c r="N21" s="7">
        <f t="shared" si="1"/>
        <v>5676522.9506740198</v>
      </c>
      <c r="O21" s="7">
        <f t="shared" si="1"/>
        <v>0</v>
      </c>
      <c r="P21" s="7">
        <f t="shared" si="1"/>
        <v>0</v>
      </c>
      <c r="Q21" s="7">
        <f t="shared" si="1"/>
        <v>0</v>
      </c>
      <c r="R21" s="7">
        <f t="shared" si="1"/>
        <v>0</v>
      </c>
      <c r="S21" s="7">
        <f t="shared" si="1"/>
        <v>0</v>
      </c>
      <c r="T21" s="7">
        <f t="shared" si="1"/>
        <v>0</v>
      </c>
      <c r="U21" s="8">
        <f t="shared" si="7"/>
        <v>22292446.005002402</v>
      </c>
      <c r="V21" s="8">
        <f t="shared" si="7"/>
        <v>17881567.731440336</v>
      </c>
      <c r="W21" s="7">
        <f t="shared" si="2"/>
        <v>22021912.479431648</v>
      </c>
      <c r="X21" s="7">
        <f t="shared" si="2"/>
        <v>17636145.848803572</v>
      </c>
      <c r="Y21" s="10">
        <f t="shared" si="3"/>
        <v>7.0147432334177057E-2</v>
      </c>
      <c r="Z21" s="10">
        <f t="shared" si="8"/>
        <v>5.0799752485174564E-2</v>
      </c>
      <c r="AA21" s="10">
        <f t="shared" si="9"/>
        <v>-1.9347679849002493E-2</v>
      </c>
      <c r="AB21" s="10">
        <f t="shared" si="10"/>
        <v>6.8000000000000074E-2</v>
      </c>
      <c r="AC21" s="10">
        <f t="shared" si="11"/>
        <v>4.8415999999999931E-2</v>
      </c>
      <c r="AD21" s="10">
        <f t="shared" si="12"/>
        <v>-1.9584000000000143E-2</v>
      </c>
      <c r="AE21" s="10">
        <f t="shared" si="4"/>
        <v>1.2292446005002411</v>
      </c>
      <c r="AF21" s="10">
        <f t="shared" si="4"/>
        <v>0.78815677314403354</v>
      </c>
      <c r="AG21" s="10">
        <f t="shared" si="13"/>
        <v>-0.44108782735620755</v>
      </c>
      <c r="AH21" s="10">
        <f t="shared" si="5"/>
        <v>1.202191247943166</v>
      </c>
      <c r="AI21" s="10">
        <f t="shared" si="5"/>
        <v>0.76361458488035772</v>
      </c>
      <c r="AJ21" s="10">
        <f t="shared" si="14"/>
        <v>-0.43857666306280829</v>
      </c>
      <c r="AK21" s="10">
        <f t="shared" si="6"/>
        <v>6.9087233905648748E-2</v>
      </c>
      <c r="AL21" s="10">
        <f t="shared" si="15"/>
        <v>4.9624113362704447E-2</v>
      </c>
      <c r="AM21" s="10">
        <f t="shared" si="16"/>
        <v>-1.9463120542944301E-2</v>
      </c>
      <c r="AN21" s="10">
        <f t="shared" si="17"/>
        <v>6.800000000000006E-2</v>
      </c>
      <c r="AO21" s="10">
        <f t="shared" si="18"/>
        <v>4.8416000000000015E-2</v>
      </c>
      <c r="AP21" s="10">
        <f t="shared" si="19"/>
        <v>-1.9584000000000046E-2</v>
      </c>
    </row>
    <row r="22" spans="2:42" x14ac:dyDescent="0.45">
      <c r="B22" t="s">
        <v>43</v>
      </c>
      <c r="C22" s="8">
        <f>_xlfn.XLOOKUP(C3,G:G,V:V)</f>
        <v>26762916.37087629</v>
      </c>
      <c r="D22" s="8">
        <f>_xlfn.XLOOKUP(C3,G:G,X:X)</f>
        <v>25743808.897071782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16317742.356986994</v>
      </c>
      <c r="J22" s="7">
        <f t="shared" si="1"/>
        <v>12949064.31060183</v>
      </c>
      <c r="K22" s="7">
        <f t="shared" si="1"/>
        <v>0</v>
      </c>
      <c r="L22" s="7">
        <f t="shared" si="1"/>
        <v>0</v>
      </c>
      <c r="M22" s="7">
        <f t="shared" si="1"/>
        <v>7542596.5692929439</v>
      </c>
      <c r="N22" s="7">
        <f t="shared" si="1"/>
        <v>5844548.030013971</v>
      </c>
      <c r="O22" s="7">
        <f t="shared" si="1"/>
        <v>0</v>
      </c>
      <c r="P22" s="7">
        <f t="shared" si="1"/>
        <v>0</v>
      </c>
      <c r="Q22" s="7">
        <f t="shared" si="1"/>
        <v>0</v>
      </c>
      <c r="R22" s="7">
        <f t="shared" si="1"/>
        <v>0</v>
      </c>
      <c r="S22" s="7">
        <f t="shared" si="1"/>
        <v>0</v>
      </c>
      <c r="T22" s="7">
        <f t="shared" si="1"/>
        <v>0</v>
      </c>
      <c r="U22" s="8">
        <f t="shared" si="7"/>
        <v>23860338.92627994</v>
      </c>
      <c r="V22" s="8">
        <f t="shared" si="7"/>
        <v>18793612.340615802</v>
      </c>
      <c r="W22" s="7">
        <f t="shared" si="2"/>
        <v>23519402.528032999</v>
      </c>
      <c r="X22" s="7">
        <f t="shared" si="2"/>
        <v>18490017.486219246</v>
      </c>
      <c r="Y22" s="10">
        <f t="shared" si="3"/>
        <v>7.0332924477004649E-2</v>
      </c>
      <c r="Z22" s="10">
        <f t="shared" si="8"/>
        <v>5.1004734197430575E-2</v>
      </c>
      <c r="AA22" s="10">
        <f t="shared" si="9"/>
        <v>-1.9328190279574074E-2</v>
      </c>
      <c r="AB22" s="10">
        <f t="shared" si="10"/>
        <v>6.7999999999999977E-2</v>
      </c>
      <c r="AC22" s="10">
        <f t="shared" si="11"/>
        <v>4.8415999999999987E-2</v>
      </c>
      <c r="AD22" s="10">
        <f t="shared" si="12"/>
        <v>-1.958399999999999E-2</v>
      </c>
      <c r="AE22" s="10">
        <f t="shared" si="4"/>
        <v>1.3860338926279949</v>
      </c>
      <c r="AF22" s="10">
        <f t="shared" si="4"/>
        <v>0.8793612340615804</v>
      </c>
      <c r="AG22" s="10">
        <f t="shared" si="13"/>
        <v>-0.50667265856641452</v>
      </c>
      <c r="AH22" s="10">
        <f t="shared" si="5"/>
        <v>1.3519402528033013</v>
      </c>
      <c r="AI22" s="10">
        <f t="shared" si="5"/>
        <v>0.84900174862192523</v>
      </c>
      <c r="AJ22" s="10">
        <f t="shared" si="14"/>
        <v>-0.50293850418137609</v>
      </c>
      <c r="AK22" s="10">
        <f t="shared" si="6"/>
        <v>6.9183004764370448E-2</v>
      </c>
      <c r="AL22" s="10">
        <f t="shared" si="15"/>
        <v>4.9730250546431209E-2</v>
      </c>
      <c r="AM22" s="10">
        <f t="shared" si="16"/>
        <v>-1.9452754217939239E-2</v>
      </c>
      <c r="AN22" s="10">
        <f t="shared" si="17"/>
        <v>6.800000000000006E-2</v>
      </c>
      <c r="AO22" s="10">
        <f t="shared" si="18"/>
        <v>4.8416000000000015E-2</v>
      </c>
      <c r="AP22" s="10">
        <f t="shared" si="19"/>
        <v>-1.9584000000000046E-2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17623161.745545954</v>
      </c>
      <c r="J23" s="7">
        <f t="shared" si="1"/>
        <v>13738439.270976117</v>
      </c>
      <c r="K23" s="7">
        <f t="shared" si="1"/>
        <v>0</v>
      </c>
      <c r="L23" s="7">
        <f t="shared" si="1"/>
        <v>0</v>
      </c>
      <c r="M23" s="7">
        <f t="shared" si="1"/>
        <v>7919726.3977575917</v>
      </c>
      <c r="N23" s="7">
        <f t="shared" si="1"/>
        <v>6017546.6517023854</v>
      </c>
      <c r="O23" s="7">
        <f t="shared" si="1"/>
        <v>0</v>
      </c>
      <c r="P23" s="7">
        <f t="shared" si="1"/>
        <v>0</v>
      </c>
      <c r="Q23" s="7">
        <f t="shared" si="1"/>
        <v>0</v>
      </c>
      <c r="R23" s="7">
        <f t="shared" si="1"/>
        <v>0</v>
      </c>
      <c r="S23" s="7">
        <f t="shared" si="1"/>
        <v>0</v>
      </c>
      <c r="T23" s="7">
        <f t="shared" si="1"/>
        <v>0</v>
      </c>
      <c r="U23" s="8">
        <f t="shared" si="7"/>
        <v>25542888.143303543</v>
      </c>
      <c r="V23" s="8">
        <f t="shared" si="7"/>
        <v>19755985.9226785</v>
      </c>
      <c r="W23" s="7">
        <f t="shared" si="2"/>
        <v>25118721.899939246</v>
      </c>
      <c r="X23" s="7">
        <f t="shared" si="2"/>
        <v>19385230.172832038</v>
      </c>
      <c r="Y23" s="10">
        <f t="shared" si="3"/>
        <v>7.051656819385882E-2</v>
      </c>
      <c r="Z23" s="10">
        <f t="shared" si="8"/>
        <v>5.1207482873468976E-2</v>
      </c>
      <c r="AA23" s="10">
        <f t="shared" si="9"/>
        <v>-1.9309085320389843E-2</v>
      </c>
      <c r="AB23" s="10">
        <f t="shared" si="10"/>
        <v>6.800000000000013E-2</v>
      </c>
      <c r="AC23" s="10">
        <f t="shared" si="11"/>
        <v>4.841600000000007E-2</v>
      </c>
      <c r="AD23" s="10">
        <f t="shared" si="12"/>
        <v>-1.958400000000006E-2</v>
      </c>
      <c r="AE23" s="10">
        <f t="shared" si="4"/>
        <v>1.5542888143303553</v>
      </c>
      <c r="AF23" s="10">
        <f t="shared" si="4"/>
        <v>0.97559859226785028</v>
      </c>
      <c r="AG23" s="10">
        <f t="shared" si="13"/>
        <v>-0.57869022206250498</v>
      </c>
      <c r="AH23" s="10">
        <f t="shared" si="5"/>
        <v>1.5118721899939258</v>
      </c>
      <c r="AI23" s="10">
        <f t="shared" si="5"/>
        <v>0.93852301728320442</v>
      </c>
      <c r="AJ23" s="10">
        <f t="shared" si="14"/>
        <v>-0.57334917271072139</v>
      </c>
      <c r="AK23" s="10">
        <f t="shared" si="6"/>
        <v>6.9278204178178315E-2</v>
      </c>
      <c r="AL23" s="10">
        <f t="shared" si="15"/>
        <v>4.9835698262586936E-2</v>
      </c>
      <c r="AM23" s="10">
        <f t="shared" si="16"/>
        <v>-1.9442505915591379E-2</v>
      </c>
      <c r="AN23" s="10">
        <f t="shared" si="17"/>
        <v>6.800000000000006E-2</v>
      </c>
      <c r="AO23" s="10">
        <f t="shared" si="18"/>
        <v>4.8416000000000015E-2</v>
      </c>
      <c r="AP23" s="10">
        <f t="shared" si="19"/>
        <v>-1.9584000000000046E-2</v>
      </c>
    </row>
    <row r="24" spans="2:42" x14ac:dyDescent="0.45">
      <c r="B24" t="s">
        <v>62</v>
      </c>
      <c r="C24" s="9">
        <f>_xlfn.XLOOKUP(C3,G:G,AE:AE)</f>
        <v>2.8578933683673555</v>
      </c>
      <c r="D24" s="9">
        <f>_xlfn.XLOOKUP(C3,G:G,AH:AH)</f>
        <v>2.7275635287089379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19033014.685189631</v>
      </c>
      <c r="J24" s="7">
        <f t="shared" si="1"/>
        <v>14575934.52893482</v>
      </c>
      <c r="K24" s="7">
        <f t="shared" si="1"/>
        <v>0</v>
      </c>
      <c r="L24" s="7">
        <f t="shared" si="1"/>
        <v>0</v>
      </c>
      <c r="M24" s="7">
        <f t="shared" si="1"/>
        <v>8315712.7176454719</v>
      </c>
      <c r="N24" s="7">
        <f t="shared" si="1"/>
        <v>6195666.0325927762</v>
      </c>
      <c r="O24" s="7">
        <f t="shared" si="1"/>
        <v>0</v>
      </c>
      <c r="P24" s="7">
        <f t="shared" si="1"/>
        <v>0</v>
      </c>
      <c r="Q24" s="7">
        <f t="shared" si="1"/>
        <v>0</v>
      </c>
      <c r="R24" s="7">
        <f t="shared" si="1"/>
        <v>0</v>
      </c>
      <c r="S24" s="7">
        <f t="shared" si="1"/>
        <v>0</v>
      </c>
      <c r="T24" s="7">
        <f t="shared" si="1"/>
        <v>0</v>
      </c>
      <c r="U24" s="8">
        <f t="shared" si="7"/>
        <v>27348727.402835101</v>
      </c>
      <c r="V24" s="8">
        <f t="shared" si="7"/>
        <v>20771600.561527595</v>
      </c>
      <c r="W24" s="7">
        <f t="shared" si="2"/>
        <v>26826794.989135116</v>
      </c>
      <c r="X24" s="7">
        <f t="shared" si="2"/>
        <v>20323785.476879876</v>
      </c>
      <c r="Y24" s="10">
        <f t="shared" si="3"/>
        <v>7.0698319211212057E-2</v>
      </c>
      <c r="Z24" s="10">
        <f t="shared" si="8"/>
        <v>5.1407945056451951E-2</v>
      </c>
      <c r="AA24" s="10">
        <f t="shared" si="9"/>
        <v>-1.9290374154760107E-2</v>
      </c>
      <c r="AB24" s="10">
        <f t="shared" si="10"/>
        <v>6.8000000000000047E-2</v>
      </c>
      <c r="AC24" s="10">
        <f t="shared" si="11"/>
        <v>4.8416000000000098E-2</v>
      </c>
      <c r="AD24" s="10">
        <f t="shared" si="12"/>
        <v>-1.9583999999999949E-2</v>
      </c>
      <c r="AE24" s="10">
        <f t="shared" si="4"/>
        <v>1.7348727402835111</v>
      </c>
      <c r="AF24" s="10">
        <f t="shared" si="4"/>
        <v>1.0771600561527599</v>
      </c>
      <c r="AG24" s="10">
        <f t="shared" si="13"/>
        <v>-0.65771268413075124</v>
      </c>
      <c r="AH24" s="10">
        <f t="shared" si="5"/>
        <v>1.682679498913513</v>
      </c>
      <c r="AI24" s="10">
        <f t="shared" si="5"/>
        <v>1.0323785476879879</v>
      </c>
      <c r="AJ24" s="10">
        <f t="shared" si="14"/>
        <v>-0.65030095122552511</v>
      </c>
      <c r="AK24" s="10">
        <f t="shared" si="6"/>
        <v>6.9372819886352133E-2</v>
      </c>
      <c r="AL24" s="10">
        <f t="shared" si="15"/>
        <v>4.9940441531412416E-2</v>
      </c>
      <c r="AM24" s="10">
        <f t="shared" si="16"/>
        <v>-1.9432378354939717E-2</v>
      </c>
      <c r="AN24" s="10">
        <f t="shared" si="17"/>
        <v>6.800000000000006E-2</v>
      </c>
      <c r="AO24" s="10">
        <f t="shared" si="18"/>
        <v>4.8416000000000015E-2</v>
      </c>
      <c r="AP24" s="10">
        <f t="shared" si="19"/>
        <v>-1.9584000000000046E-2</v>
      </c>
    </row>
    <row r="25" spans="2:42" x14ac:dyDescent="0.45">
      <c r="B25" t="s">
        <v>64</v>
      </c>
      <c r="C25" s="9">
        <f>_xlfn.XLOOKUP(C3,G:G,AF:AF)</f>
        <v>1.6762916370876297</v>
      </c>
      <c r="D25" s="9">
        <f>_xlfn.XLOOKUP(C3,G:G,AI:AI)</f>
        <v>1.5743808897071787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20555655.860004801</v>
      </c>
      <c r="J25" s="7">
        <f t="shared" si="1"/>
        <v>15464483.497818684</v>
      </c>
      <c r="K25" s="7">
        <f t="shared" si="1"/>
        <v>0</v>
      </c>
      <c r="L25" s="7">
        <f t="shared" si="1"/>
        <v>0</v>
      </c>
      <c r="M25" s="7">
        <f t="shared" si="1"/>
        <v>8731498.3535277452</v>
      </c>
      <c r="N25" s="7">
        <f t="shared" si="1"/>
        <v>6379057.7471575225</v>
      </c>
      <c r="O25" s="7">
        <f t="shared" si="1"/>
        <v>0</v>
      </c>
      <c r="P25" s="7">
        <f t="shared" si="1"/>
        <v>0</v>
      </c>
      <c r="Q25" s="7">
        <f t="shared" si="1"/>
        <v>0</v>
      </c>
      <c r="R25" s="7">
        <f t="shared" si="1"/>
        <v>0</v>
      </c>
      <c r="S25" s="7">
        <f t="shared" si="1"/>
        <v>0</v>
      </c>
      <c r="T25" s="7">
        <f t="shared" si="1"/>
        <v>0</v>
      </c>
      <c r="U25" s="8">
        <f t="shared" si="7"/>
        <v>29287154.213532545</v>
      </c>
      <c r="V25" s="8">
        <f t="shared" si="7"/>
        <v>21843541.244976208</v>
      </c>
      <c r="W25" s="7">
        <f t="shared" si="2"/>
        <v>28651017.048396304</v>
      </c>
      <c r="X25" s="7">
        <f t="shared" si="2"/>
        <v>21307781.874528494</v>
      </c>
      <c r="Y25" s="10">
        <f t="shared" si="3"/>
        <v>7.0878135649430518E-2</v>
      </c>
      <c r="Z25" s="10">
        <f t="shared" si="8"/>
        <v>5.1606070522751256E-2</v>
      </c>
      <c r="AA25" s="10">
        <f t="shared" si="9"/>
        <v>-1.9272065126679262E-2</v>
      </c>
      <c r="AB25" s="10">
        <f t="shared" si="10"/>
        <v>6.8000000000000005E-2</v>
      </c>
      <c r="AC25" s="10">
        <f t="shared" si="11"/>
        <v>4.8416000000000077E-2</v>
      </c>
      <c r="AD25" s="10">
        <f t="shared" si="12"/>
        <v>-1.9583999999999928E-2</v>
      </c>
      <c r="AE25" s="10">
        <f t="shared" si="4"/>
        <v>1.9287154213532558</v>
      </c>
      <c r="AF25" s="10">
        <f t="shared" si="4"/>
        <v>1.184354124497621</v>
      </c>
      <c r="AG25" s="10">
        <f t="shared" si="13"/>
        <v>-0.74436129685563479</v>
      </c>
      <c r="AH25" s="10">
        <f t="shared" si="5"/>
        <v>1.8651017048396321</v>
      </c>
      <c r="AI25" s="10">
        <f t="shared" si="5"/>
        <v>1.1307781874528495</v>
      </c>
      <c r="AJ25" s="10">
        <f t="shared" si="14"/>
        <v>-0.73432351738678259</v>
      </c>
      <c r="AK25" s="10">
        <f t="shared" si="6"/>
        <v>6.9466840098542759E-2</v>
      </c>
      <c r="AL25" s="10">
        <f t="shared" si="15"/>
        <v>5.0044466009721011E-2</v>
      </c>
      <c r="AM25" s="10">
        <f t="shared" si="16"/>
        <v>-1.9422374088821748E-2</v>
      </c>
      <c r="AN25" s="10">
        <f t="shared" si="17"/>
        <v>6.800000000000006E-2</v>
      </c>
      <c r="AO25" s="10">
        <f t="shared" si="18"/>
        <v>4.8416000000000015E-2</v>
      </c>
      <c r="AP25" s="10">
        <f t="shared" si="19"/>
        <v>-1.9584000000000046E-2</v>
      </c>
    </row>
    <row r="26" spans="2:42" x14ac:dyDescent="0.45">
      <c r="B26" t="s">
        <v>63</v>
      </c>
      <c r="C26" s="9">
        <f>_xlfn.XLOOKUP(C3,G:G,AG:AG)</f>
        <v>-1.1816017312797258</v>
      </c>
      <c r="D26" s="9">
        <f>_xlfn.XLOOKUP(C3,G:G,AJ:AJ)</f>
        <v>-1.1531826390017592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22200108.328805186</v>
      </c>
      <c r="J26" s="7">
        <f t="shared" si="1"/>
        <v>16407198.41184571</v>
      </c>
      <c r="K26" s="7">
        <f t="shared" si="1"/>
        <v>0</v>
      </c>
      <c r="L26" s="7">
        <f t="shared" si="1"/>
        <v>0</v>
      </c>
      <c r="M26" s="7">
        <f t="shared" si="1"/>
        <v>9168073.2712041326</v>
      </c>
      <c r="N26" s="7">
        <f t="shared" si="1"/>
        <v>6567877.8564733854</v>
      </c>
      <c r="O26" s="7">
        <f t="shared" si="1"/>
        <v>0</v>
      </c>
      <c r="P26" s="7">
        <f t="shared" si="1"/>
        <v>0</v>
      </c>
      <c r="Q26" s="7">
        <f t="shared" si="1"/>
        <v>0</v>
      </c>
      <c r="R26" s="7">
        <f t="shared" si="1"/>
        <v>0</v>
      </c>
      <c r="S26" s="7">
        <f t="shared" si="1"/>
        <v>0</v>
      </c>
      <c r="T26" s="7">
        <f t="shared" si="1"/>
        <v>0</v>
      </c>
      <c r="U26" s="8">
        <f t="shared" si="7"/>
        <v>31368181.600009318</v>
      </c>
      <c r="V26" s="8">
        <f t="shared" si="7"/>
        <v>22975076.268319096</v>
      </c>
      <c r="W26" s="7">
        <f t="shared" ref="W26:X41" si="20">IF($G26="","",IF($G26=1,(($C$2+$H26)*W$3)*(1+(W$4-W$5)),((W25+($H26*W$3))*(1+(W$4-W$5)))))</f>
        <v>30599286.207687255</v>
      </c>
      <c r="X26" s="7">
        <f t="shared" si="20"/>
        <v>22339419.441765666</v>
      </c>
      <c r="Y26" s="10">
        <f t="shared" si="3"/>
        <v>7.1055978034055819E-2</v>
      </c>
      <c r="Z26" s="10">
        <f t="shared" si="8"/>
        <v>5.1801812290996105E-2</v>
      </c>
      <c r="AA26" s="10">
        <f t="shared" si="9"/>
        <v>-1.9254165743059715E-2</v>
      </c>
      <c r="AB26" s="10">
        <f t="shared" si="10"/>
        <v>6.8000000000000074E-2</v>
      </c>
      <c r="AC26" s="10">
        <f t="shared" si="11"/>
        <v>4.8416000000000035E-2</v>
      </c>
      <c r="AD26" s="10">
        <f t="shared" si="12"/>
        <v>-1.9584000000000039E-2</v>
      </c>
      <c r="AE26" s="10">
        <f t="shared" ref="AE26:AF41" si="21">IF($G26="","",IF($G26=1,Y26,(1+Y26)*(1+AE25)-1))</f>
        <v>2.1368181600009333</v>
      </c>
      <c r="AF26" s="10">
        <f t="shared" si="21"/>
        <v>1.2975076268319099</v>
      </c>
      <c r="AG26" s="10">
        <f t="shared" si="13"/>
        <v>-0.83931053316902338</v>
      </c>
      <c r="AH26" s="10">
        <f t="shared" ref="AH26:AI41" si="22">IF($G26="","",IF($G26=1,AB26,(1+AB26)*(1+AH25)-1))</f>
        <v>2.0599286207687273</v>
      </c>
      <c r="AI26" s="10">
        <f t="shared" si="22"/>
        <v>1.2339419441765669</v>
      </c>
      <c r="AJ26" s="10">
        <f t="shared" si="14"/>
        <v>-0.82598667659216041</v>
      </c>
      <c r="AK26" s="10">
        <f t="shared" si="6"/>
        <v>6.9560253497997326E-2</v>
      </c>
      <c r="AL26" s="10">
        <f t="shared" si="15"/>
        <v>5.0147757994430053E-2</v>
      </c>
      <c r="AM26" s="10">
        <f t="shared" si="16"/>
        <v>-1.9412495503567273E-2</v>
      </c>
      <c r="AN26" s="10">
        <f t="shared" si="17"/>
        <v>6.800000000000006E-2</v>
      </c>
      <c r="AO26" s="10">
        <f t="shared" si="18"/>
        <v>4.8416000000000015E-2</v>
      </c>
      <c r="AP26" s="10">
        <f t="shared" si="19"/>
        <v>-1.9584000000000046E-2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23976116.995109603</v>
      </c>
      <c r="J27" s="7">
        <f t="shared" si="1"/>
        <v>17407381.227031823</v>
      </c>
      <c r="K27" s="7">
        <f t="shared" si="1"/>
        <v>0</v>
      </c>
      <c r="L27" s="7">
        <f t="shared" si="1"/>
        <v>0</v>
      </c>
      <c r="M27" s="7">
        <f t="shared" si="1"/>
        <v>9626476.9347643405</v>
      </c>
      <c r="N27" s="7">
        <f t="shared" si="1"/>
        <v>6762287.0410249978</v>
      </c>
      <c r="O27" s="7">
        <f t="shared" si="1"/>
        <v>0</v>
      </c>
      <c r="P27" s="7">
        <f t="shared" si="1"/>
        <v>0</v>
      </c>
      <c r="Q27" s="7">
        <f t="shared" si="1"/>
        <v>0</v>
      </c>
      <c r="R27" s="7">
        <f t="shared" si="1"/>
        <v>0</v>
      </c>
      <c r="S27" s="7">
        <f t="shared" si="1"/>
        <v>0</v>
      </c>
      <c r="T27" s="7">
        <f t="shared" si="1"/>
        <v>0</v>
      </c>
      <c r="U27" s="8">
        <f t="shared" si="7"/>
        <v>33602593.929873943</v>
      </c>
      <c r="V27" s="8">
        <f t="shared" si="7"/>
        <v>24169668.268056821</v>
      </c>
      <c r="W27" s="7">
        <f t="shared" si="20"/>
        <v>32680037.66980999</v>
      </c>
      <c r="X27" s="7">
        <f t="shared" si="20"/>
        <v>23421004.773458194</v>
      </c>
      <c r="Y27" s="10">
        <f t="shared" si="3"/>
        <v>7.1231809301434329E-2</v>
      </c>
      <c r="Z27" s="10">
        <f t="shared" si="8"/>
        <v>5.1995126622712336E-2</v>
      </c>
      <c r="AA27" s="10">
        <f t="shared" si="9"/>
        <v>-1.9236682678721993E-2</v>
      </c>
      <c r="AB27" s="10">
        <f t="shared" si="10"/>
        <v>6.8000000000000047E-2</v>
      </c>
      <c r="AC27" s="10">
        <f t="shared" si="11"/>
        <v>4.841600000000007E-2</v>
      </c>
      <c r="AD27" s="10">
        <f t="shared" si="12"/>
        <v>-1.9583999999999976E-2</v>
      </c>
      <c r="AE27" s="10">
        <f t="shared" si="21"/>
        <v>2.3602593929873961</v>
      </c>
      <c r="AF27" s="10">
        <f t="shared" si="21"/>
        <v>1.4169668268056825</v>
      </c>
      <c r="AG27" s="10">
        <f t="shared" si="13"/>
        <v>-0.94329256618171353</v>
      </c>
      <c r="AH27" s="10">
        <f t="shared" si="22"/>
        <v>2.2680037669810011</v>
      </c>
      <c r="AI27" s="10">
        <f t="shared" si="22"/>
        <v>1.3421004773458196</v>
      </c>
      <c r="AJ27" s="10">
        <f t="shared" si="14"/>
        <v>-0.92590328963518154</v>
      </c>
      <c r="AK27" s="10">
        <f t="shared" si="6"/>
        <v>6.9653049243957321E-2</v>
      </c>
      <c r="AL27" s="10">
        <f t="shared" si="15"/>
        <v>5.0250304424858339E-2</v>
      </c>
      <c r="AM27" s="10">
        <f t="shared" si="16"/>
        <v>-1.9402744819098983E-2</v>
      </c>
      <c r="AN27" s="10">
        <f t="shared" si="17"/>
        <v>6.800000000000006E-2</v>
      </c>
      <c r="AO27" s="10">
        <f t="shared" si="18"/>
        <v>4.8416000000000015E-2</v>
      </c>
      <c r="AP27" s="10">
        <f t="shared" si="19"/>
        <v>-1.9584000000000046E-2</v>
      </c>
    </row>
    <row r="28" spans="2:42" x14ac:dyDescent="0.45">
      <c r="B28" t="s">
        <v>65</v>
      </c>
      <c r="C28" s="9">
        <f>_xlfn.XLOOKUP(C3,G:G,AK:AK)</f>
        <v>6.983674680110119E-2</v>
      </c>
      <c r="D28" s="9">
        <f>_xlfn.XLOOKUP(C3,G:G,AN:AN)</f>
        <v>6.800000000000006E-2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25894206.354718372</v>
      </c>
      <c r="J28" s="7">
        <f t="shared" si="1"/>
        <v>18468535.186631683</v>
      </c>
      <c r="K28" s="7">
        <f t="shared" si="1"/>
        <v>0</v>
      </c>
      <c r="L28" s="7">
        <f t="shared" si="1"/>
        <v>0</v>
      </c>
      <c r="M28" s="7">
        <f t="shared" si="1"/>
        <v>10107800.781502558</v>
      </c>
      <c r="N28" s="7">
        <f t="shared" si="1"/>
        <v>6962450.7374393381</v>
      </c>
      <c r="O28" s="7">
        <f t="shared" si="1"/>
        <v>0</v>
      </c>
      <c r="P28" s="7">
        <f t="shared" si="1"/>
        <v>0</v>
      </c>
      <c r="Q28" s="7">
        <f t="shared" si="1"/>
        <v>0</v>
      </c>
      <c r="R28" s="7">
        <f t="shared" si="1"/>
        <v>0</v>
      </c>
      <c r="S28" s="7">
        <f t="shared" si="1"/>
        <v>0</v>
      </c>
      <c r="T28" s="7">
        <f t="shared" si="1"/>
        <v>0</v>
      </c>
      <c r="U28" s="8">
        <f t="shared" si="7"/>
        <v>36002007.136220932</v>
      </c>
      <c r="V28" s="8">
        <f t="shared" si="7"/>
        <v>25430985.924071021</v>
      </c>
      <c r="W28" s="7">
        <f t="shared" si="20"/>
        <v>34902280.231357068</v>
      </c>
      <c r="X28" s="7">
        <f t="shared" si="20"/>
        <v>24554956.140569948</v>
      </c>
      <c r="Y28" s="10">
        <f t="shared" si="3"/>
        <v>7.1405594798853375E-2</v>
      </c>
      <c r="Z28" s="10">
        <f t="shared" si="8"/>
        <v>5.2185973014829759E-2</v>
      </c>
      <c r="AA28" s="10">
        <f t="shared" si="9"/>
        <v>-1.9219621784023616E-2</v>
      </c>
      <c r="AB28" s="10">
        <f t="shared" si="10"/>
        <v>6.7999999999999963E-2</v>
      </c>
      <c r="AC28" s="10">
        <f t="shared" si="11"/>
        <v>4.8416000000000077E-2</v>
      </c>
      <c r="AD28" s="10">
        <f t="shared" si="12"/>
        <v>-1.9583999999999886E-2</v>
      </c>
      <c r="AE28" s="10">
        <f t="shared" si="21"/>
        <v>2.6002007136220953</v>
      </c>
      <c r="AF28" s="10">
        <f t="shared" si="21"/>
        <v>1.5430985924071026</v>
      </c>
      <c r="AG28" s="10">
        <f t="shared" si="13"/>
        <v>-1.0571021212149927</v>
      </c>
      <c r="AH28" s="10">
        <f t="shared" si="22"/>
        <v>2.4902280231357095</v>
      </c>
      <c r="AI28" s="10">
        <f t="shared" si="22"/>
        <v>1.455495614056995</v>
      </c>
      <c r="AJ28" s="10">
        <f t="shared" si="14"/>
        <v>-1.0347324090787144</v>
      </c>
      <c r="AK28" s="10">
        <f t="shared" si="6"/>
        <v>6.9745216973252422E-2</v>
      </c>
      <c r="AL28" s="10">
        <f t="shared" si="15"/>
        <v>5.0352092883820143E-2</v>
      </c>
      <c r="AM28" s="10">
        <f t="shared" si="16"/>
        <v>-1.9393124089432279E-2</v>
      </c>
      <c r="AN28" s="10">
        <f t="shared" si="17"/>
        <v>6.800000000000006E-2</v>
      </c>
      <c r="AO28" s="10">
        <f t="shared" si="18"/>
        <v>4.8416000000000015E-2</v>
      </c>
      <c r="AP28" s="10">
        <f t="shared" si="19"/>
        <v>-1.9584000000000046E-2</v>
      </c>
    </row>
    <row r="29" spans="2:42" x14ac:dyDescent="0.45">
      <c r="B29" t="s">
        <v>66</v>
      </c>
      <c r="C29" s="9">
        <f>_xlfn.XLOOKUP(C3,G:G,AL:AL)</f>
        <v>5.0453111597547506E-2</v>
      </c>
      <c r="D29" s="9">
        <f>_xlfn.XLOOKUP(C3,G:G,AO:AO)</f>
        <v>4.8416000000000015E-2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27965742.863095842</v>
      </c>
      <c r="J29" s="7">
        <f t="shared" si="1"/>
        <v>19594377.091608748</v>
      </c>
      <c r="K29" s="7">
        <f t="shared" si="1"/>
        <v>0</v>
      </c>
      <c r="L29" s="7">
        <f t="shared" si="1"/>
        <v>0</v>
      </c>
      <c r="M29" s="7">
        <f t="shared" si="1"/>
        <v>10613190.820577687</v>
      </c>
      <c r="N29" s="7">
        <f t="shared" si="1"/>
        <v>7168539.279267543</v>
      </c>
      <c r="O29" s="7">
        <f t="shared" si="1"/>
        <v>0</v>
      </c>
      <c r="P29" s="7">
        <f t="shared" si="1"/>
        <v>0</v>
      </c>
      <c r="Q29" s="7">
        <f t="shared" si="1"/>
        <v>0</v>
      </c>
      <c r="R29" s="7">
        <f t="shared" si="1"/>
        <v>0</v>
      </c>
      <c r="S29" s="7">
        <f t="shared" si="1"/>
        <v>0</v>
      </c>
      <c r="T29" s="7">
        <f t="shared" si="1"/>
        <v>0</v>
      </c>
      <c r="U29" s="8">
        <f t="shared" si="7"/>
        <v>38578933.683673531</v>
      </c>
      <c r="V29" s="8">
        <f t="shared" si="7"/>
        <v>26762916.37087629</v>
      </c>
      <c r="W29" s="7">
        <f t="shared" si="20"/>
        <v>37275635.287089348</v>
      </c>
      <c r="X29" s="7">
        <f t="shared" si="20"/>
        <v>25743808.897071782</v>
      </c>
      <c r="Y29" s="10">
        <f t="shared" si="3"/>
        <v>7.1577302279349928E-2</v>
      </c>
      <c r="Z29" s="10">
        <f t="shared" si="8"/>
        <v>5.2374314184357486E-2</v>
      </c>
      <c r="AA29" s="10">
        <f t="shared" si="9"/>
        <v>-1.9202988094992442E-2</v>
      </c>
      <c r="AB29" s="10">
        <f t="shared" si="10"/>
        <v>6.7999999999999977E-2</v>
      </c>
      <c r="AC29" s="10">
        <f t="shared" si="11"/>
        <v>4.8416000000000008E-2</v>
      </c>
      <c r="AD29" s="10">
        <f t="shared" si="12"/>
        <v>-1.9583999999999969E-2</v>
      </c>
      <c r="AE29" s="10">
        <f t="shared" si="21"/>
        <v>2.8578933683673555</v>
      </c>
      <c r="AF29" s="10">
        <f t="shared" si="21"/>
        <v>1.6762916370876297</v>
      </c>
      <c r="AG29" s="10">
        <f t="shared" si="13"/>
        <v>-1.1816017312797258</v>
      </c>
      <c r="AH29" s="10">
        <f t="shared" si="22"/>
        <v>2.7275635287089379</v>
      </c>
      <c r="AI29" s="10">
        <f t="shared" si="22"/>
        <v>1.5743808897071787</v>
      </c>
      <c r="AJ29" s="10">
        <f t="shared" si="14"/>
        <v>-1.1531826390017592</v>
      </c>
      <c r="AK29" s="10">
        <f t="shared" si="6"/>
        <v>6.983674680110119E-2</v>
      </c>
      <c r="AL29" s="10">
        <f t="shared" si="15"/>
        <v>5.0453111597547506E-2</v>
      </c>
      <c r="AM29" s="10">
        <f t="shared" si="16"/>
        <v>-1.9383635203553684E-2</v>
      </c>
      <c r="AN29" s="10">
        <f t="shared" si="17"/>
        <v>6.800000000000006E-2</v>
      </c>
      <c r="AO29" s="10">
        <f t="shared" si="18"/>
        <v>4.8416000000000015E-2</v>
      </c>
      <c r="AP29" s="10">
        <f t="shared" si="19"/>
        <v>-1.9584000000000046E-2</v>
      </c>
    </row>
    <row r="30" spans="2:42" x14ac:dyDescent="0.45">
      <c r="B30" t="s">
        <v>67</v>
      </c>
      <c r="C30" s="9">
        <f>_xlfn.XLOOKUP(C3,G:G,AM:AM)</f>
        <v>-1.9383635203553684E-2</v>
      </c>
      <c r="D30" s="9">
        <f>_xlfn.XLOOKUP(C3,G:G,AP:AP)</f>
        <v>-1.9584000000000046E-2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48" priority="1" operator="equal">
      <formula>"Error"</formula>
    </cfRule>
    <cfRule type="cellIs" dxfId="47" priority="2" operator="equal">
      <formula>"GOOD"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E3A6-E646-469B-A48C-3F442474FBD9}">
  <sheetPr>
    <tabColor theme="3" tint="0.249977111117893"/>
  </sheetPr>
  <dimension ref="B1:AP109"/>
  <sheetViews>
    <sheetView workbookViewId="0">
      <selection activeCell="D10" sqref="D10:E10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Page!C3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Page!C4</f>
        <v>20</v>
      </c>
      <c r="H3" s="1" t="s">
        <v>12</v>
      </c>
      <c r="I3" s="10">
        <f>$D$7*(1-$E$7)</f>
        <v>0.48</v>
      </c>
      <c r="J3" s="10">
        <f>$D$7*(1-$E$7)</f>
        <v>0.48</v>
      </c>
      <c r="K3" s="10">
        <f>$D$7*$E$7</f>
        <v>0.12</v>
      </c>
      <c r="L3" s="10">
        <f>$D$7*$E$7</f>
        <v>0.12</v>
      </c>
      <c r="M3" s="10">
        <f>$D$8*(1-$E$8)</f>
        <v>0.32000000000000006</v>
      </c>
      <c r="N3" s="10">
        <f>$D$8*(1-$E$8)</f>
        <v>0.32000000000000006</v>
      </c>
      <c r="O3" s="10">
        <f>$D$8*$E$8</f>
        <v>8.0000000000000016E-2</v>
      </c>
      <c r="P3" s="10">
        <f>$D$8*$E$8</f>
        <v>8.0000000000000016E-2</v>
      </c>
      <c r="Q3" s="10">
        <f>$D$9*(1-$E$9)</f>
        <v>0</v>
      </c>
      <c r="R3" s="10">
        <f>$D$9*(1-$E$9)</f>
        <v>0</v>
      </c>
      <c r="S3" s="10">
        <f>$D$9*$E$9</f>
        <v>0</v>
      </c>
      <c r="T3" s="10">
        <f>$D$9*$E$9</f>
        <v>0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6.8000000000000005E-2</v>
      </c>
      <c r="X4" s="10">
        <f>SUMPRODUCT(I3:T3,I4:T4)/2</f>
        <v>6.8000000000000005E-2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23">
        <v>0</v>
      </c>
      <c r="J5" s="10">
        <f>$C$7*($C$15+$C$16)</f>
        <v>1.9040000000000001E-2</v>
      </c>
      <c r="K5" s="23">
        <v>0</v>
      </c>
      <c r="L5" s="10">
        <f>$C$11</f>
        <v>5.0000000000000001E-3</v>
      </c>
      <c r="M5" s="23">
        <v>0</v>
      </c>
      <c r="N5" s="10">
        <f>$C$8*($C$14+$C$16)</f>
        <v>2.0400000000000001E-2</v>
      </c>
      <c r="O5" s="23">
        <v>0</v>
      </c>
      <c r="P5" s="10">
        <f>$C$11</f>
        <v>5.0000000000000001E-3</v>
      </c>
      <c r="Q5" s="23">
        <v>0</v>
      </c>
      <c r="R5" s="10">
        <f>(50%*$C$9*($C$14+$C$16))+(50%*$C$9*($C$15+$C$16))</f>
        <v>2.5839999999999998E-2</v>
      </c>
      <c r="S5" s="23">
        <v>0</v>
      </c>
      <c r="T5" s="10">
        <f>$C$11</f>
        <v>5.0000000000000001E-3</v>
      </c>
      <c r="V5" s="10"/>
      <c r="W5" s="23">
        <v>0</v>
      </c>
      <c r="X5" s="10">
        <f>SUMPRODUCT(J3:T3,J5:T5)</f>
        <v>1.6667200000000004E-2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Page!C12</f>
        <v>0.08</v>
      </c>
      <c r="D7" s="18">
        <v>0.6</v>
      </c>
      <c r="E7" s="18">
        <v>0.2</v>
      </c>
      <c r="U7" s="83" t="s">
        <v>76</v>
      </c>
      <c r="V7" s="83" t="s">
        <v>76</v>
      </c>
      <c r="W7" s="84" t="s">
        <v>77</v>
      </c>
      <c r="X7" s="84" t="s">
        <v>77</v>
      </c>
      <c r="Y7" s="83" t="s">
        <v>76</v>
      </c>
      <c r="Z7" s="83" t="s">
        <v>76</v>
      </c>
      <c r="AA7" s="83" t="s">
        <v>76</v>
      </c>
      <c r="AB7" s="84" t="s">
        <v>77</v>
      </c>
      <c r="AC7" s="84" t="s">
        <v>77</v>
      </c>
      <c r="AD7" s="84" t="s">
        <v>77</v>
      </c>
      <c r="AE7" s="83" t="s">
        <v>76</v>
      </c>
      <c r="AF7" s="83" t="s">
        <v>76</v>
      </c>
      <c r="AG7" s="83" t="s">
        <v>76</v>
      </c>
      <c r="AH7" s="84" t="s">
        <v>77</v>
      </c>
      <c r="AI7" s="84" t="s">
        <v>77</v>
      </c>
      <c r="AJ7" s="84" t="s">
        <v>77</v>
      </c>
      <c r="AK7" s="83" t="s">
        <v>76</v>
      </c>
      <c r="AL7" s="83" t="s">
        <v>76</v>
      </c>
      <c r="AM7" s="83" t="s">
        <v>76</v>
      </c>
      <c r="AN7" s="84" t="s">
        <v>77</v>
      </c>
      <c r="AO7" s="84" t="s">
        <v>77</v>
      </c>
      <c r="AP7" s="84" t="s">
        <v>77</v>
      </c>
    </row>
    <row r="8" spans="2:42" x14ac:dyDescent="0.45">
      <c r="B8" t="s">
        <v>1</v>
      </c>
      <c r="C8" s="4">
        <f>Page!C13</f>
        <v>0.05</v>
      </c>
      <c r="D8" s="18">
        <v>0.4</v>
      </c>
      <c r="E8" s="18">
        <v>0.2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Page!C14</f>
        <v>0.08</v>
      </c>
      <c r="D9" s="18">
        <v>0</v>
      </c>
      <c r="E9" s="18">
        <v>0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5184000</v>
      </c>
      <c r="J10" s="7">
        <f t="shared" si="1"/>
        <v>5092608</v>
      </c>
      <c r="K10" s="7">
        <f t="shared" si="1"/>
        <v>1296000</v>
      </c>
      <c r="L10" s="7">
        <f t="shared" si="1"/>
        <v>1290000</v>
      </c>
      <c r="M10" s="7">
        <f t="shared" si="1"/>
        <v>3360000.0000000005</v>
      </c>
      <c r="N10" s="7">
        <f t="shared" si="1"/>
        <v>3294720.0000000009</v>
      </c>
      <c r="O10" s="7">
        <f t="shared" si="1"/>
        <v>840000.00000000012</v>
      </c>
      <c r="P10" s="7">
        <f t="shared" si="1"/>
        <v>836000.00000000012</v>
      </c>
      <c r="Q10" s="7">
        <f t="shared" si="1"/>
        <v>0</v>
      </c>
      <c r="R10" s="7">
        <f t="shared" si="1"/>
        <v>0</v>
      </c>
      <c r="S10" s="7">
        <f t="shared" si="1"/>
        <v>0</v>
      </c>
      <c r="T10" s="7">
        <f t="shared" si="1"/>
        <v>0</v>
      </c>
      <c r="U10" s="8">
        <f>IF(G10="","",SUM(I10,K10,M10,O10,Q10,S10))</f>
        <v>10680000</v>
      </c>
      <c r="V10" s="8">
        <f>IF(H10="","",SUM(J10,L10,N10,P10,R10,T10))</f>
        <v>10513328</v>
      </c>
      <c r="W10" s="7">
        <f t="shared" ref="W10:X25" si="2">IF($G10="","",IF($G10=1,(($C$2+$H10)*W$3)*(1+(W$4-W$5)),((W9+($H10*W$3))*(1+(W$4-W$5)))))</f>
        <v>10680000</v>
      </c>
      <c r="X10" s="7">
        <f t="shared" si="2"/>
        <v>10513328</v>
      </c>
      <c r="Y10" s="10">
        <f t="shared" ref="Y10:Y73" si="3">IF($G10="","",IF($G10=1,(U10-$C$2-H10)/($C$2+H10),(U10-U9-H10)/(U9+H10)))</f>
        <v>6.8000000000000005E-2</v>
      </c>
      <c r="Z10" s="10">
        <f>IF($G10="","",IF($G10=1,(V10-$C$2-H10)/($C$2+H10),(V10-V9-H10)/(V9+H10)))</f>
        <v>5.1332799999999998E-2</v>
      </c>
      <c r="AA10" s="10">
        <f>IF($G10="","",Z10-Y10)</f>
        <v>-1.6667200000000007E-2</v>
      </c>
      <c r="AB10" s="10">
        <f>IF($G10="","",IF($G10=1,(W10-$C$2-H10)/($C$2+H10),(W10-W9-H10)/(W9+H10)))</f>
        <v>6.8000000000000005E-2</v>
      </c>
      <c r="AC10" s="10">
        <f>IF($G10="","",IF($G10=1,(X10-$C$2-H10)/($C$2+H10),(X10-X9-H10)/(X9+H10)))</f>
        <v>5.1332799999999998E-2</v>
      </c>
      <c r="AD10" s="10">
        <f>IF($G10="","",AC10-AB10)</f>
        <v>-1.6667200000000007E-2</v>
      </c>
      <c r="AE10" s="10">
        <f t="shared" ref="AE10:AF25" si="4">IF($G10="","",IF($G10=1,Y10,(1+Y10)*(1+AE9)-1))</f>
        <v>6.8000000000000005E-2</v>
      </c>
      <c r="AF10" s="10">
        <f t="shared" si="4"/>
        <v>5.1332799999999998E-2</v>
      </c>
      <c r="AG10" s="10">
        <f>IF($G10="","",AF10-AE10)</f>
        <v>-1.6667200000000007E-2</v>
      </c>
      <c r="AH10" s="10">
        <f t="shared" ref="AH10:AI25" si="5">IF($G10="","",IF($G10=1,AB10,(1+AB10)*(1+AH9)-1))</f>
        <v>6.8000000000000005E-2</v>
      </c>
      <c r="AI10" s="10">
        <f t="shared" si="5"/>
        <v>5.1332799999999998E-2</v>
      </c>
      <c r="AJ10" s="10">
        <f>IF($G10="","",AI10-AH10)</f>
        <v>-1.6667200000000007E-2</v>
      </c>
      <c r="AK10" s="10">
        <f t="shared" ref="AK10:AK73" si="6">IF($G10="","",(1+AE10)^(1/G10)-1)</f>
        <v>6.800000000000006E-2</v>
      </c>
      <c r="AL10" s="10">
        <f>IF($G10="","",(1+AF10)^(1/G10)-1)</f>
        <v>5.1332799999999956E-2</v>
      </c>
      <c r="AM10" s="10">
        <f>IF($G10="","",AL10-AK10)</f>
        <v>-1.6667200000000104E-2</v>
      </c>
      <c r="AN10" s="10">
        <f>IF($G10="","",(1+AH10)^(1/G10)-1)</f>
        <v>6.800000000000006E-2</v>
      </c>
      <c r="AO10" s="10">
        <f>IF($G10="","",(1+AI10)^(1/G10)-1)</f>
        <v>5.1332799999999956E-2</v>
      </c>
      <c r="AP10" s="10">
        <f>IF($G10="","",AO10-AN10)</f>
        <v>-1.6667200000000104E-2</v>
      </c>
    </row>
    <row r="11" spans="2:42" x14ac:dyDescent="0.45">
      <c r="B11" t="s">
        <v>5</v>
      </c>
      <c r="C11" s="4">
        <f>Page!C27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5598720</v>
      </c>
      <c r="J11" s="7">
        <f t="shared" si="1"/>
        <v>5403053.38368</v>
      </c>
      <c r="K11" s="7">
        <f t="shared" si="1"/>
        <v>1399680</v>
      </c>
      <c r="L11" s="7">
        <f t="shared" si="1"/>
        <v>1386750</v>
      </c>
      <c r="M11" s="7">
        <f t="shared" si="1"/>
        <v>3528000.0000000005</v>
      </c>
      <c r="N11" s="7">
        <f t="shared" si="1"/>
        <v>3392243.7120000012</v>
      </c>
      <c r="O11" s="7">
        <f t="shared" si="1"/>
        <v>882000.00000000012</v>
      </c>
      <c r="P11" s="7">
        <f t="shared" si="1"/>
        <v>873620.00000000012</v>
      </c>
      <c r="Q11" s="7">
        <f t="shared" si="1"/>
        <v>0</v>
      </c>
      <c r="R11" s="7">
        <f t="shared" si="1"/>
        <v>0</v>
      </c>
      <c r="S11" s="7">
        <f t="shared" si="1"/>
        <v>0</v>
      </c>
      <c r="T11" s="7">
        <f t="shared" si="1"/>
        <v>0</v>
      </c>
      <c r="U11" s="8">
        <f t="shared" ref="U11:V74" si="7">IF(G11="","",SUM(I11,K11,M11,O11,Q11,S11))</f>
        <v>11408400</v>
      </c>
      <c r="V11" s="8">
        <f t="shared" si="7"/>
        <v>11055667.095680002</v>
      </c>
      <c r="W11" s="7">
        <f t="shared" si="2"/>
        <v>11406240</v>
      </c>
      <c r="X11" s="7">
        <f t="shared" si="2"/>
        <v>11053006.5635584</v>
      </c>
      <c r="Y11" s="10">
        <f t="shared" si="3"/>
        <v>6.8202247191011242E-2</v>
      </c>
      <c r="Z11" s="10">
        <f t="shared" ref="Z11:Z74" si="8">IF($G11="","",IF($G11=1,(V11-$C$2-H11)/($C$2+H11),(V11-V10-H11)/(V10+H11)))</f>
        <v>5.1585862790545688E-2</v>
      </c>
      <c r="AA11" s="10">
        <f t="shared" ref="AA11:AA74" si="9">IF($G11="","",Z11-Y11)</f>
        <v>-1.6616384400465554E-2</v>
      </c>
      <c r="AB11" s="10">
        <f t="shared" ref="AB11:AB74" si="10">IF($G11="","",IF($G11=1,(W11-$C$2-H11)/($C$2+H11),(W11-W10-H11)/(W10+H11)))</f>
        <v>6.8000000000000005E-2</v>
      </c>
      <c r="AC11" s="10">
        <f t="shared" ref="AC11:AC74" si="11">IF($G11="","",IF($G11=1,(X11-$C$2-H11)/($C$2+H11),(X11-X10-H11)/(X10+H11)))</f>
        <v>5.133279999999997E-2</v>
      </c>
      <c r="AD11" s="10">
        <f t="shared" ref="AD11:AD74" si="12">IF($G11="","",AC11-AB11)</f>
        <v>-1.6667200000000035E-2</v>
      </c>
      <c r="AE11" s="10">
        <f t="shared" si="4"/>
        <v>0.14084000000000008</v>
      </c>
      <c r="AF11" s="10">
        <f t="shared" si="4"/>
        <v>0.10556670956800018</v>
      </c>
      <c r="AG11" s="10">
        <f t="shared" ref="AG11:AG74" si="13">IF($G11="","",AF11-AE11)</f>
        <v>-3.5273290431999893E-2</v>
      </c>
      <c r="AH11" s="10">
        <f t="shared" si="5"/>
        <v>0.14062400000000008</v>
      </c>
      <c r="AI11" s="10">
        <f t="shared" si="5"/>
        <v>0.10530065635583985</v>
      </c>
      <c r="AJ11" s="10">
        <f t="shared" ref="AJ11:AJ74" si="14">IF($G11="","",AI11-AH11)</f>
        <v>-3.5323343644160232E-2</v>
      </c>
      <c r="AK11" s="10">
        <f t="shared" si="6"/>
        <v>6.8101118808514327E-2</v>
      </c>
      <c r="AL11" s="10">
        <f t="shared" ref="AL11:AL74" si="15">IF($G11="","",(1+AF11)^(1/G11)-1)</f>
        <v>5.1459323781952282E-2</v>
      </c>
      <c r="AM11" s="10">
        <f t="shared" ref="AM11:AM74" si="16">IF($G11="","",AL11-AK11)</f>
        <v>-1.6641795026562045E-2</v>
      </c>
      <c r="AN11" s="10">
        <f t="shared" ref="AN11:AN74" si="17">IF($G11="","",(1+AH11)^(1/G11)-1)</f>
        <v>6.800000000000006E-2</v>
      </c>
      <c r="AO11" s="10">
        <f t="shared" ref="AO11:AO74" si="18">IF($G11="","",(1+AI11)^(1/G11)-1)</f>
        <v>5.1332799999999956E-2</v>
      </c>
      <c r="AP11" s="10">
        <f t="shared" ref="AP11:AP74" si="19">IF($G11="","",AO11-AN11)</f>
        <v>-1.6667200000000104E-2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6046617.6000000006</v>
      </c>
      <c r="J12" s="7">
        <f t="shared" si="1"/>
        <v>5732423.5179491322</v>
      </c>
      <c r="K12" s="7">
        <f t="shared" si="1"/>
        <v>1511654.4000000001</v>
      </c>
      <c r="L12" s="7">
        <f t="shared" si="1"/>
        <v>1490756.25</v>
      </c>
      <c r="M12" s="7">
        <f t="shared" si="1"/>
        <v>3704400.0000000005</v>
      </c>
      <c r="N12" s="7">
        <f t="shared" si="1"/>
        <v>3492654.1258752015</v>
      </c>
      <c r="O12" s="7">
        <f t="shared" si="1"/>
        <v>926100.00000000012</v>
      </c>
      <c r="P12" s="7">
        <f t="shared" si="1"/>
        <v>912932.9</v>
      </c>
      <c r="Q12" s="7">
        <f t="shared" si="1"/>
        <v>0</v>
      </c>
      <c r="R12" s="7">
        <f t="shared" si="1"/>
        <v>0</v>
      </c>
      <c r="S12" s="7">
        <f t="shared" si="1"/>
        <v>0</v>
      </c>
      <c r="T12" s="7">
        <f t="shared" si="1"/>
        <v>0</v>
      </c>
      <c r="U12" s="8">
        <f t="shared" si="7"/>
        <v>12188772.000000002</v>
      </c>
      <c r="V12" s="8">
        <f t="shared" si="7"/>
        <v>11628766.793824334</v>
      </c>
      <c r="W12" s="7">
        <f t="shared" si="2"/>
        <v>12181864.32</v>
      </c>
      <c r="X12" s="7">
        <f t="shared" si="2"/>
        <v>11620388.338884231</v>
      </c>
      <c r="Y12" s="10">
        <f t="shared" si="3"/>
        <v>6.8403281792363685E-2</v>
      </c>
      <c r="Z12" s="10">
        <f t="shared" si="8"/>
        <v>5.1837640658361543E-2</v>
      </c>
      <c r="AA12" s="10">
        <f t="shared" si="9"/>
        <v>-1.6565641134002142E-2</v>
      </c>
      <c r="AB12" s="10">
        <f t="shared" si="10"/>
        <v>6.8000000000000033E-2</v>
      </c>
      <c r="AC12" s="10">
        <f t="shared" si="11"/>
        <v>5.133280000000004E-2</v>
      </c>
      <c r="AD12" s="10">
        <f t="shared" si="12"/>
        <v>-1.6667199999999993E-2</v>
      </c>
      <c r="AE12" s="10">
        <f t="shared" si="4"/>
        <v>0.21887720000000033</v>
      </c>
      <c r="AF12" s="10">
        <f t="shared" si="4"/>
        <v>0.16287667938243344</v>
      </c>
      <c r="AG12" s="10">
        <f t="shared" si="13"/>
        <v>-5.6000520617566885E-2</v>
      </c>
      <c r="AH12" s="10">
        <f t="shared" si="5"/>
        <v>0.21818643200000021</v>
      </c>
      <c r="AI12" s="10">
        <f t="shared" si="5"/>
        <v>0.16203883388842288</v>
      </c>
      <c r="AJ12" s="10">
        <f t="shared" si="14"/>
        <v>-5.6147598111577324E-2</v>
      </c>
      <c r="AK12" s="10">
        <f t="shared" si="6"/>
        <v>6.8201830306722222E-2</v>
      </c>
      <c r="AL12" s="10">
        <f t="shared" si="15"/>
        <v>5.1585414286104081E-2</v>
      </c>
      <c r="AM12" s="10">
        <f t="shared" si="16"/>
        <v>-1.6616416020618141E-2</v>
      </c>
      <c r="AN12" s="10">
        <f t="shared" si="17"/>
        <v>6.800000000000006E-2</v>
      </c>
      <c r="AO12" s="10">
        <f t="shared" si="18"/>
        <v>5.1332799999999956E-2</v>
      </c>
      <c r="AP12" s="10">
        <f t="shared" si="19"/>
        <v>-1.6667200000000104E-2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6530347.0080000013</v>
      </c>
      <c r="J13" s="7">
        <f t="shared" si="1"/>
        <v>6081872.0556033105</v>
      </c>
      <c r="K13" s="7">
        <f t="shared" si="1"/>
        <v>1632586.7520000003</v>
      </c>
      <c r="L13" s="7">
        <f t="shared" si="1"/>
        <v>1602562.96875</v>
      </c>
      <c r="M13" s="7">
        <f t="shared" si="1"/>
        <v>3889620.0000000005</v>
      </c>
      <c r="N13" s="7">
        <f t="shared" si="1"/>
        <v>3596036.6880011079</v>
      </c>
      <c r="O13" s="7">
        <f t="shared" si="1"/>
        <v>972405.00000000012</v>
      </c>
      <c r="P13" s="7">
        <f t="shared" si="1"/>
        <v>954014.88049999997</v>
      </c>
      <c r="Q13" s="7">
        <f t="shared" si="1"/>
        <v>0</v>
      </c>
      <c r="R13" s="7">
        <f t="shared" si="1"/>
        <v>0</v>
      </c>
      <c r="S13" s="7">
        <f t="shared" si="1"/>
        <v>0</v>
      </c>
      <c r="T13" s="7">
        <f t="shared" si="1"/>
        <v>0</v>
      </c>
      <c r="U13" s="8">
        <f t="shared" si="7"/>
        <v>13024958.760000002</v>
      </c>
      <c r="V13" s="8">
        <f t="shared" si="7"/>
        <v>12234486.592854418</v>
      </c>
      <c r="W13" s="7">
        <f t="shared" si="2"/>
        <v>13010231.093760001</v>
      </c>
      <c r="X13" s="7">
        <f t="shared" si="2"/>
        <v>12216895.409406507</v>
      </c>
      <c r="Y13" s="10">
        <f t="shared" si="3"/>
        <v>6.8603035646248825E-2</v>
      </c>
      <c r="Z13" s="10">
        <f t="shared" si="8"/>
        <v>5.2088051103730326E-2</v>
      </c>
      <c r="AA13" s="10">
        <f t="shared" si="9"/>
        <v>-1.6514984542518499E-2</v>
      </c>
      <c r="AB13" s="10">
        <f t="shared" si="10"/>
        <v>6.8000000000000019E-2</v>
      </c>
      <c r="AC13" s="10">
        <f t="shared" si="11"/>
        <v>5.1332800000000019E-2</v>
      </c>
      <c r="AD13" s="10">
        <f t="shared" si="12"/>
        <v>-1.66672E-2</v>
      </c>
      <c r="AE13" s="10">
        <f t="shared" si="4"/>
        <v>0.30249587600000027</v>
      </c>
      <c r="AF13" s="10">
        <f t="shared" si="4"/>
        <v>0.22344865928544189</v>
      </c>
      <c r="AG13" s="10">
        <f t="shared" si="13"/>
        <v>-7.9047216714558388E-2</v>
      </c>
      <c r="AH13" s="10">
        <f t="shared" si="5"/>
        <v>0.3010231093760003</v>
      </c>
      <c r="AI13" s="10">
        <f t="shared" si="5"/>
        <v>0.22168954094065052</v>
      </c>
      <c r="AJ13" s="10">
        <f t="shared" si="14"/>
        <v>-7.9333568435349777E-2</v>
      </c>
      <c r="AK13" s="10">
        <f t="shared" si="6"/>
        <v>6.8302117517651917E-2</v>
      </c>
      <c r="AL13" s="10">
        <f t="shared" si="15"/>
        <v>5.1711050973317629E-2</v>
      </c>
      <c r="AM13" s="10">
        <f t="shared" si="16"/>
        <v>-1.6591066544334288E-2</v>
      </c>
      <c r="AN13" s="10">
        <f t="shared" si="17"/>
        <v>6.800000000000006E-2</v>
      </c>
      <c r="AO13" s="10">
        <f t="shared" si="18"/>
        <v>5.1332799999999956E-2</v>
      </c>
      <c r="AP13" s="10">
        <f t="shared" si="19"/>
        <v>-1.6667200000000104E-2</v>
      </c>
    </row>
    <row r="14" spans="2:42" x14ac:dyDescent="0.45">
      <c r="B14" t="s">
        <v>7</v>
      </c>
      <c r="C14" s="4">
        <f>Page!C17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7052774.7686400022</v>
      </c>
      <c r="J14" s="7">
        <f t="shared" si="1"/>
        <v>6452622.9761128873</v>
      </c>
      <c r="K14" s="7">
        <f t="shared" si="1"/>
        <v>1763193.6921600006</v>
      </c>
      <c r="L14" s="7">
        <f t="shared" si="1"/>
        <v>1722755.19140625</v>
      </c>
      <c r="M14" s="7">
        <f t="shared" si="1"/>
        <v>4084101.0000000005</v>
      </c>
      <c r="N14" s="7">
        <f t="shared" si="1"/>
        <v>3702479.3739659409</v>
      </c>
      <c r="O14" s="7">
        <f t="shared" si="1"/>
        <v>1021025.2500000001</v>
      </c>
      <c r="P14" s="7">
        <f t="shared" si="1"/>
        <v>996945.55012249993</v>
      </c>
      <c r="Q14" s="7">
        <f t="shared" si="1"/>
        <v>0</v>
      </c>
      <c r="R14" s="7">
        <f t="shared" si="1"/>
        <v>0</v>
      </c>
      <c r="S14" s="7">
        <f t="shared" si="1"/>
        <v>0</v>
      </c>
      <c r="T14" s="7">
        <f t="shared" si="1"/>
        <v>0</v>
      </c>
      <c r="U14" s="8">
        <f t="shared" si="7"/>
        <v>13921094.710800003</v>
      </c>
      <c r="V14" s="8">
        <f t="shared" si="7"/>
        <v>12874803.091607578</v>
      </c>
      <c r="W14" s="7">
        <f t="shared" si="2"/>
        <v>13894926.808135681</v>
      </c>
      <c r="X14" s="7">
        <f t="shared" si="2"/>
        <v>12844022.858078489</v>
      </c>
      <c r="Y14" s="10">
        <f t="shared" si="3"/>
        <v>6.8801442469979962E-2</v>
      </c>
      <c r="Z14" s="10">
        <f t="shared" si="8"/>
        <v>5.2337014217428514E-2</v>
      </c>
      <c r="AA14" s="10">
        <f t="shared" si="9"/>
        <v>-1.6464428252551448E-2</v>
      </c>
      <c r="AB14" s="10">
        <f t="shared" si="10"/>
        <v>6.8000000000000019E-2</v>
      </c>
      <c r="AC14" s="10">
        <f t="shared" si="11"/>
        <v>5.1332799999999942E-2</v>
      </c>
      <c r="AD14" s="10">
        <f t="shared" si="12"/>
        <v>-1.6667200000000076E-2</v>
      </c>
      <c r="AE14" s="10">
        <f t="shared" si="4"/>
        <v>0.39210947108000038</v>
      </c>
      <c r="AF14" s="10">
        <f t="shared" si="4"/>
        <v>0.28748030916075784</v>
      </c>
      <c r="AG14" s="10">
        <f t="shared" si="13"/>
        <v>-0.10462916191924254</v>
      </c>
      <c r="AH14" s="10">
        <f t="shared" si="5"/>
        <v>0.38949268081356836</v>
      </c>
      <c r="AI14" s="10">
        <f t="shared" si="5"/>
        <v>0.28440228580784876</v>
      </c>
      <c r="AJ14" s="10">
        <f t="shared" si="14"/>
        <v>-0.10509039500571959</v>
      </c>
      <c r="AK14" s="10">
        <f t="shared" si="6"/>
        <v>6.8401963842573021E-2</v>
      </c>
      <c r="AL14" s="10">
        <f t="shared" si="15"/>
        <v>5.1836213827635813E-2</v>
      </c>
      <c r="AM14" s="10">
        <f t="shared" si="16"/>
        <v>-1.6565750014937208E-2</v>
      </c>
      <c r="AN14" s="10">
        <f t="shared" si="17"/>
        <v>6.800000000000006E-2</v>
      </c>
      <c r="AO14" s="10">
        <f t="shared" si="18"/>
        <v>5.1332799999999956E-2</v>
      </c>
      <c r="AP14" s="10">
        <f t="shared" si="19"/>
        <v>-1.6667200000000104E-2</v>
      </c>
    </row>
    <row r="15" spans="2:42" x14ac:dyDescent="0.45">
      <c r="B15" t="s">
        <v>8</v>
      </c>
      <c r="C15" s="4">
        <f>Page!C18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7616996.7501312029</v>
      </c>
      <c r="J15" s="7">
        <f t="shared" si="1"/>
        <v>6845974.8727367278</v>
      </c>
      <c r="K15" s="7">
        <f t="shared" si="1"/>
        <v>1904249.1875328007</v>
      </c>
      <c r="L15" s="7">
        <f t="shared" si="1"/>
        <v>1851961.8307617186</v>
      </c>
      <c r="M15" s="7">
        <f t="shared" si="1"/>
        <v>4288306.0500000007</v>
      </c>
      <c r="N15" s="7">
        <f t="shared" si="1"/>
        <v>3812072.763435333</v>
      </c>
      <c r="O15" s="7">
        <f t="shared" si="1"/>
        <v>1072076.5125000002</v>
      </c>
      <c r="P15" s="7">
        <f t="shared" si="1"/>
        <v>1041808.0998780123</v>
      </c>
      <c r="Q15" s="7">
        <f t="shared" si="1"/>
        <v>0</v>
      </c>
      <c r="R15" s="7">
        <f t="shared" si="1"/>
        <v>0</v>
      </c>
      <c r="S15" s="7">
        <f t="shared" si="1"/>
        <v>0</v>
      </c>
      <c r="T15" s="7">
        <f t="shared" si="1"/>
        <v>0</v>
      </c>
      <c r="U15" s="8">
        <f t="shared" si="7"/>
        <v>14881628.500164006</v>
      </c>
      <c r="V15" s="8">
        <f t="shared" si="7"/>
        <v>13551817.566811793</v>
      </c>
      <c r="W15" s="7">
        <f t="shared" si="2"/>
        <v>14839781.831088908</v>
      </c>
      <c r="X15" s="7">
        <f t="shared" si="2"/>
        <v>13503342.514647661</v>
      </c>
      <c r="Y15" s="10">
        <f t="shared" si="3"/>
        <v>6.8998437933104451E-2</v>
      </c>
      <c r="Z15" s="10">
        <f t="shared" si="8"/>
        <v>5.2584452778584659E-2</v>
      </c>
      <c r="AA15" s="10">
        <f t="shared" si="9"/>
        <v>-1.6413985154519792E-2</v>
      </c>
      <c r="AB15" s="10">
        <f t="shared" si="10"/>
        <v>6.800000000000006E-2</v>
      </c>
      <c r="AC15" s="10">
        <f t="shared" si="11"/>
        <v>5.1332800000000019E-2</v>
      </c>
      <c r="AD15" s="10">
        <f t="shared" si="12"/>
        <v>-1.6667200000000042E-2</v>
      </c>
      <c r="AE15" s="10">
        <f t="shared" si="4"/>
        <v>0.48816285001640081</v>
      </c>
      <c r="AF15" s="10">
        <f t="shared" si="4"/>
        <v>0.35518175668117924</v>
      </c>
      <c r="AG15" s="10">
        <f t="shared" si="13"/>
        <v>-0.13298109333522157</v>
      </c>
      <c r="AH15" s="10">
        <f t="shared" si="5"/>
        <v>0.48397818310889118</v>
      </c>
      <c r="AI15" s="10">
        <f t="shared" si="5"/>
        <v>0.35033425146476582</v>
      </c>
      <c r="AJ15" s="10">
        <f t="shared" si="14"/>
        <v>-0.13364393164412536</v>
      </c>
      <c r="AK15" s="10">
        <f t="shared" si="6"/>
        <v>6.8501353073654903E-2</v>
      </c>
      <c r="AL15" s="10">
        <f t="shared" si="15"/>
        <v>5.1960883372282884E-2</v>
      </c>
      <c r="AM15" s="10">
        <f t="shared" si="16"/>
        <v>-1.6540469701372018E-2</v>
      </c>
      <c r="AN15" s="10">
        <f t="shared" si="17"/>
        <v>6.800000000000006E-2</v>
      </c>
      <c r="AO15" s="10">
        <f t="shared" si="18"/>
        <v>5.1332799999999956E-2</v>
      </c>
      <c r="AP15" s="10">
        <f t="shared" si="19"/>
        <v>-1.6667200000000104E-2</v>
      </c>
    </row>
    <row r="16" spans="2:42" x14ac:dyDescent="0.45">
      <c r="B16" t="s">
        <v>9</v>
      </c>
      <c r="C16" s="4">
        <f>Page!C19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8226356.4901417</v>
      </c>
      <c r="J16" s="7">
        <f t="shared" si="1"/>
        <v>7263305.5009787576</v>
      </c>
      <c r="K16" s="7">
        <f t="shared" si="1"/>
        <v>2056589.122535425</v>
      </c>
      <c r="L16" s="7">
        <f t="shared" si="1"/>
        <v>1990858.9680688474</v>
      </c>
      <c r="M16" s="7">
        <f t="shared" si="1"/>
        <v>4502721.352500001</v>
      </c>
      <c r="N16" s="7">
        <f t="shared" si="1"/>
        <v>3924910.1172330193</v>
      </c>
      <c r="O16" s="7">
        <f t="shared" si="1"/>
        <v>1125680.3381250002</v>
      </c>
      <c r="P16" s="7">
        <f t="shared" si="1"/>
        <v>1088689.4643725229</v>
      </c>
      <c r="Q16" s="7">
        <f t="shared" si="1"/>
        <v>0</v>
      </c>
      <c r="R16" s="7">
        <f t="shared" si="1"/>
        <v>0</v>
      </c>
      <c r="S16" s="7">
        <f t="shared" si="1"/>
        <v>0</v>
      </c>
      <c r="T16" s="7">
        <f t="shared" si="1"/>
        <v>0</v>
      </c>
      <c r="U16" s="8">
        <f t="shared" si="7"/>
        <v>15911347.303302126</v>
      </c>
      <c r="V16" s="8">
        <f t="shared" si="7"/>
        <v>14267764.050653148</v>
      </c>
      <c r="W16" s="7">
        <f t="shared" si="2"/>
        <v>15848886.995602954</v>
      </c>
      <c r="X16" s="7">
        <f t="shared" si="2"/>
        <v>14196506.895283565</v>
      </c>
      <c r="Y16" s="10">
        <f t="shared" si="3"/>
        <v>6.919395972872E-2</v>
      </c>
      <c r="Z16" s="10">
        <f t="shared" si="8"/>
        <v>5.2830292343567155E-2</v>
      </c>
      <c r="AA16" s="10">
        <f t="shared" si="9"/>
        <v>-1.6363667385152846E-2</v>
      </c>
      <c r="AB16" s="10">
        <f t="shared" si="10"/>
        <v>6.8000000000000033E-2</v>
      </c>
      <c r="AC16" s="10">
        <f t="shared" si="11"/>
        <v>5.1332799999999908E-2</v>
      </c>
      <c r="AD16" s="10">
        <f t="shared" si="12"/>
        <v>-1.6667200000000125E-2</v>
      </c>
      <c r="AE16" s="10">
        <f t="shared" si="4"/>
        <v>0.59113473033021258</v>
      </c>
      <c r="AF16" s="10">
        <f t="shared" si="4"/>
        <v>0.42677640506531467</v>
      </c>
      <c r="AG16" s="10">
        <f t="shared" si="13"/>
        <v>-0.16435832526489791</v>
      </c>
      <c r="AH16" s="10">
        <f t="shared" si="5"/>
        <v>0.58488869956029577</v>
      </c>
      <c r="AI16" s="10">
        <f t="shared" si="5"/>
        <v>0.41965068952835627</v>
      </c>
      <c r="AJ16" s="10">
        <f t="shared" si="14"/>
        <v>-0.1652380100319395</v>
      </c>
      <c r="AK16" s="10">
        <f t="shared" si="6"/>
        <v>6.8600269405794112E-2</v>
      </c>
      <c r="AL16" s="10">
        <f t="shared" si="15"/>
        <v>5.2085040684377581E-2</v>
      </c>
      <c r="AM16" s="10">
        <f t="shared" si="16"/>
        <v>-1.6515228721416531E-2</v>
      </c>
      <c r="AN16" s="10">
        <f t="shared" si="17"/>
        <v>6.800000000000006E-2</v>
      </c>
      <c r="AO16" s="10">
        <f t="shared" si="18"/>
        <v>5.1332799999999956E-2</v>
      </c>
      <c r="AP16" s="10">
        <f t="shared" si="19"/>
        <v>-1.6667200000000104E-2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8884465.0093530361</v>
      </c>
      <c r="J17" s="7">
        <f t="shared" si="1"/>
        <v>7706076.6043184223</v>
      </c>
      <c r="K17" s="7">
        <f t="shared" si="1"/>
        <v>2221116.252338259</v>
      </c>
      <c r="L17" s="7">
        <f t="shared" si="1"/>
        <v>2140173.3906740109</v>
      </c>
      <c r="M17" s="7">
        <f t="shared" si="1"/>
        <v>4727857.4201250011</v>
      </c>
      <c r="N17" s="7">
        <f t="shared" si="1"/>
        <v>4041087.4567031171</v>
      </c>
      <c r="O17" s="7">
        <f t="shared" si="1"/>
        <v>1181964.3550312503</v>
      </c>
      <c r="P17" s="7">
        <f t="shared" si="1"/>
        <v>1137680.4902692863</v>
      </c>
      <c r="Q17" s="7">
        <f t="shared" si="1"/>
        <v>0</v>
      </c>
      <c r="R17" s="7">
        <f t="shared" si="1"/>
        <v>0</v>
      </c>
      <c r="S17" s="7">
        <f t="shared" si="1"/>
        <v>0</v>
      </c>
      <c r="T17" s="7">
        <f t="shared" si="1"/>
        <v>0</v>
      </c>
      <c r="U17" s="8">
        <f t="shared" si="7"/>
        <v>17015403.036847547</v>
      </c>
      <c r="V17" s="8">
        <f t="shared" si="7"/>
        <v>15025017.941964837</v>
      </c>
      <c r="W17" s="7">
        <f t="shared" si="2"/>
        <v>16926611.311303955</v>
      </c>
      <c r="X17" s="7">
        <f t="shared" si="2"/>
        <v>14925253.344437776</v>
      </c>
      <c r="Y17" s="10">
        <f t="shared" si="3"/>
        <v>6.9387947638871086E-2</v>
      </c>
      <c r="Z17" s="10">
        <f t="shared" si="8"/>
        <v>5.3074461325776048E-2</v>
      </c>
      <c r="AA17" s="10">
        <f t="shared" si="9"/>
        <v>-1.6313486313095038E-2</v>
      </c>
      <c r="AB17" s="10">
        <f t="shared" si="10"/>
        <v>6.7999999999999963E-2</v>
      </c>
      <c r="AC17" s="10">
        <f t="shared" si="11"/>
        <v>5.1332799999999928E-2</v>
      </c>
      <c r="AD17" s="10">
        <f t="shared" si="12"/>
        <v>-1.6667200000000035E-2</v>
      </c>
      <c r="AE17" s="10">
        <f t="shared" si="4"/>
        <v>0.70154030368475451</v>
      </c>
      <c r="AF17" s="10">
        <f t="shared" si="4"/>
        <v>0.50250179419648355</v>
      </c>
      <c r="AG17" s="10">
        <f t="shared" si="13"/>
        <v>-0.19903850948827095</v>
      </c>
      <c r="AH17" s="10">
        <f t="shared" si="5"/>
        <v>0.69266113113039607</v>
      </c>
      <c r="AI17" s="10">
        <f t="shared" si="5"/>
        <v>0.49252533444377744</v>
      </c>
      <c r="AJ17" s="10">
        <f t="shared" si="14"/>
        <v>-0.20013579668661863</v>
      </c>
      <c r="AK17" s="10">
        <f t="shared" si="6"/>
        <v>6.8698697447593382E-2</v>
      </c>
      <c r="AL17" s="10">
        <f t="shared" si="15"/>
        <v>5.2208667408342846E-2</v>
      </c>
      <c r="AM17" s="10">
        <f t="shared" si="16"/>
        <v>-1.6490030039250536E-2</v>
      </c>
      <c r="AN17" s="10">
        <f t="shared" si="17"/>
        <v>6.800000000000006E-2</v>
      </c>
      <c r="AO17" s="10">
        <f t="shared" si="18"/>
        <v>5.1332799999999956E-2</v>
      </c>
      <c r="AP17" s="10">
        <f t="shared" si="19"/>
        <v>-1.6667200000000104E-2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9595222.2101012804</v>
      </c>
      <c r="J18" s="7">
        <f t="shared" si="1"/>
        <v>8175839.0341176726</v>
      </c>
      <c r="K18" s="7">
        <f t="shared" si="1"/>
        <v>2398805.5525253201</v>
      </c>
      <c r="L18" s="7">
        <f t="shared" si="1"/>
        <v>2300686.3949745614</v>
      </c>
      <c r="M18" s="7">
        <f t="shared" si="1"/>
        <v>4964250.2911312515</v>
      </c>
      <c r="N18" s="7">
        <f t="shared" si="1"/>
        <v>4160703.6454215297</v>
      </c>
      <c r="O18" s="7">
        <f t="shared" si="1"/>
        <v>1241062.5727828129</v>
      </c>
      <c r="P18" s="7">
        <f t="shared" si="1"/>
        <v>1188876.1123314041</v>
      </c>
      <c r="Q18" s="7">
        <f t="shared" si="1"/>
        <v>0</v>
      </c>
      <c r="R18" s="7">
        <f t="shared" si="1"/>
        <v>0</v>
      </c>
      <c r="S18" s="7">
        <f t="shared" si="1"/>
        <v>0</v>
      </c>
      <c r="T18" s="7">
        <f t="shared" si="1"/>
        <v>0</v>
      </c>
      <c r="U18" s="8">
        <f t="shared" si="7"/>
        <v>18199340.626540665</v>
      </c>
      <c r="V18" s="8">
        <f t="shared" si="7"/>
        <v>15826105.186845167</v>
      </c>
      <c r="W18" s="7">
        <f t="shared" si="2"/>
        <v>18077620.880472623</v>
      </c>
      <c r="X18" s="7">
        <f t="shared" si="2"/>
        <v>15691408.389317131</v>
      </c>
      <c r="Y18" s="10">
        <f t="shared" si="3"/>
        <v>6.9580343593933863E-2</v>
      </c>
      <c r="Z18" s="10">
        <f t="shared" si="8"/>
        <v>5.3316891066259239E-2</v>
      </c>
      <c r="AA18" s="10">
        <f t="shared" si="9"/>
        <v>-1.6263452527674624E-2</v>
      </c>
      <c r="AB18" s="10">
        <f t="shared" si="10"/>
        <v>6.7999999999999963E-2</v>
      </c>
      <c r="AC18" s="10">
        <f t="shared" si="11"/>
        <v>5.1332799999999935E-2</v>
      </c>
      <c r="AD18" s="10">
        <f t="shared" si="12"/>
        <v>-1.6667200000000028E-2</v>
      </c>
      <c r="AE18" s="10">
        <f t="shared" si="4"/>
        <v>0.81993406265406654</v>
      </c>
      <c r="AF18" s="10">
        <f t="shared" si="4"/>
        <v>0.5826105186845163</v>
      </c>
      <c r="AG18" s="10">
        <f t="shared" si="13"/>
        <v>-0.23732354396955024</v>
      </c>
      <c r="AH18" s="10">
        <f t="shared" si="5"/>
        <v>0.80776208804726313</v>
      </c>
      <c r="AI18" s="10">
        <f t="shared" si="5"/>
        <v>0.56914083893171297</v>
      </c>
      <c r="AJ18" s="10">
        <f t="shared" si="14"/>
        <v>-0.23862124911555016</v>
      </c>
      <c r="AK18" s="10">
        <f t="shared" si="6"/>
        <v>6.8796622231481974E-2</v>
      </c>
      <c r="AL18" s="10">
        <f t="shared" si="15"/>
        <v>5.2331745768003035E-2</v>
      </c>
      <c r="AM18" s="10">
        <f t="shared" si="16"/>
        <v>-1.6464876463478939E-2</v>
      </c>
      <c r="AN18" s="10">
        <f t="shared" si="17"/>
        <v>6.800000000000006E-2</v>
      </c>
      <c r="AO18" s="10">
        <f t="shared" si="18"/>
        <v>5.1332799999999956E-2</v>
      </c>
      <c r="AP18" s="10">
        <f t="shared" si="19"/>
        <v>-1.6667200000000104E-2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10362839.986909384</v>
      </c>
      <c r="J19" s="7">
        <f t="shared" si="1"/>
        <v>8674238.1816374846</v>
      </c>
      <c r="K19" s="7">
        <f t="shared" si="1"/>
        <v>2590709.996727346</v>
      </c>
      <c r="L19" s="7">
        <f t="shared" si="1"/>
        <v>2473237.8745976533</v>
      </c>
      <c r="M19" s="7">
        <f t="shared" si="1"/>
        <v>5212462.805687814</v>
      </c>
      <c r="N19" s="7">
        <f t="shared" si="1"/>
        <v>4283860.4733260069</v>
      </c>
      <c r="O19" s="7">
        <f t="shared" si="1"/>
        <v>1303115.7014219535</v>
      </c>
      <c r="P19" s="7">
        <f t="shared" si="1"/>
        <v>1242375.5373863173</v>
      </c>
      <c r="Q19" s="7">
        <f t="shared" si="1"/>
        <v>0</v>
      </c>
      <c r="R19" s="7">
        <f t="shared" si="1"/>
        <v>0</v>
      </c>
      <c r="S19" s="7">
        <f t="shared" si="1"/>
        <v>0</v>
      </c>
      <c r="T19" s="7">
        <f t="shared" si="1"/>
        <v>0</v>
      </c>
      <c r="U19" s="8">
        <f t="shared" si="7"/>
        <v>19469128.490746498</v>
      </c>
      <c r="V19" s="8">
        <f t="shared" si="7"/>
        <v>16673712.066947462</v>
      </c>
      <c r="W19" s="7">
        <f t="shared" si="2"/>
        <v>19306899.100344762</v>
      </c>
      <c r="X19" s="7">
        <f t="shared" si="2"/>
        <v>16496892.317884268</v>
      </c>
      <c r="Y19" s="10">
        <f t="shared" si="3"/>
        <v>6.9771091725931128E-2</v>
      </c>
      <c r="Z19" s="10">
        <f t="shared" si="8"/>
        <v>5.3557515895119645E-2</v>
      </c>
      <c r="AA19" s="10">
        <f t="shared" si="9"/>
        <v>-1.6213575830811483E-2</v>
      </c>
      <c r="AB19" s="10">
        <f t="shared" si="10"/>
        <v>6.800000000000006E-2</v>
      </c>
      <c r="AC19" s="10">
        <f t="shared" si="11"/>
        <v>5.1332799999999949E-2</v>
      </c>
      <c r="AD19" s="10">
        <f t="shared" si="12"/>
        <v>-1.6667200000000111E-2</v>
      </c>
      <c r="AE19" s="10">
        <f t="shared" si="4"/>
        <v>0.9469128490746499</v>
      </c>
      <c r="AF19" s="10">
        <f t="shared" si="4"/>
        <v>0.6673712066947457</v>
      </c>
      <c r="AG19" s="10">
        <f t="shared" si="13"/>
        <v>-0.2795416423799042</v>
      </c>
      <c r="AH19" s="10">
        <f t="shared" si="5"/>
        <v>0.93068991003447721</v>
      </c>
      <c r="AI19" s="10">
        <f t="shared" si="5"/>
        <v>0.64968923178842664</v>
      </c>
      <c r="AJ19" s="10">
        <f t="shared" si="14"/>
        <v>-0.28100067824605057</v>
      </c>
      <c r="AK19" s="10">
        <f t="shared" si="6"/>
        <v>6.8894029222972053E-2</v>
      </c>
      <c r="AL19" s="10">
        <f t="shared" si="15"/>
        <v>5.2454258577366852E-2</v>
      </c>
      <c r="AM19" s="10">
        <f t="shared" si="16"/>
        <v>-1.6439770645605201E-2</v>
      </c>
      <c r="AN19" s="10">
        <f t="shared" si="17"/>
        <v>6.800000000000006E-2</v>
      </c>
      <c r="AO19" s="10">
        <f t="shared" si="18"/>
        <v>5.1332799999999956E-2</v>
      </c>
      <c r="AP19" s="10">
        <f t="shared" si="19"/>
        <v>-1.6667200000000104E-2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11191867.185862135</v>
      </c>
      <c r="J20" s="7">
        <f t="shared" si="1"/>
        <v>9203019.7411901057</v>
      </c>
      <c r="K20" s="7">
        <f t="shared" si="1"/>
        <v>2797966.7964655338</v>
      </c>
      <c r="L20" s="7">
        <f t="shared" si="1"/>
        <v>2658730.7151924772</v>
      </c>
      <c r="M20" s="7">
        <f t="shared" si="1"/>
        <v>5473085.9459722051</v>
      </c>
      <c r="N20" s="7">
        <f t="shared" si="1"/>
        <v>4410662.7433364568</v>
      </c>
      <c r="O20" s="7">
        <f t="shared" si="1"/>
        <v>1368271.4864930513</v>
      </c>
      <c r="P20" s="7">
        <f t="shared" si="1"/>
        <v>1298282.4365687014</v>
      </c>
      <c r="Q20" s="7">
        <f t="shared" si="1"/>
        <v>0</v>
      </c>
      <c r="R20" s="7">
        <f t="shared" si="1"/>
        <v>0</v>
      </c>
      <c r="S20" s="7">
        <f t="shared" si="1"/>
        <v>0</v>
      </c>
      <c r="T20" s="7">
        <f t="shared" si="1"/>
        <v>0</v>
      </c>
      <c r="U20" s="8">
        <f t="shared" si="7"/>
        <v>20831191.414792925</v>
      </c>
      <c r="V20" s="8">
        <f t="shared" si="7"/>
        <v>17570695.636287741</v>
      </c>
      <c r="W20" s="7">
        <f t="shared" si="2"/>
        <v>20619768.239168208</v>
      </c>
      <c r="X20" s="7">
        <f t="shared" si="2"/>
        <v>17343723.991859756</v>
      </c>
      <c r="Y20" s="10">
        <f t="shared" si="3"/>
        <v>6.9960138415738712E-2</v>
      </c>
      <c r="Z20" s="10">
        <f t="shared" si="8"/>
        <v>5.3796273183725096E-2</v>
      </c>
      <c r="AA20" s="10">
        <f t="shared" si="9"/>
        <v>-1.6163865232013616E-2</v>
      </c>
      <c r="AB20" s="10">
        <f t="shared" si="10"/>
        <v>6.8000000000000102E-2</v>
      </c>
      <c r="AC20" s="10">
        <f t="shared" si="11"/>
        <v>5.1332799999999915E-2</v>
      </c>
      <c r="AD20" s="10">
        <f t="shared" si="12"/>
        <v>-1.6667200000000187E-2</v>
      </c>
      <c r="AE20" s="10">
        <f t="shared" si="4"/>
        <v>1.0831191414792927</v>
      </c>
      <c r="AF20" s="10">
        <f t="shared" si="4"/>
        <v>0.75706956362877365</v>
      </c>
      <c r="AG20" s="10">
        <f t="shared" si="13"/>
        <v>-0.32604957785051902</v>
      </c>
      <c r="AH20" s="10">
        <f t="shared" si="5"/>
        <v>1.0619768239168219</v>
      </c>
      <c r="AI20" s="10">
        <f t="shared" si="5"/>
        <v>0.73437239918597541</v>
      </c>
      <c r="AJ20" s="10">
        <f t="shared" si="14"/>
        <v>-0.3276044247308465</v>
      </c>
      <c r="AK20" s="10">
        <f t="shared" si="6"/>
        <v>6.8990904329041758E-2</v>
      </c>
      <c r="AL20" s="10">
        <f t="shared" si="15"/>
        <v>5.2576189250093108E-2</v>
      </c>
      <c r="AM20" s="10">
        <f t="shared" si="16"/>
        <v>-1.641471507894865E-2</v>
      </c>
      <c r="AN20" s="10">
        <f t="shared" si="17"/>
        <v>6.800000000000006E-2</v>
      </c>
      <c r="AO20" s="10">
        <f t="shared" si="18"/>
        <v>5.1332799999999956E-2</v>
      </c>
      <c r="AP20" s="10">
        <f t="shared" si="19"/>
        <v>-1.6667200000000104E-2</v>
      </c>
    </row>
    <row r="21" spans="2:42" x14ac:dyDescent="0.45">
      <c r="B21" s="85" t="s">
        <v>42</v>
      </c>
      <c r="C21" s="86" t="s">
        <v>76</v>
      </c>
      <c r="D21" s="86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12087216.560731107</v>
      </c>
      <c r="J21" s="7">
        <f t="shared" si="1"/>
        <v>9764035.8246130534</v>
      </c>
      <c r="K21" s="7">
        <f t="shared" si="1"/>
        <v>3021804.1401827768</v>
      </c>
      <c r="L21" s="7">
        <f t="shared" si="1"/>
        <v>2858135.5188319129</v>
      </c>
      <c r="M21" s="7">
        <f t="shared" si="1"/>
        <v>5746740.2432708154</v>
      </c>
      <c r="N21" s="7">
        <f t="shared" si="1"/>
        <v>4541218.3605392165</v>
      </c>
      <c r="O21" s="7">
        <f t="shared" si="1"/>
        <v>1436685.0608177038</v>
      </c>
      <c r="P21" s="7">
        <f t="shared" si="1"/>
        <v>1356705.1462142929</v>
      </c>
      <c r="Q21" s="7">
        <f t="shared" si="1"/>
        <v>0</v>
      </c>
      <c r="R21" s="7">
        <f t="shared" si="1"/>
        <v>0</v>
      </c>
      <c r="S21" s="7">
        <f t="shared" si="1"/>
        <v>0</v>
      </c>
      <c r="T21" s="7">
        <f t="shared" si="1"/>
        <v>0</v>
      </c>
      <c r="U21" s="8">
        <f t="shared" si="7"/>
        <v>22292446.005002402</v>
      </c>
      <c r="V21" s="8">
        <f t="shared" si="7"/>
        <v>18520094.850198474</v>
      </c>
      <c r="W21" s="7">
        <f t="shared" si="2"/>
        <v>22021912.479431648</v>
      </c>
      <c r="X21" s="7">
        <f t="shared" si="2"/>
        <v>18234025.906789094</v>
      </c>
      <c r="Y21" s="10">
        <f t="shared" si="3"/>
        <v>7.0147432334177057E-2</v>
      </c>
      <c r="Z21" s="10">
        <f t="shared" si="8"/>
        <v>5.4033103387778975E-2</v>
      </c>
      <c r="AA21" s="10">
        <f t="shared" si="9"/>
        <v>-1.6114328946398082E-2</v>
      </c>
      <c r="AB21" s="10">
        <f t="shared" si="10"/>
        <v>6.8000000000000074E-2</v>
      </c>
      <c r="AC21" s="10">
        <f t="shared" si="11"/>
        <v>5.1332799999999956E-2</v>
      </c>
      <c r="AD21" s="10">
        <f t="shared" si="12"/>
        <v>-1.6667200000000118E-2</v>
      </c>
      <c r="AE21" s="10">
        <f t="shared" si="4"/>
        <v>1.2292446005002402</v>
      </c>
      <c r="AF21" s="10">
        <f t="shared" si="4"/>
        <v>0.85200948501984697</v>
      </c>
      <c r="AG21" s="10">
        <f t="shared" si="13"/>
        <v>-0.37723511548039323</v>
      </c>
      <c r="AH21" s="10">
        <f t="shared" si="5"/>
        <v>1.202191247943166</v>
      </c>
      <c r="AI21" s="10">
        <f t="shared" si="5"/>
        <v>0.82340259067890909</v>
      </c>
      <c r="AJ21" s="10">
        <f t="shared" si="14"/>
        <v>-0.37878865726425692</v>
      </c>
      <c r="AK21" s="10">
        <f t="shared" si="6"/>
        <v>6.9087233905648748E-2</v>
      </c>
      <c r="AL21" s="10">
        <f t="shared" si="15"/>
        <v>5.269752180764864E-2</v>
      </c>
      <c r="AM21" s="10">
        <f t="shared" si="16"/>
        <v>-1.6389712098000109E-2</v>
      </c>
      <c r="AN21" s="10">
        <f t="shared" si="17"/>
        <v>6.800000000000006E-2</v>
      </c>
      <c r="AO21" s="10">
        <f t="shared" si="18"/>
        <v>5.1332799999999956E-2</v>
      </c>
      <c r="AP21" s="10">
        <f t="shared" si="19"/>
        <v>-1.6667200000000104E-2</v>
      </c>
    </row>
    <row r="22" spans="2:42" x14ac:dyDescent="0.45">
      <c r="B22" t="s">
        <v>43</v>
      </c>
      <c r="C22" s="8">
        <f>_xlfn.XLOOKUP(C3,G:G,V:V)</f>
        <v>28437125.636857893</v>
      </c>
      <c r="D22" s="8">
        <f>_xlfn.XLOOKUP(C3,G:G,X:X)</f>
        <v>27214745.614786897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13054193.885589598</v>
      </c>
      <c r="J22" s="7">
        <f t="shared" si="1"/>
        <v>10359251.448481465</v>
      </c>
      <c r="K22" s="7">
        <f t="shared" si="1"/>
        <v>3263548.4713973994</v>
      </c>
      <c r="L22" s="7">
        <f t="shared" si="1"/>
        <v>3072495.682744306</v>
      </c>
      <c r="M22" s="7">
        <f t="shared" si="1"/>
        <v>6034077.2554343566</v>
      </c>
      <c r="N22" s="7">
        <f t="shared" si="1"/>
        <v>4675638.4240111774</v>
      </c>
      <c r="O22" s="7">
        <f t="shared" si="1"/>
        <v>1508519.3138585892</v>
      </c>
      <c r="P22" s="7">
        <f t="shared" si="1"/>
        <v>1417756.8777939358</v>
      </c>
      <c r="Q22" s="7">
        <f t="shared" si="1"/>
        <v>0</v>
      </c>
      <c r="R22" s="7">
        <f t="shared" si="1"/>
        <v>0</v>
      </c>
      <c r="S22" s="7">
        <f t="shared" si="1"/>
        <v>0</v>
      </c>
      <c r="T22" s="7">
        <f t="shared" si="1"/>
        <v>0</v>
      </c>
      <c r="U22" s="8">
        <f t="shared" si="7"/>
        <v>23860338.926279947</v>
      </c>
      <c r="V22" s="8">
        <f t="shared" si="7"/>
        <v>19525142.433030881</v>
      </c>
      <c r="W22" s="7">
        <f t="shared" si="2"/>
        <v>23519402.528032999</v>
      </c>
      <c r="X22" s="7">
        <f t="shared" si="2"/>
        <v>19170029.511857118</v>
      </c>
      <c r="Y22" s="10">
        <f t="shared" si="3"/>
        <v>7.0332924477004982E-2</v>
      </c>
      <c r="Z22" s="10">
        <f t="shared" si="8"/>
        <v>5.426795008134834E-2</v>
      </c>
      <c r="AA22" s="10">
        <f t="shared" si="9"/>
        <v>-1.6064974395656642E-2</v>
      </c>
      <c r="AB22" s="10">
        <f t="shared" si="10"/>
        <v>6.7999999999999977E-2</v>
      </c>
      <c r="AC22" s="10">
        <f t="shared" si="11"/>
        <v>5.1332800000000053E-2</v>
      </c>
      <c r="AD22" s="10">
        <f t="shared" si="12"/>
        <v>-1.6667199999999924E-2</v>
      </c>
      <c r="AE22" s="10">
        <f t="shared" si="4"/>
        <v>1.3860338926279949</v>
      </c>
      <c r="AF22" s="10">
        <f t="shared" si="4"/>
        <v>0.95251424330308754</v>
      </c>
      <c r="AG22" s="10">
        <f t="shared" si="13"/>
        <v>-0.43351964932490739</v>
      </c>
      <c r="AH22" s="10">
        <f t="shared" si="5"/>
        <v>1.3519402528033013</v>
      </c>
      <c r="AI22" s="10">
        <f t="shared" si="5"/>
        <v>0.9170029511857114</v>
      </c>
      <c r="AJ22" s="10">
        <f t="shared" si="14"/>
        <v>-0.43493730161758992</v>
      </c>
      <c r="AK22" s="10">
        <f t="shared" si="6"/>
        <v>6.9183004764370448E-2</v>
      </c>
      <c r="AL22" s="10">
        <f t="shared" si="15"/>
        <v>5.2818240886169932E-2</v>
      </c>
      <c r="AM22" s="10">
        <f t="shared" si="16"/>
        <v>-1.6364763878200517E-2</v>
      </c>
      <c r="AN22" s="10">
        <f t="shared" si="17"/>
        <v>6.800000000000006E-2</v>
      </c>
      <c r="AO22" s="10">
        <f t="shared" si="18"/>
        <v>5.1332799999999956E-2</v>
      </c>
      <c r="AP22" s="10">
        <f t="shared" si="19"/>
        <v>-1.6667200000000104E-2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14098529.396436766</v>
      </c>
      <c r="J23" s="7">
        <f t="shared" si="1"/>
        <v>10990751.416780895</v>
      </c>
      <c r="K23" s="7">
        <f t="shared" si="1"/>
        <v>3524632.3491091914</v>
      </c>
      <c r="L23" s="7">
        <f t="shared" si="1"/>
        <v>3302932.8589501288</v>
      </c>
      <c r="M23" s="7">
        <f t="shared" si="1"/>
        <v>6335781.1182060745</v>
      </c>
      <c r="N23" s="7">
        <f t="shared" si="1"/>
        <v>4814037.3213619087</v>
      </c>
      <c r="O23" s="7">
        <f t="shared" si="1"/>
        <v>1583945.2795515186</v>
      </c>
      <c r="P23" s="7">
        <f t="shared" si="1"/>
        <v>1481555.9372946629</v>
      </c>
      <c r="Q23" s="7">
        <f t="shared" si="1"/>
        <v>0</v>
      </c>
      <c r="R23" s="7">
        <f t="shared" si="1"/>
        <v>0</v>
      </c>
      <c r="S23" s="7">
        <f t="shared" si="1"/>
        <v>0</v>
      </c>
      <c r="T23" s="7">
        <f t="shared" si="1"/>
        <v>0</v>
      </c>
      <c r="U23" s="8">
        <f t="shared" si="7"/>
        <v>25542888.143303547</v>
      </c>
      <c r="V23" s="8">
        <f t="shared" si="7"/>
        <v>20589277.534387596</v>
      </c>
      <c r="W23" s="7">
        <f t="shared" si="2"/>
        <v>25118721.899939246</v>
      </c>
      <c r="X23" s="7">
        <f t="shared" si="2"/>
        <v>20154080.802783377</v>
      </c>
      <c r="Y23" s="10">
        <f t="shared" si="3"/>
        <v>7.0516568193858653E-2</v>
      </c>
      <c r="Z23" s="10">
        <f t="shared" si="8"/>
        <v>5.4500759981986446E-2</v>
      </c>
      <c r="AA23" s="10">
        <f t="shared" si="9"/>
        <v>-1.6015808211872207E-2</v>
      </c>
      <c r="AB23" s="10">
        <f t="shared" si="10"/>
        <v>6.800000000000013E-2</v>
      </c>
      <c r="AC23" s="10">
        <f t="shared" si="11"/>
        <v>5.1332799999999998E-2</v>
      </c>
      <c r="AD23" s="10">
        <f t="shared" si="12"/>
        <v>-1.6667200000000132E-2</v>
      </c>
      <c r="AE23" s="10">
        <f t="shared" si="4"/>
        <v>1.5542888143303548</v>
      </c>
      <c r="AF23" s="10">
        <f t="shared" si="4"/>
        <v>1.0589277534387591</v>
      </c>
      <c r="AG23" s="10">
        <f t="shared" si="13"/>
        <v>-0.49536106089159571</v>
      </c>
      <c r="AH23" s="10">
        <f t="shared" si="5"/>
        <v>1.5118721899939258</v>
      </c>
      <c r="AI23" s="10">
        <f t="shared" si="5"/>
        <v>1.0154080802783372</v>
      </c>
      <c r="AJ23" s="10">
        <f t="shared" si="14"/>
        <v>-0.49646410971558863</v>
      </c>
      <c r="AK23" s="10">
        <f t="shared" si="6"/>
        <v>6.9278204178178315E-2</v>
      </c>
      <c r="AL23" s="10">
        <f t="shared" si="15"/>
        <v>5.2938331742037104E-2</v>
      </c>
      <c r="AM23" s="10">
        <f t="shared" si="16"/>
        <v>-1.6339872436141212E-2</v>
      </c>
      <c r="AN23" s="10">
        <f t="shared" si="17"/>
        <v>6.800000000000006E-2</v>
      </c>
      <c r="AO23" s="10">
        <f t="shared" si="18"/>
        <v>5.1332799999999956E-2</v>
      </c>
      <c r="AP23" s="10">
        <f t="shared" si="19"/>
        <v>-1.6667200000000104E-2</v>
      </c>
    </row>
    <row r="24" spans="2:42" x14ac:dyDescent="0.45">
      <c r="B24" t="s">
        <v>62</v>
      </c>
      <c r="C24" s="9">
        <f>_xlfn.XLOOKUP(C3,G:G,AE:AE)</f>
        <v>2.8578933683673555</v>
      </c>
      <c r="D24" s="9">
        <f>_xlfn.XLOOKUP(C3,G:G,AH:AH)</f>
        <v>2.7275635287089379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15226411.748151708</v>
      </c>
      <c r="J24" s="7">
        <f t="shared" si="1"/>
        <v>11660747.623147856</v>
      </c>
      <c r="K24" s="7">
        <f t="shared" si="1"/>
        <v>3806602.9370379271</v>
      </c>
      <c r="L24" s="7">
        <f t="shared" si="1"/>
        <v>3550652.8233713885</v>
      </c>
      <c r="M24" s="7">
        <f t="shared" si="1"/>
        <v>6652570.1741163787</v>
      </c>
      <c r="N24" s="7">
        <f t="shared" si="1"/>
        <v>4956532.8260742212</v>
      </c>
      <c r="O24" s="7">
        <f t="shared" si="1"/>
        <v>1663142.5435290947</v>
      </c>
      <c r="P24" s="7">
        <f t="shared" si="1"/>
        <v>1548225.9544729227</v>
      </c>
      <c r="Q24" s="7">
        <f t="shared" si="1"/>
        <v>0</v>
      </c>
      <c r="R24" s="7">
        <f t="shared" si="1"/>
        <v>0</v>
      </c>
      <c r="S24" s="7">
        <f t="shared" si="1"/>
        <v>0</v>
      </c>
      <c r="T24" s="7">
        <f t="shared" si="1"/>
        <v>0</v>
      </c>
      <c r="U24" s="8">
        <f t="shared" si="7"/>
        <v>27348727.402835108</v>
      </c>
      <c r="V24" s="8">
        <f t="shared" si="7"/>
        <v>21716159.227066386</v>
      </c>
      <c r="W24" s="7">
        <f t="shared" si="2"/>
        <v>26826794.989135116</v>
      </c>
      <c r="X24" s="7">
        <f t="shared" si="2"/>
        <v>21188646.201816496</v>
      </c>
      <c r="Y24" s="10">
        <f t="shared" si="3"/>
        <v>7.0698319211212196E-2</v>
      </c>
      <c r="Z24" s="10">
        <f t="shared" si="8"/>
        <v>5.4731482967127251E-2</v>
      </c>
      <c r="AA24" s="10">
        <f t="shared" si="9"/>
        <v>-1.5966836244084945E-2</v>
      </c>
      <c r="AB24" s="10">
        <f t="shared" si="10"/>
        <v>6.8000000000000047E-2</v>
      </c>
      <c r="AC24" s="10">
        <f t="shared" si="11"/>
        <v>5.1332799999999977E-2</v>
      </c>
      <c r="AD24" s="10">
        <f t="shared" si="12"/>
        <v>-1.6667200000000069E-2</v>
      </c>
      <c r="AE24" s="10">
        <f t="shared" si="4"/>
        <v>1.7348727402835111</v>
      </c>
      <c r="AF24" s="10">
        <f t="shared" si="4"/>
        <v>1.1716159227066383</v>
      </c>
      <c r="AG24" s="10">
        <f t="shared" si="13"/>
        <v>-0.56325681757687285</v>
      </c>
      <c r="AH24" s="10">
        <f t="shared" si="5"/>
        <v>1.682679498913513</v>
      </c>
      <c r="AI24" s="10">
        <f t="shared" si="5"/>
        <v>1.118864620181649</v>
      </c>
      <c r="AJ24" s="10">
        <f t="shared" si="14"/>
        <v>-0.56381487873186398</v>
      </c>
      <c r="AK24" s="10">
        <f t="shared" si="6"/>
        <v>6.9372819886352133E-2</v>
      </c>
      <c r="AL24" s="10">
        <f t="shared" si="15"/>
        <v>5.3057780256189124E-2</v>
      </c>
      <c r="AM24" s="10">
        <f t="shared" si="16"/>
        <v>-1.6315039630163009E-2</v>
      </c>
      <c r="AN24" s="10">
        <f t="shared" si="17"/>
        <v>6.800000000000006E-2</v>
      </c>
      <c r="AO24" s="10">
        <f t="shared" si="18"/>
        <v>5.1332799999999956E-2</v>
      </c>
      <c r="AP24" s="10">
        <f t="shared" si="19"/>
        <v>-1.6667200000000104E-2</v>
      </c>
    </row>
    <row r="25" spans="2:42" x14ac:dyDescent="0.45">
      <c r="B25" t="s">
        <v>64</v>
      </c>
      <c r="C25" s="9">
        <f>_xlfn.XLOOKUP(C3,G:G,AF:AF)</f>
        <v>1.8437125636857887</v>
      </c>
      <c r="D25" s="9">
        <f>_xlfn.XLOOKUP(C3,G:G,AI:AI)</f>
        <v>1.7214745614786895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16444524.688003846</v>
      </c>
      <c r="J25" s="7">
        <f t="shared" si="1"/>
        <v>12371586.798254948</v>
      </c>
      <c r="K25" s="7">
        <f t="shared" si="1"/>
        <v>4111131.1720009614</v>
      </c>
      <c r="L25" s="7">
        <f t="shared" si="1"/>
        <v>3816951.7851242423</v>
      </c>
      <c r="M25" s="7">
        <f t="shared" si="1"/>
        <v>6985198.6828221977</v>
      </c>
      <c r="N25" s="7">
        <f t="shared" si="1"/>
        <v>5103246.1977260187</v>
      </c>
      <c r="O25" s="7">
        <f t="shared" si="1"/>
        <v>1746299.6707055494</v>
      </c>
      <c r="P25" s="7">
        <f t="shared" si="1"/>
        <v>1617896.1224242041</v>
      </c>
      <c r="Q25" s="7">
        <f t="shared" si="1"/>
        <v>0</v>
      </c>
      <c r="R25" s="7">
        <f t="shared" si="1"/>
        <v>0</v>
      </c>
      <c r="S25" s="7">
        <f t="shared" si="1"/>
        <v>0</v>
      </c>
      <c r="T25" s="7">
        <f t="shared" si="1"/>
        <v>0</v>
      </c>
      <c r="U25" s="8">
        <f t="shared" si="7"/>
        <v>29287154.213532552</v>
      </c>
      <c r="V25" s="8">
        <f t="shared" si="7"/>
        <v>22909680.903529413</v>
      </c>
      <c r="W25" s="7">
        <f t="shared" si="2"/>
        <v>28651017.048396304</v>
      </c>
      <c r="X25" s="7">
        <f t="shared" si="2"/>
        <v>22276318.739565101</v>
      </c>
      <c r="Y25" s="10">
        <f t="shared" si="3"/>
        <v>7.087813564943049E-2</v>
      </c>
      <c r="Z25" s="10">
        <f t="shared" si="8"/>
        <v>5.4960072081966314E-2</v>
      </c>
      <c r="AA25" s="10">
        <f t="shared" si="9"/>
        <v>-1.5918063567464176E-2</v>
      </c>
      <c r="AB25" s="10">
        <f t="shared" si="10"/>
        <v>6.8000000000000005E-2</v>
      </c>
      <c r="AC25" s="10">
        <f t="shared" si="11"/>
        <v>5.1332799999999963E-2</v>
      </c>
      <c r="AD25" s="10">
        <f t="shared" si="12"/>
        <v>-1.6667200000000042E-2</v>
      </c>
      <c r="AE25" s="10">
        <f t="shared" si="4"/>
        <v>1.9287154213532558</v>
      </c>
      <c r="AF25" s="10">
        <f t="shared" si="4"/>
        <v>1.290968090352941</v>
      </c>
      <c r="AG25" s="10">
        <f t="shared" si="13"/>
        <v>-0.63774733100031478</v>
      </c>
      <c r="AH25" s="10">
        <f t="shared" si="5"/>
        <v>1.8651017048396321</v>
      </c>
      <c r="AI25" s="10">
        <f t="shared" si="5"/>
        <v>1.2276318739565095</v>
      </c>
      <c r="AJ25" s="10">
        <f t="shared" si="14"/>
        <v>-0.63746983088312259</v>
      </c>
      <c r="AK25" s="10">
        <f t="shared" si="6"/>
        <v>6.9466840098542759E-2</v>
      </c>
      <c r="AL25" s="10">
        <f t="shared" si="15"/>
        <v>5.317657293719491E-2</v>
      </c>
      <c r="AM25" s="10">
        <f t="shared" si="16"/>
        <v>-1.6290267161347849E-2</v>
      </c>
      <c r="AN25" s="10">
        <f t="shared" si="17"/>
        <v>6.800000000000006E-2</v>
      </c>
      <c r="AO25" s="10">
        <f t="shared" si="18"/>
        <v>5.1332799999999956E-2</v>
      </c>
      <c r="AP25" s="10">
        <f t="shared" si="19"/>
        <v>-1.6667200000000104E-2</v>
      </c>
    </row>
    <row r="26" spans="2:42" x14ac:dyDescent="0.45">
      <c r="B26" t="s">
        <v>63</v>
      </c>
      <c r="C26" s="9">
        <f>_xlfn.XLOOKUP(C3,G:G,AG:AG)</f>
        <v>-1.0141808046815668</v>
      </c>
      <c r="D26" s="9">
        <f>_xlfn.XLOOKUP(C3,G:G,AJ:AJ)</f>
        <v>-1.0060889672302484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17760086.663044155</v>
      </c>
      <c r="J26" s="7">
        <f t="shared" si="1"/>
        <v>13125758.729476569</v>
      </c>
      <c r="K26" s="7">
        <f t="shared" si="1"/>
        <v>4440021.6657610387</v>
      </c>
      <c r="L26" s="7">
        <f t="shared" si="1"/>
        <v>4103223.1690085605</v>
      </c>
      <c r="M26" s="7">
        <f t="shared" si="1"/>
        <v>7334458.6169633083</v>
      </c>
      <c r="N26" s="7">
        <f t="shared" si="1"/>
        <v>5254302.2851787088</v>
      </c>
      <c r="O26" s="7">
        <f t="shared" si="1"/>
        <v>1833614.6542408271</v>
      </c>
      <c r="P26" s="7">
        <f t="shared" si="1"/>
        <v>1690701.4479332932</v>
      </c>
      <c r="Q26" s="7">
        <f t="shared" si="1"/>
        <v>0</v>
      </c>
      <c r="R26" s="7">
        <f t="shared" si="1"/>
        <v>0</v>
      </c>
      <c r="S26" s="7">
        <f t="shared" si="1"/>
        <v>0</v>
      </c>
      <c r="T26" s="7">
        <f t="shared" si="1"/>
        <v>0</v>
      </c>
      <c r="U26" s="8">
        <f t="shared" si="7"/>
        <v>31368181.60000933</v>
      </c>
      <c r="V26" s="8">
        <f t="shared" si="7"/>
        <v>24173985.631597135</v>
      </c>
      <c r="W26" s="7">
        <f t="shared" ref="W26:X41" si="20">IF($G26="","",IF($G26=1,(($C$2+$H26)*W$3)*(1+(W$4-W$5)),((W25+($H26*W$3))*(1+(W$4-W$5)))))</f>
        <v>30599286.207687255</v>
      </c>
      <c r="X26" s="7">
        <f t="shared" si="20"/>
        <v>23419824.554159448</v>
      </c>
      <c r="Y26" s="10">
        <f t="shared" si="3"/>
        <v>7.105597803405593E-2</v>
      </c>
      <c r="Z26" s="10">
        <f t="shared" si="8"/>
        <v>5.5186483539059084E-2</v>
      </c>
      <c r="AA26" s="10">
        <f t="shared" si="9"/>
        <v>-1.5869494494996847E-2</v>
      </c>
      <c r="AB26" s="10">
        <f t="shared" si="10"/>
        <v>6.8000000000000074E-2</v>
      </c>
      <c r="AC26" s="10">
        <f t="shared" si="11"/>
        <v>5.1332799999999984E-2</v>
      </c>
      <c r="AD26" s="10">
        <f t="shared" si="12"/>
        <v>-1.666720000000009E-2</v>
      </c>
      <c r="AE26" s="10">
        <f t="shared" ref="AE26:AF41" si="21">IF($G26="","",IF($G26=1,Y26,(1+Y26)*(1+AE25)-1))</f>
        <v>2.1368181600009333</v>
      </c>
      <c r="AF26" s="10">
        <f t="shared" si="21"/>
        <v>1.417398563159713</v>
      </c>
      <c r="AG26" s="10">
        <f t="shared" si="13"/>
        <v>-0.71941959684122025</v>
      </c>
      <c r="AH26" s="10">
        <f t="shared" ref="AH26:AI41" si="22">IF($G26="","",IF($G26=1,AB26,(1+AB26)*(1+AH25)-1))</f>
        <v>2.0599286207687273</v>
      </c>
      <c r="AI26" s="10">
        <f t="shared" si="22"/>
        <v>1.3419824554159443</v>
      </c>
      <c r="AJ26" s="10">
        <f t="shared" si="14"/>
        <v>-0.71794616535278299</v>
      </c>
      <c r="AK26" s="10">
        <f t="shared" si="6"/>
        <v>6.9560253497997326E-2</v>
      </c>
      <c r="AL26" s="10">
        <f t="shared" si="15"/>
        <v>5.329469692311406E-2</v>
      </c>
      <c r="AM26" s="10">
        <f t="shared" si="16"/>
        <v>-1.6265556574883266E-2</v>
      </c>
      <c r="AN26" s="10">
        <f t="shared" si="17"/>
        <v>6.800000000000006E-2</v>
      </c>
      <c r="AO26" s="10">
        <f t="shared" si="18"/>
        <v>5.1332799999999956E-2</v>
      </c>
      <c r="AP26" s="10">
        <f t="shared" si="19"/>
        <v>-1.6667200000000104E-2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19180893.596087687</v>
      </c>
      <c r="J27" s="7">
        <f t="shared" si="1"/>
        <v>13925904.98162546</v>
      </c>
      <c r="K27" s="7">
        <f t="shared" si="1"/>
        <v>4795223.3990219217</v>
      </c>
      <c r="L27" s="7">
        <f t="shared" si="1"/>
        <v>4410964.9066842021</v>
      </c>
      <c r="M27" s="7">
        <f t="shared" si="1"/>
        <v>7701181.5478114737</v>
      </c>
      <c r="N27" s="7">
        <f t="shared" si="1"/>
        <v>5409829.632819999</v>
      </c>
      <c r="O27" s="7">
        <f t="shared" si="1"/>
        <v>1925295.3869528684</v>
      </c>
      <c r="P27" s="7">
        <f t="shared" si="1"/>
        <v>1766783.0130902913</v>
      </c>
      <c r="Q27" s="7">
        <f t="shared" si="1"/>
        <v>0</v>
      </c>
      <c r="R27" s="7">
        <f t="shared" si="1"/>
        <v>0</v>
      </c>
      <c r="S27" s="7">
        <f t="shared" si="1"/>
        <v>0</v>
      </c>
      <c r="T27" s="7">
        <f t="shared" si="1"/>
        <v>0</v>
      </c>
      <c r="U27" s="8">
        <f t="shared" si="7"/>
        <v>33602593.929873951</v>
      </c>
      <c r="V27" s="8">
        <f t="shared" si="7"/>
        <v>25513482.53421995</v>
      </c>
      <c r="W27" s="7">
        <f t="shared" si="20"/>
        <v>32680037.66980999</v>
      </c>
      <c r="X27" s="7">
        <f t="shared" si="20"/>
        <v>24622029.724033203</v>
      </c>
      <c r="Y27" s="10">
        <f t="shared" si="3"/>
        <v>7.1231809301434176E-2</v>
      </c>
      <c r="Z27" s="10">
        <f t="shared" si="8"/>
        <v>5.541067670992559E-2</v>
      </c>
      <c r="AA27" s="10">
        <f t="shared" si="9"/>
        <v>-1.5821132591508587E-2</v>
      </c>
      <c r="AB27" s="10">
        <f t="shared" si="10"/>
        <v>6.8000000000000047E-2</v>
      </c>
      <c r="AC27" s="10">
        <f t="shared" si="11"/>
        <v>5.133279999999997E-2</v>
      </c>
      <c r="AD27" s="10">
        <f t="shared" si="12"/>
        <v>-1.6667200000000076E-2</v>
      </c>
      <c r="AE27" s="10">
        <f t="shared" si="21"/>
        <v>2.3602593929873952</v>
      </c>
      <c r="AF27" s="10">
        <f t="shared" si="21"/>
        <v>1.5513482534219944</v>
      </c>
      <c r="AG27" s="10">
        <f t="shared" si="13"/>
        <v>-0.80891113956540073</v>
      </c>
      <c r="AH27" s="10">
        <f t="shared" si="22"/>
        <v>2.2680037669810011</v>
      </c>
      <c r="AI27" s="10">
        <f t="shared" si="22"/>
        <v>1.4622029724033196</v>
      </c>
      <c r="AJ27" s="10">
        <f t="shared" si="14"/>
        <v>-0.8058007945776815</v>
      </c>
      <c r="AK27" s="10">
        <f t="shared" si="6"/>
        <v>6.9653049243957321E-2</v>
      </c>
      <c r="AL27" s="10">
        <f t="shared" si="15"/>
        <v>5.3412139982172979E-2</v>
      </c>
      <c r="AM27" s="10">
        <f t="shared" si="16"/>
        <v>-1.6240909261784342E-2</v>
      </c>
      <c r="AN27" s="10">
        <f t="shared" si="17"/>
        <v>6.800000000000006E-2</v>
      </c>
      <c r="AO27" s="10">
        <f t="shared" si="18"/>
        <v>5.1332799999999956E-2</v>
      </c>
      <c r="AP27" s="10">
        <f t="shared" si="19"/>
        <v>-1.6667200000000104E-2</v>
      </c>
    </row>
    <row r="28" spans="2:42" x14ac:dyDescent="0.45">
      <c r="B28" t="s">
        <v>65</v>
      </c>
      <c r="C28" s="9">
        <f>_xlfn.XLOOKUP(C3,G:G,AK:AK)</f>
        <v>6.983674680110119E-2</v>
      </c>
      <c r="D28" s="9">
        <f>_xlfn.XLOOKUP(C3,G:G,AN:AN)</f>
        <v>6.800000000000006E-2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20715365.083774704</v>
      </c>
      <c r="J28" s="7">
        <f t="shared" si="1"/>
        <v>14774828.149305347</v>
      </c>
      <c r="K28" s="7">
        <f t="shared" si="1"/>
        <v>5178841.2709436761</v>
      </c>
      <c r="L28" s="7">
        <f t="shared" si="1"/>
        <v>4741787.274685517</v>
      </c>
      <c r="M28" s="7">
        <f t="shared" si="1"/>
        <v>8086240.6252020476</v>
      </c>
      <c r="N28" s="7">
        <f t="shared" si="1"/>
        <v>5569960.5899514714</v>
      </c>
      <c r="O28" s="7">
        <f t="shared" si="1"/>
        <v>2021560.1563005119</v>
      </c>
      <c r="P28" s="7">
        <f t="shared" si="1"/>
        <v>1846288.2486793543</v>
      </c>
      <c r="Q28" s="7">
        <f t="shared" si="1"/>
        <v>0</v>
      </c>
      <c r="R28" s="7">
        <f t="shared" si="1"/>
        <v>0</v>
      </c>
      <c r="S28" s="7">
        <f t="shared" si="1"/>
        <v>0</v>
      </c>
      <c r="T28" s="7">
        <f t="shared" si="1"/>
        <v>0</v>
      </c>
      <c r="U28" s="8">
        <f t="shared" si="7"/>
        <v>36002007.136220939</v>
      </c>
      <c r="V28" s="8">
        <f t="shared" si="7"/>
        <v>26932864.26262169</v>
      </c>
      <c r="W28" s="7">
        <f t="shared" si="20"/>
        <v>34902280.231357068</v>
      </c>
      <c r="X28" s="7">
        <f t="shared" si="20"/>
        <v>25885947.451451052</v>
      </c>
      <c r="Y28" s="10">
        <f t="shared" si="3"/>
        <v>7.1405594798853361E-2</v>
      </c>
      <c r="Z28" s="10">
        <f t="shared" si="8"/>
        <v>5.5632614108951761E-2</v>
      </c>
      <c r="AA28" s="10">
        <f t="shared" si="9"/>
        <v>-1.57729806899016E-2</v>
      </c>
      <c r="AB28" s="10">
        <f t="shared" si="10"/>
        <v>6.7999999999999963E-2</v>
      </c>
      <c r="AC28" s="10">
        <f t="shared" si="11"/>
        <v>5.1332799999999894E-2</v>
      </c>
      <c r="AD28" s="10">
        <f t="shared" si="12"/>
        <v>-1.6667200000000069E-2</v>
      </c>
      <c r="AE28" s="10">
        <f t="shared" si="21"/>
        <v>2.6002007136220944</v>
      </c>
      <c r="AF28" s="10">
        <f t="shared" si="21"/>
        <v>1.6932864262621683</v>
      </c>
      <c r="AG28" s="10">
        <f t="shared" si="13"/>
        <v>-0.90691428735992607</v>
      </c>
      <c r="AH28" s="10">
        <f t="shared" si="22"/>
        <v>2.4902280231357095</v>
      </c>
      <c r="AI28" s="10">
        <f t="shared" si="22"/>
        <v>1.5885947451451048</v>
      </c>
      <c r="AJ28" s="10">
        <f t="shared" si="14"/>
        <v>-0.90163327799060466</v>
      </c>
      <c r="AK28" s="10">
        <f t="shared" si="6"/>
        <v>6.97452169732522E-2</v>
      </c>
      <c r="AL28" s="10">
        <f t="shared" si="15"/>
        <v>5.3528890512293703E-2</v>
      </c>
      <c r="AM28" s="10">
        <f t="shared" si="16"/>
        <v>-1.6216326460958497E-2</v>
      </c>
      <c r="AN28" s="10">
        <f t="shared" si="17"/>
        <v>6.800000000000006E-2</v>
      </c>
      <c r="AO28" s="10">
        <f t="shared" si="18"/>
        <v>5.1332799999999956E-2</v>
      </c>
      <c r="AP28" s="10">
        <f t="shared" si="19"/>
        <v>-1.6667200000000104E-2</v>
      </c>
    </row>
    <row r="29" spans="2:42" x14ac:dyDescent="0.45">
      <c r="B29" t="s">
        <v>66</v>
      </c>
      <c r="C29" s="9">
        <f>_xlfn.XLOOKUP(C3,G:G,AL:AL)</f>
        <v>5.3644937539511162E-2</v>
      </c>
      <c r="D29" s="9">
        <f>_xlfn.XLOOKUP(C3,G:G,AO:AO)</f>
        <v>5.1332799999999956E-2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22372594.290476684</v>
      </c>
      <c r="J29" s="7">
        <f t="shared" si="1"/>
        <v>15675501.673287001</v>
      </c>
      <c r="K29" s="7">
        <f t="shared" si="1"/>
        <v>5593148.5726191709</v>
      </c>
      <c r="L29" s="7">
        <f t="shared" si="1"/>
        <v>5097421.3202869305</v>
      </c>
      <c r="M29" s="7">
        <f t="shared" si="1"/>
        <v>8490552.6564621497</v>
      </c>
      <c r="N29" s="7">
        <f t="shared" si="1"/>
        <v>5734831.4234140357</v>
      </c>
      <c r="O29" s="7">
        <f t="shared" si="1"/>
        <v>2122638.1641155374</v>
      </c>
      <c r="P29" s="7">
        <f t="shared" si="1"/>
        <v>1929371.2198699252</v>
      </c>
      <c r="Q29" s="7">
        <f t="shared" si="1"/>
        <v>0</v>
      </c>
      <c r="R29" s="7">
        <f t="shared" si="1"/>
        <v>0</v>
      </c>
      <c r="S29" s="7">
        <f t="shared" si="1"/>
        <v>0</v>
      </c>
      <c r="T29" s="7">
        <f t="shared" si="1"/>
        <v>0</v>
      </c>
      <c r="U29" s="8">
        <f t="shared" si="7"/>
        <v>38578933.683673546</v>
      </c>
      <c r="V29" s="8">
        <f t="shared" si="7"/>
        <v>28437125.636857893</v>
      </c>
      <c r="W29" s="7">
        <f t="shared" si="20"/>
        <v>37275635.287089348</v>
      </c>
      <c r="X29" s="7">
        <f t="shared" si="20"/>
        <v>27214745.614786897</v>
      </c>
      <c r="Y29" s="10">
        <f t="shared" si="3"/>
        <v>7.1577302279350122E-2</v>
      </c>
      <c r="Z29" s="10">
        <f t="shared" si="8"/>
        <v>5.5852261369908097E-2</v>
      </c>
      <c r="AA29" s="10">
        <f t="shared" si="9"/>
        <v>-1.5725040909442024E-2</v>
      </c>
      <c r="AB29" s="10">
        <f t="shared" si="10"/>
        <v>6.7999999999999977E-2</v>
      </c>
      <c r="AC29" s="10">
        <f t="shared" si="11"/>
        <v>5.1332799999999935E-2</v>
      </c>
      <c r="AD29" s="10">
        <f t="shared" si="12"/>
        <v>-1.6667200000000042E-2</v>
      </c>
      <c r="AE29" s="10">
        <f t="shared" si="21"/>
        <v>2.8578933683673555</v>
      </c>
      <c r="AF29" s="10">
        <f t="shared" si="21"/>
        <v>1.8437125636857887</v>
      </c>
      <c r="AG29" s="10">
        <f t="shared" si="13"/>
        <v>-1.0141808046815668</v>
      </c>
      <c r="AH29" s="10">
        <f t="shared" si="22"/>
        <v>2.7275635287089379</v>
      </c>
      <c r="AI29" s="10">
        <f t="shared" si="22"/>
        <v>1.7214745614786895</v>
      </c>
      <c r="AJ29" s="10">
        <f t="shared" si="14"/>
        <v>-1.0060889672302484</v>
      </c>
      <c r="AK29" s="10">
        <f t="shared" si="6"/>
        <v>6.983674680110119E-2</v>
      </c>
      <c r="AL29" s="10">
        <f t="shared" si="15"/>
        <v>5.3644937539511162E-2</v>
      </c>
      <c r="AM29" s="10">
        <f t="shared" si="16"/>
        <v>-1.6191809261590029E-2</v>
      </c>
      <c r="AN29" s="10">
        <f t="shared" si="17"/>
        <v>6.800000000000006E-2</v>
      </c>
      <c r="AO29" s="10">
        <f t="shared" si="18"/>
        <v>5.1332799999999956E-2</v>
      </c>
      <c r="AP29" s="10">
        <f t="shared" si="19"/>
        <v>-1.6667200000000104E-2</v>
      </c>
    </row>
    <row r="30" spans="2:42" x14ac:dyDescent="0.45">
      <c r="B30" t="s">
        <v>67</v>
      </c>
      <c r="C30" s="9">
        <f>_xlfn.XLOOKUP(C3,G:G,AM:AM)</f>
        <v>-1.6191809261590029E-2</v>
      </c>
      <c r="D30" s="9">
        <f>_xlfn.XLOOKUP(C3,G:G,AP:AP)</f>
        <v>-1.6667200000000104E-2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46" priority="1" operator="equal">
      <formula>"Error"</formula>
    </cfRule>
    <cfRule type="cellIs" dxfId="45" priority="2" operator="equal">
      <formula>"GOOD"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0074-A988-4300-8BF9-04BB05302AE6}">
  <sheetPr>
    <tabColor theme="3" tint="0.249977111117893"/>
  </sheetPr>
  <dimension ref="B1:AP109"/>
  <sheetViews>
    <sheetView workbookViewId="0">
      <selection activeCell="D10" sqref="D10:E10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3.3984375" bestFit="1" customWidth="1"/>
    <col min="5" max="5" width="13.265625" bestFit="1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Page!C3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Page!C4</f>
        <v>20</v>
      </c>
      <c r="H3" s="1" t="s">
        <v>12</v>
      </c>
      <c r="I3" s="10">
        <f>$D$7*(1-$E$7)</f>
        <v>0.48</v>
      </c>
      <c r="J3" s="10">
        <f>$D$7*(1-$E$7)</f>
        <v>0.48</v>
      </c>
      <c r="K3" s="10">
        <f>$D$7*$E$7</f>
        <v>0</v>
      </c>
      <c r="L3" s="10">
        <f>$D$7*$E$7</f>
        <v>0</v>
      </c>
      <c r="M3" s="10">
        <f>$D$8*(1-$E$8)</f>
        <v>0.32</v>
      </c>
      <c r="N3" s="10">
        <f>$D$8*(1-$E$8)</f>
        <v>0.32</v>
      </c>
      <c r="O3" s="10">
        <f>$D$8*$E$8</f>
        <v>0</v>
      </c>
      <c r="P3" s="10">
        <f>$D$8*$E$8</f>
        <v>0</v>
      </c>
      <c r="Q3" s="10">
        <f>$D$9*(1-$E$9)</f>
        <v>0.2</v>
      </c>
      <c r="R3" s="10">
        <f>$D$9*(1-$E$9)</f>
        <v>0.2</v>
      </c>
      <c r="S3" s="10">
        <f>$D$9*$E$9</f>
        <v>0</v>
      </c>
      <c r="T3" s="10">
        <f>$D$9*$E$9</f>
        <v>0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7.039999999999999E-2</v>
      </c>
      <c r="X4" s="10">
        <f>SUMPRODUCT(I3:T3,I4:T4)/2</f>
        <v>7.039999999999999E-2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23">
        <v>0</v>
      </c>
      <c r="J5" s="10">
        <f>$C$7*($C$15+$C$16)</f>
        <v>1.9040000000000001E-2</v>
      </c>
      <c r="K5" s="23">
        <v>0</v>
      </c>
      <c r="L5" s="10">
        <f>$C$11</f>
        <v>5.0000000000000001E-3</v>
      </c>
      <c r="M5" s="23">
        <v>0</v>
      </c>
      <c r="N5" s="10">
        <f>$C$8*($C$14+$C$16)</f>
        <v>2.0400000000000001E-2</v>
      </c>
      <c r="O5" s="23">
        <v>0</v>
      </c>
      <c r="P5" s="10">
        <f>$C$11</f>
        <v>5.0000000000000001E-3</v>
      </c>
      <c r="Q5" s="23">
        <v>0</v>
      </c>
      <c r="R5" s="10">
        <f>(50%*$C$9*($C$14+$C$16))+(50%*$C$9*($C$15+$C$16))</f>
        <v>2.5839999999999998E-2</v>
      </c>
      <c r="S5" s="23">
        <v>0</v>
      </c>
      <c r="T5" s="10">
        <f>$C$11</f>
        <v>5.0000000000000001E-3</v>
      </c>
      <c r="V5" s="10"/>
      <c r="W5" s="23">
        <v>0</v>
      </c>
      <c r="X5" s="10">
        <f>SUMPRODUCT(J3:T3,J5:T5)</f>
        <v>2.0835199999999998E-2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Page!C12</f>
        <v>0.08</v>
      </c>
      <c r="D7" s="18">
        <v>0.48</v>
      </c>
      <c r="E7" s="18">
        <v>0</v>
      </c>
      <c r="U7" s="83" t="s">
        <v>76</v>
      </c>
      <c r="V7" s="83" t="s">
        <v>76</v>
      </c>
      <c r="W7" s="84" t="s">
        <v>77</v>
      </c>
      <c r="X7" s="84" t="s">
        <v>77</v>
      </c>
      <c r="Y7" s="83" t="s">
        <v>76</v>
      </c>
      <c r="Z7" s="83" t="s">
        <v>76</v>
      </c>
      <c r="AA7" s="83" t="s">
        <v>76</v>
      </c>
      <c r="AB7" s="84" t="s">
        <v>77</v>
      </c>
      <c r="AC7" s="84" t="s">
        <v>77</v>
      </c>
      <c r="AD7" s="84" t="s">
        <v>77</v>
      </c>
      <c r="AE7" s="83" t="s">
        <v>76</v>
      </c>
      <c r="AF7" s="83" t="s">
        <v>76</v>
      </c>
      <c r="AG7" s="83" t="s">
        <v>76</v>
      </c>
      <c r="AH7" s="84" t="s">
        <v>77</v>
      </c>
      <c r="AI7" s="84" t="s">
        <v>77</v>
      </c>
      <c r="AJ7" s="84" t="s">
        <v>77</v>
      </c>
      <c r="AK7" s="83" t="s">
        <v>76</v>
      </c>
      <c r="AL7" s="83" t="s">
        <v>76</v>
      </c>
      <c r="AM7" s="83" t="s">
        <v>76</v>
      </c>
      <c r="AN7" s="84" t="s">
        <v>77</v>
      </c>
      <c r="AO7" s="84" t="s">
        <v>77</v>
      </c>
      <c r="AP7" s="84" t="s">
        <v>77</v>
      </c>
    </row>
    <row r="8" spans="2:42" x14ac:dyDescent="0.45">
      <c r="B8" t="s">
        <v>1</v>
      </c>
      <c r="C8" s="4">
        <f>Page!C13</f>
        <v>0.05</v>
      </c>
      <c r="D8" s="18">
        <v>0.32</v>
      </c>
      <c r="E8" s="18">
        <v>0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Page!C14</f>
        <v>0.08</v>
      </c>
      <c r="D9" s="18">
        <v>0.2</v>
      </c>
      <c r="E9" s="18">
        <v>0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5184000</v>
      </c>
      <c r="J10" s="7">
        <f t="shared" si="1"/>
        <v>5092608</v>
      </c>
      <c r="K10" s="7">
        <f t="shared" si="1"/>
        <v>0</v>
      </c>
      <c r="L10" s="7">
        <f t="shared" si="1"/>
        <v>0</v>
      </c>
      <c r="M10" s="7">
        <f t="shared" si="1"/>
        <v>3360000</v>
      </c>
      <c r="N10" s="7">
        <f t="shared" si="1"/>
        <v>3294720</v>
      </c>
      <c r="O10" s="7">
        <f t="shared" si="1"/>
        <v>0</v>
      </c>
      <c r="P10" s="7">
        <f t="shared" si="1"/>
        <v>0</v>
      </c>
      <c r="Q10" s="7">
        <f t="shared" si="1"/>
        <v>2160000</v>
      </c>
      <c r="R10" s="7">
        <f t="shared" si="1"/>
        <v>2108320</v>
      </c>
      <c r="S10" s="7">
        <f t="shared" si="1"/>
        <v>0</v>
      </c>
      <c r="T10" s="7">
        <f t="shared" si="1"/>
        <v>0</v>
      </c>
      <c r="U10" s="8">
        <f>IF(G10="","",SUM(I10,K10,M10,O10,Q10,S10))</f>
        <v>10704000</v>
      </c>
      <c r="V10" s="8">
        <f>IF(H10="","",SUM(J10,L10,N10,P10,R10,T10))</f>
        <v>10495648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10495648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4.9564799999999999E-2</v>
      </c>
      <c r="AA10" s="10">
        <f>IF($G10="","",Z10-Y10)</f>
        <v>-2.0835200000000005E-2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4.9564799999999999E-2</v>
      </c>
      <c r="AD10" s="10">
        <f>IF($G10="","",AC10-AB10)</f>
        <v>-2.0835200000000005E-2</v>
      </c>
      <c r="AE10" s="10">
        <f t="shared" ref="AE10:AF25" si="4">IF($G10="","",IF($G10=1,Y10,(1+Y10)*(1+AE9)-1))</f>
        <v>7.0400000000000004E-2</v>
      </c>
      <c r="AF10" s="10">
        <f t="shared" si="4"/>
        <v>4.9564799999999999E-2</v>
      </c>
      <c r="AG10" s="10">
        <f>IF($G10="","",AF10-AE10)</f>
        <v>-2.0835200000000005E-2</v>
      </c>
      <c r="AH10" s="10">
        <f t="shared" ref="AH10:AI25" si="5">IF($G10="","",IF($G10=1,AB10,(1+AB10)*(1+AH9)-1))</f>
        <v>7.0400000000000004E-2</v>
      </c>
      <c r="AI10" s="10">
        <f t="shared" si="5"/>
        <v>4.9564799999999999E-2</v>
      </c>
      <c r="AJ10" s="10">
        <f>IF($G10="","",AI10-AH10)</f>
        <v>-2.0835200000000005E-2</v>
      </c>
      <c r="AK10" s="10">
        <f t="shared" ref="AK10:AK73" si="6">IF($G10="","",(1+AE10)^(1/G10)-1)</f>
        <v>7.0400000000000018E-2</v>
      </c>
      <c r="AL10" s="10">
        <f>IF($G10="","",(1+AF10)^(1/G10)-1)</f>
        <v>4.9564799999999964E-2</v>
      </c>
      <c r="AM10" s="10">
        <f>IF($G10="","",AL10-AK10)</f>
        <v>-2.0835200000000054E-2</v>
      </c>
      <c r="AN10" s="10">
        <f>IF($G10="","",(1+AH10)^(1/G10)-1)</f>
        <v>7.0400000000000018E-2</v>
      </c>
      <c r="AO10" s="10">
        <f>IF($G10="","",(1+AI10)^(1/G10)-1)</f>
        <v>4.9564799999999964E-2</v>
      </c>
      <c r="AP10" s="10">
        <f>IF($G10="","",AO10-AN10)</f>
        <v>-2.0835200000000054E-2</v>
      </c>
    </row>
    <row r="11" spans="2:42" x14ac:dyDescent="0.45">
      <c r="B11" t="s">
        <v>5</v>
      </c>
      <c r="C11" s="4">
        <f>Page!C27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5598720</v>
      </c>
      <c r="J11" s="7">
        <f t="shared" si="1"/>
        <v>5403053.38368</v>
      </c>
      <c r="K11" s="7">
        <f t="shared" si="1"/>
        <v>0</v>
      </c>
      <c r="L11" s="7">
        <f t="shared" si="1"/>
        <v>0</v>
      </c>
      <c r="M11" s="7">
        <f t="shared" si="1"/>
        <v>3528000</v>
      </c>
      <c r="N11" s="7">
        <f t="shared" si="1"/>
        <v>3392243.7120000003</v>
      </c>
      <c r="O11" s="7">
        <f t="shared" si="1"/>
        <v>0</v>
      </c>
      <c r="P11" s="7">
        <f t="shared" si="1"/>
        <v>0</v>
      </c>
      <c r="Q11" s="7">
        <f t="shared" si="1"/>
        <v>2332800</v>
      </c>
      <c r="R11" s="7">
        <f t="shared" si="1"/>
        <v>2222506.6112000002</v>
      </c>
      <c r="S11" s="7">
        <f t="shared" si="1"/>
        <v>0</v>
      </c>
      <c r="T11" s="7">
        <f t="shared" si="1"/>
        <v>0</v>
      </c>
      <c r="U11" s="8">
        <f t="shared" ref="U11:V74" si="7">IF(G11="","",SUM(I11,K11,M11,O11,Q11,S11))</f>
        <v>11459520</v>
      </c>
      <c r="V11" s="8">
        <f t="shared" si="7"/>
        <v>11017803.706879999</v>
      </c>
      <c r="W11" s="7">
        <f t="shared" si="2"/>
        <v>11457561.6</v>
      </c>
      <c r="X11" s="7">
        <f t="shared" si="2"/>
        <v>11015862.6939904</v>
      </c>
      <c r="Y11" s="10">
        <f t="shared" si="3"/>
        <v>7.0582959641255605E-2</v>
      </c>
      <c r="Z11" s="10">
        <f t="shared" ref="Z11:Z74" si="8">IF($G11="","",IF($G11=1,(V11-$C$2-H11)/($C$2+H11),(V11-V10-H11)/(V10+H11)))</f>
        <v>4.9749735021601287E-2</v>
      </c>
      <c r="AA11" s="10">
        <f t="shared" ref="AA11:AA74" si="9">IF($G11="","",Z11-Y11)</f>
        <v>-2.0833224619654318E-2</v>
      </c>
      <c r="AB11" s="10">
        <f t="shared" ref="AB11:AB74" si="10">IF($G11="","",IF($G11=1,(W11-$C$2-H11)/($C$2+H11),(W11-W10-H11)/(W10+H11)))</f>
        <v>7.0399999999999963E-2</v>
      </c>
      <c r="AC11" s="10">
        <f t="shared" ref="AC11:AC74" si="11">IF($G11="","",IF($G11=1,(X11-$C$2-H11)/($C$2+H11),(X11-X10-H11)/(X10+H11)))</f>
        <v>4.9564800000000006E-2</v>
      </c>
      <c r="AD11" s="10">
        <f t="shared" ref="AD11:AD74" si="12">IF($G11="","",AC11-AB11)</f>
        <v>-2.0835199999999957E-2</v>
      </c>
      <c r="AE11" s="10">
        <f t="shared" si="4"/>
        <v>0.14595200000000008</v>
      </c>
      <c r="AF11" s="10">
        <f t="shared" si="4"/>
        <v>0.10178037068799983</v>
      </c>
      <c r="AG11" s="10">
        <f t="shared" ref="AG11:AG74" si="13">IF($G11="","",AF11-AE11)</f>
        <v>-4.4171629312000249E-2</v>
      </c>
      <c r="AH11" s="10">
        <f t="shared" si="5"/>
        <v>0.14575616000000013</v>
      </c>
      <c r="AI11" s="10">
        <f t="shared" si="5"/>
        <v>0.10158626939903992</v>
      </c>
      <c r="AJ11" s="10">
        <f t="shared" ref="AJ11:AJ74" si="14">IF($G11="","",AI11-AH11)</f>
        <v>-4.4169890600960215E-2</v>
      </c>
      <c r="AK11" s="10">
        <f t="shared" si="6"/>
        <v>7.0491475911882207E-2</v>
      </c>
      <c r="AL11" s="10">
        <f t="shared" ref="AL11:AL74" si="15">IF($G11="","",(1+AF11)^(1/G11)-1)</f>
        <v>4.9657263437927979E-2</v>
      </c>
      <c r="AM11" s="10">
        <f t="shared" ref="AM11:AM74" si="16">IF($G11="","",AL11-AK11)</f>
        <v>-2.0834212473954228E-2</v>
      </c>
      <c r="AN11" s="10">
        <f t="shared" ref="AN11:AN74" si="17">IF($G11="","",(1+AH11)^(1/G11)-1)</f>
        <v>7.0400000000000018E-2</v>
      </c>
      <c r="AO11" s="10">
        <f t="shared" ref="AO11:AO74" si="18">IF($G11="","",(1+AI11)^(1/G11)-1)</f>
        <v>4.9564799999999964E-2</v>
      </c>
      <c r="AP11" s="10">
        <f t="shared" ref="AP11:AP74" si="19">IF($G11="","",AO11-AN11)</f>
        <v>-2.0835200000000054E-2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6046617.6000000006</v>
      </c>
      <c r="J12" s="7">
        <f t="shared" si="1"/>
        <v>5732423.5179491322</v>
      </c>
      <c r="K12" s="7">
        <f t="shared" si="1"/>
        <v>0</v>
      </c>
      <c r="L12" s="7">
        <f t="shared" si="1"/>
        <v>0</v>
      </c>
      <c r="M12" s="7">
        <f t="shared" si="1"/>
        <v>3704400</v>
      </c>
      <c r="N12" s="7">
        <f t="shared" si="1"/>
        <v>3492654.1258752006</v>
      </c>
      <c r="O12" s="7">
        <f t="shared" si="1"/>
        <v>0</v>
      </c>
      <c r="P12" s="7">
        <f t="shared" si="1"/>
        <v>0</v>
      </c>
      <c r="Q12" s="7">
        <f t="shared" si="1"/>
        <v>2519424</v>
      </c>
      <c r="R12" s="7">
        <f t="shared" si="1"/>
        <v>2342877.5692625921</v>
      </c>
      <c r="S12" s="7">
        <f t="shared" si="1"/>
        <v>0</v>
      </c>
      <c r="T12" s="7">
        <f t="shared" si="1"/>
        <v>0</v>
      </c>
      <c r="U12" s="8">
        <f t="shared" si="7"/>
        <v>12270441.600000001</v>
      </c>
      <c r="V12" s="8">
        <f t="shared" si="7"/>
        <v>11567955.213086925</v>
      </c>
      <c r="W12" s="7">
        <f t="shared" si="2"/>
        <v>12264173.93664</v>
      </c>
      <c r="X12" s="7">
        <f t="shared" si="2"/>
        <v>11561861.725245494</v>
      </c>
      <c r="Y12" s="10">
        <f t="shared" si="3"/>
        <v>7.0764011058054924E-2</v>
      </c>
      <c r="Z12" s="10">
        <f t="shared" si="8"/>
        <v>4.993295586337114E-2</v>
      </c>
      <c r="AA12" s="10">
        <f t="shared" si="9"/>
        <v>-2.0831055194683784E-2</v>
      </c>
      <c r="AB12" s="10">
        <f t="shared" si="10"/>
        <v>7.0400000000000032E-2</v>
      </c>
      <c r="AC12" s="10">
        <f t="shared" si="11"/>
        <v>4.9564799999999902E-2</v>
      </c>
      <c r="AD12" s="10">
        <f t="shared" si="12"/>
        <v>-2.083520000000013E-2</v>
      </c>
      <c r="AE12" s="10">
        <f t="shared" si="4"/>
        <v>0.22704416000000038</v>
      </c>
      <c r="AF12" s="10">
        <f t="shared" si="4"/>
        <v>0.15679552130869245</v>
      </c>
      <c r="AG12" s="10">
        <f t="shared" si="13"/>
        <v>-7.024863869130793E-2</v>
      </c>
      <c r="AH12" s="10">
        <f t="shared" si="5"/>
        <v>0.22641739366400015</v>
      </c>
      <c r="AI12" s="10">
        <f t="shared" si="5"/>
        <v>0.15618617252454947</v>
      </c>
      <c r="AJ12" s="10">
        <f t="shared" si="14"/>
        <v>-7.0231221139450684E-2</v>
      </c>
      <c r="AK12" s="10">
        <f t="shared" si="6"/>
        <v>7.058231325231934E-2</v>
      </c>
      <c r="AL12" s="10">
        <f t="shared" si="15"/>
        <v>4.9749152868627133E-2</v>
      </c>
      <c r="AM12" s="10">
        <f t="shared" si="16"/>
        <v>-2.0833160383692206E-2</v>
      </c>
      <c r="AN12" s="10">
        <f t="shared" si="17"/>
        <v>7.0400000000000018E-2</v>
      </c>
      <c r="AO12" s="10">
        <f t="shared" si="18"/>
        <v>4.9564799999999964E-2</v>
      </c>
      <c r="AP12" s="10">
        <f t="shared" si="19"/>
        <v>-2.0835200000000054E-2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6530347.0080000013</v>
      </c>
      <c r="J13" s="7">
        <f t="shared" si="1"/>
        <v>6081872.0556033105</v>
      </c>
      <c r="K13" s="7">
        <f t="shared" si="1"/>
        <v>0</v>
      </c>
      <c r="L13" s="7">
        <f t="shared" si="1"/>
        <v>0</v>
      </c>
      <c r="M13" s="7">
        <f t="shared" si="1"/>
        <v>3889620</v>
      </c>
      <c r="N13" s="7">
        <f t="shared" si="1"/>
        <v>3596036.688001107</v>
      </c>
      <c r="O13" s="7">
        <f t="shared" si="1"/>
        <v>0</v>
      </c>
      <c r="P13" s="7">
        <f t="shared" si="1"/>
        <v>0</v>
      </c>
      <c r="Q13" s="7">
        <f t="shared" si="1"/>
        <v>2720977.9200000004</v>
      </c>
      <c r="R13" s="7">
        <f t="shared" si="1"/>
        <v>2469767.8184138541</v>
      </c>
      <c r="S13" s="7">
        <f t="shared" si="1"/>
        <v>0</v>
      </c>
      <c r="T13" s="7">
        <f t="shared" si="1"/>
        <v>0</v>
      </c>
      <c r="U13" s="8">
        <f t="shared" si="7"/>
        <v>13140944.928000001</v>
      </c>
      <c r="V13" s="8">
        <f t="shared" si="7"/>
        <v>12147676.562018272</v>
      </c>
      <c r="W13" s="7">
        <f t="shared" si="2"/>
        <v>13127571.781779457</v>
      </c>
      <c r="X13" s="7">
        <f t="shared" si="2"/>
        <v>12134923.089284942</v>
      </c>
      <c r="Y13" s="10">
        <f t="shared" si="3"/>
        <v>7.0943113245410791E-2</v>
      </c>
      <c r="Z13" s="10">
        <f t="shared" si="8"/>
        <v>5.0114418516723026E-2</v>
      </c>
      <c r="AA13" s="10">
        <f t="shared" si="9"/>
        <v>-2.0828694728687765E-2</v>
      </c>
      <c r="AB13" s="10">
        <f t="shared" si="10"/>
        <v>7.0400000000000074E-2</v>
      </c>
      <c r="AC13" s="10">
        <f t="shared" si="11"/>
        <v>4.9564799999999937E-2</v>
      </c>
      <c r="AD13" s="10">
        <f t="shared" si="12"/>
        <v>-2.0835200000000137E-2</v>
      </c>
      <c r="AE13" s="10">
        <f t="shared" si="4"/>
        <v>0.31409449280000046</v>
      </c>
      <c r="AF13" s="10">
        <f t="shared" si="4"/>
        <v>0.21476765620182703</v>
      </c>
      <c r="AG13" s="10">
        <f t="shared" si="13"/>
        <v>-9.9326836598173429E-2</v>
      </c>
      <c r="AH13" s="10">
        <f t="shared" si="5"/>
        <v>0.31275717817794568</v>
      </c>
      <c r="AI13" s="10">
        <f t="shared" si="5"/>
        <v>0.21349230892849413</v>
      </c>
      <c r="AJ13" s="10">
        <f t="shared" si="14"/>
        <v>-9.9264869249451548E-2</v>
      </c>
      <c r="AK13" s="10">
        <f t="shared" si="6"/>
        <v>7.0672501853373371E-2</v>
      </c>
      <c r="AL13" s="10">
        <f t="shared" si="15"/>
        <v>4.9840457367812396E-2</v>
      </c>
      <c r="AM13" s="10">
        <f t="shared" si="16"/>
        <v>-2.0832044485560974E-2</v>
      </c>
      <c r="AN13" s="10">
        <f t="shared" si="17"/>
        <v>7.0400000000000018E-2</v>
      </c>
      <c r="AO13" s="10">
        <f t="shared" si="18"/>
        <v>4.9564799999999964E-2</v>
      </c>
      <c r="AP13" s="10">
        <f t="shared" si="19"/>
        <v>-2.0835200000000054E-2</v>
      </c>
    </row>
    <row r="14" spans="2:42" x14ac:dyDescent="0.45">
      <c r="B14" t="s">
        <v>7</v>
      </c>
      <c r="C14" s="4">
        <f>Page!C17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7052774.7686400022</v>
      </c>
      <c r="J14" s="7">
        <f t="shared" si="1"/>
        <v>6452622.9761128873</v>
      </c>
      <c r="K14" s="7">
        <f t="shared" si="1"/>
        <v>0</v>
      </c>
      <c r="L14" s="7">
        <f t="shared" si="1"/>
        <v>0</v>
      </c>
      <c r="M14" s="7">
        <f t="shared" si="1"/>
        <v>4084101</v>
      </c>
      <c r="N14" s="7">
        <f t="shared" si="1"/>
        <v>3702479.37396594</v>
      </c>
      <c r="O14" s="7">
        <f t="shared" si="1"/>
        <v>0</v>
      </c>
      <c r="P14" s="7">
        <f t="shared" si="1"/>
        <v>0</v>
      </c>
      <c r="Q14" s="7">
        <f t="shared" si="1"/>
        <v>2938656.1536000008</v>
      </c>
      <c r="R14" s="7">
        <f t="shared" si="1"/>
        <v>2603530.4434591485</v>
      </c>
      <c r="S14" s="7">
        <f t="shared" si="1"/>
        <v>0</v>
      </c>
      <c r="T14" s="7">
        <f t="shared" si="1"/>
        <v>0</v>
      </c>
      <c r="U14" s="8">
        <f t="shared" si="7"/>
        <v>14075531.922240004</v>
      </c>
      <c r="V14" s="8">
        <f t="shared" si="7"/>
        <v>12758632.793537974</v>
      </c>
      <c r="W14" s="7">
        <f t="shared" si="2"/>
        <v>14051752.835216731</v>
      </c>
      <c r="X14" s="7">
        <f t="shared" si="2"/>
        <v>12736388.125220731</v>
      </c>
      <c r="Y14" s="10">
        <f t="shared" si="3"/>
        <v>7.1120227606207856E-2</v>
      </c>
      <c r="Z14" s="10">
        <f t="shared" si="8"/>
        <v>5.029408120973182E-2</v>
      </c>
      <c r="AA14" s="10">
        <f t="shared" si="9"/>
        <v>-2.0826146396476036E-2</v>
      </c>
      <c r="AB14" s="10">
        <f t="shared" si="10"/>
        <v>7.0400000000000018E-2</v>
      </c>
      <c r="AC14" s="10">
        <f t="shared" si="11"/>
        <v>4.9564799999999923E-2</v>
      </c>
      <c r="AD14" s="10">
        <f t="shared" si="12"/>
        <v>-2.0835200000000095E-2</v>
      </c>
      <c r="AE14" s="10">
        <f t="shared" si="4"/>
        <v>0.40755319222400099</v>
      </c>
      <c r="AF14" s="10">
        <f t="shared" si="4"/>
        <v>0.2758632793537974</v>
      </c>
      <c r="AG14" s="10">
        <f t="shared" si="13"/>
        <v>-0.1316899128702036</v>
      </c>
      <c r="AH14" s="10">
        <f t="shared" si="5"/>
        <v>0.40517528352167309</v>
      </c>
      <c r="AI14" s="10">
        <f t="shared" si="5"/>
        <v>0.27363881252207323</v>
      </c>
      <c r="AJ14" s="10">
        <f t="shared" si="14"/>
        <v>-0.13153647099959986</v>
      </c>
      <c r="AK14" s="10">
        <f t="shared" si="6"/>
        <v>7.0762032029570987E-2</v>
      </c>
      <c r="AL14" s="10">
        <f t="shared" si="15"/>
        <v>4.9931166459813658E-2</v>
      </c>
      <c r="AM14" s="10">
        <f t="shared" si="16"/>
        <v>-2.0830865569757329E-2</v>
      </c>
      <c r="AN14" s="10">
        <f t="shared" si="17"/>
        <v>7.0400000000000018E-2</v>
      </c>
      <c r="AO14" s="10">
        <f t="shared" si="18"/>
        <v>4.9564799999999964E-2</v>
      </c>
      <c r="AP14" s="10">
        <f t="shared" si="19"/>
        <v>-2.0835200000000054E-2</v>
      </c>
    </row>
    <row r="15" spans="2:42" x14ac:dyDescent="0.45">
      <c r="B15" t="s">
        <v>8</v>
      </c>
      <c r="C15" s="4">
        <f>Page!C18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7616996.7501312029</v>
      </c>
      <c r="J15" s="7">
        <f t="shared" si="1"/>
        <v>6845974.8727367278</v>
      </c>
      <c r="K15" s="7">
        <f t="shared" si="1"/>
        <v>0</v>
      </c>
      <c r="L15" s="7">
        <f t="shared" si="1"/>
        <v>0</v>
      </c>
      <c r="M15" s="7">
        <f t="shared" si="1"/>
        <v>4288306.05</v>
      </c>
      <c r="N15" s="7">
        <f t="shared" si="1"/>
        <v>3812072.7634353321</v>
      </c>
      <c r="O15" s="7">
        <f t="shared" si="1"/>
        <v>0</v>
      </c>
      <c r="P15" s="7">
        <f t="shared" si="1"/>
        <v>0</v>
      </c>
      <c r="Q15" s="7">
        <f t="shared" si="1"/>
        <v>3173748.6458880012</v>
      </c>
      <c r="R15" s="7">
        <f t="shared" si="1"/>
        <v>2744537.6522768959</v>
      </c>
      <c r="S15" s="7">
        <f t="shared" si="1"/>
        <v>0</v>
      </c>
      <c r="T15" s="7">
        <f t="shared" si="1"/>
        <v>0</v>
      </c>
      <c r="U15" s="8">
        <f t="shared" si="7"/>
        <v>15079051.446019202</v>
      </c>
      <c r="V15" s="8">
        <f t="shared" si="7"/>
        <v>13402585.288448956</v>
      </c>
      <c r="W15" s="7">
        <f t="shared" si="2"/>
        <v>15040996.234815989</v>
      </c>
      <c r="X15" s="7">
        <f t="shared" si="2"/>
        <v>13367664.655369671</v>
      </c>
      <c r="Y15" s="10">
        <f t="shared" si="3"/>
        <v>7.129531795481138E-2</v>
      </c>
      <c r="Z15" s="10">
        <f t="shared" si="8"/>
        <v>5.0471904422010813E-2</v>
      </c>
      <c r="AA15" s="10">
        <f t="shared" si="9"/>
        <v>-2.0823413532800567E-2</v>
      </c>
      <c r="AB15" s="10">
        <f t="shared" si="10"/>
        <v>7.0400000000000004E-2</v>
      </c>
      <c r="AC15" s="10">
        <f t="shared" si="11"/>
        <v>4.9564799999999971E-2</v>
      </c>
      <c r="AD15" s="10">
        <f t="shared" si="12"/>
        <v>-2.0835200000000033E-2</v>
      </c>
      <c r="AE15" s="10">
        <f t="shared" si="4"/>
        <v>0.50790514460192093</v>
      </c>
      <c r="AF15" s="10">
        <f t="shared" si="4"/>
        <v>0.34025852884489538</v>
      </c>
      <c r="AG15" s="10">
        <f t="shared" si="13"/>
        <v>-0.16764661575702555</v>
      </c>
      <c r="AH15" s="10">
        <f t="shared" si="5"/>
        <v>0.50409962348159887</v>
      </c>
      <c r="AI15" s="10">
        <f t="shared" si="5"/>
        <v>0.33676646553696732</v>
      </c>
      <c r="AJ15" s="10">
        <f t="shared" si="14"/>
        <v>-0.16733315794463155</v>
      </c>
      <c r="AK15" s="10">
        <f t="shared" si="6"/>
        <v>7.0850894578311951E-2</v>
      </c>
      <c r="AL15" s="10">
        <f t="shared" si="15"/>
        <v>5.0021270119868122E-2</v>
      </c>
      <c r="AM15" s="10">
        <f t="shared" si="16"/>
        <v>-2.0829624458443829E-2</v>
      </c>
      <c r="AN15" s="10">
        <f t="shared" si="17"/>
        <v>7.0400000000000018E-2</v>
      </c>
      <c r="AO15" s="10">
        <f t="shared" si="18"/>
        <v>4.9564799999999964E-2</v>
      </c>
      <c r="AP15" s="10">
        <f t="shared" si="19"/>
        <v>-2.0835200000000054E-2</v>
      </c>
    </row>
    <row r="16" spans="2:42" x14ac:dyDescent="0.45">
      <c r="B16" t="s">
        <v>9</v>
      </c>
      <c r="C16" s="4">
        <f>Page!C19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8226356.4901417</v>
      </c>
      <c r="J16" s="7">
        <f t="shared" si="1"/>
        <v>7263305.5009787576</v>
      </c>
      <c r="K16" s="7">
        <f t="shared" si="1"/>
        <v>0</v>
      </c>
      <c r="L16" s="7">
        <f t="shared" si="1"/>
        <v>0</v>
      </c>
      <c r="M16" s="7">
        <f t="shared" si="1"/>
        <v>4502721.3525</v>
      </c>
      <c r="N16" s="7">
        <f t="shared" si="1"/>
        <v>3924910.1172330184</v>
      </c>
      <c r="O16" s="7">
        <f t="shared" si="1"/>
        <v>0</v>
      </c>
      <c r="P16" s="7">
        <f t="shared" si="1"/>
        <v>0</v>
      </c>
      <c r="Q16" s="7">
        <f t="shared" si="1"/>
        <v>3427648.5375590413</v>
      </c>
      <c r="R16" s="7">
        <f t="shared" si="1"/>
        <v>2893181.8115242124</v>
      </c>
      <c r="S16" s="7">
        <f t="shared" si="1"/>
        <v>0</v>
      </c>
      <c r="T16" s="7">
        <f t="shared" si="1"/>
        <v>0</v>
      </c>
      <c r="U16" s="8">
        <f t="shared" si="7"/>
        <v>16156726.380200742</v>
      </c>
      <c r="V16" s="8">
        <f t="shared" si="7"/>
        <v>14081397.429735988</v>
      </c>
      <c r="W16" s="7">
        <f t="shared" si="2"/>
        <v>16099882.369747035</v>
      </c>
      <c r="X16" s="7">
        <f t="shared" si="2"/>
        <v>14030230.280480137</v>
      </c>
      <c r="Y16" s="10">
        <f t="shared" si="3"/>
        <v>7.146835051524679E-2</v>
      </c>
      <c r="Z16" s="10">
        <f t="shared" si="8"/>
        <v>5.064785089426501E-2</v>
      </c>
      <c r="AA16" s="10">
        <f t="shared" si="9"/>
        <v>-2.0820499620981779E-2</v>
      </c>
      <c r="AB16" s="10">
        <f t="shared" si="10"/>
        <v>7.040000000000006E-2</v>
      </c>
      <c r="AC16" s="10">
        <f t="shared" si="11"/>
        <v>4.9564799999999951E-2</v>
      </c>
      <c r="AD16" s="10">
        <f t="shared" si="12"/>
        <v>-2.0835200000000109E-2</v>
      </c>
      <c r="AE16" s="10">
        <f t="shared" si="4"/>
        <v>0.61567263802007477</v>
      </c>
      <c r="AF16" s="10">
        <f t="shared" si="4"/>
        <v>0.40813974297359845</v>
      </c>
      <c r="AG16" s="10">
        <f t="shared" si="13"/>
        <v>-0.20753289504647632</v>
      </c>
      <c r="AH16" s="10">
        <f t="shared" si="5"/>
        <v>0.60998823697470339</v>
      </c>
      <c r="AI16" s="10">
        <f t="shared" si="5"/>
        <v>0.40302302804801404</v>
      </c>
      <c r="AJ16" s="10">
        <f t="shared" si="14"/>
        <v>-0.20696520892668935</v>
      </c>
      <c r="AK16" s="10">
        <f t="shared" si="6"/>
        <v>7.0939080779508279E-2</v>
      </c>
      <c r="AL16" s="10">
        <f t="shared" si="15"/>
        <v>5.0110758775653741E-2</v>
      </c>
      <c r="AM16" s="10">
        <f t="shared" si="16"/>
        <v>-2.0828322003854538E-2</v>
      </c>
      <c r="AN16" s="10">
        <f t="shared" si="17"/>
        <v>7.0400000000000018E-2</v>
      </c>
      <c r="AO16" s="10">
        <f t="shared" si="18"/>
        <v>4.9564799999999964E-2</v>
      </c>
      <c r="AP16" s="10">
        <f t="shared" si="19"/>
        <v>-2.0835200000000054E-2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8884465.0093530361</v>
      </c>
      <c r="J17" s="7">
        <f t="shared" si="1"/>
        <v>7706076.6043184223</v>
      </c>
      <c r="K17" s="7">
        <f t="shared" si="1"/>
        <v>0</v>
      </c>
      <c r="L17" s="7">
        <f t="shared" si="1"/>
        <v>0</v>
      </c>
      <c r="M17" s="7">
        <f t="shared" si="1"/>
        <v>4727857.4201250002</v>
      </c>
      <c r="N17" s="7">
        <f t="shared" si="1"/>
        <v>4041087.4567031162</v>
      </c>
      <c r="O17" s="7">
        <f t="shared" si="1"/>
        <v>0</v>
      </c>
      <c r="P17" s="7">
        <f t="shared" si="1"/>
        <v>0</v>
      </c>
      <c r="Q17" s="7">
        <f t="shared" si="1"/>
        <v>3701860.4205637649</v>
      </c>
      <c r="R17" s="7">
        <f t="shared" si="1"/>
        <v>3049876.5384363635</v>
      </c>
      <c r="S17" s="7">
        <f t="shared" si="1"/>
        <v>0</v>
      </c>
      <c r="T17" s="7">
        <f t="shared" si="1"/>
        <v>0</v>
      </c>
      <c r="U17" s="8">
        <f t="shared" si="7"/>
        <v>17314182.850041799</v>
      </c>
      <c r="V17" s="8">
        <f t="shared" si="7"/>
        <v>14797040.599457901</v>
      </c>
      <c r="W17" s="7">
        <f t="shared" si="2"/>
        <v>17233314.088577226</v>
      </c>
      <c r="X17" s="7">
        <f t="shared" si="2"/>
        <v>14725635.838286078</v>
      </c>
      <c r="Y17" s="10">
        <f t="shared" si="3"/>
        <v>7.1639293914110114E-2</v>
      </c>
      <c r="Z17" s="10">
        <f t="shared" si="8"/>
        <v>5.0821885632648472E-2</v>
      </c>
      <c r="AA17" s="10">
        <f t="shared" si="9"/>
        <v>-2.0817408281461641E-2</v>
      </c>
      <c r="AB17" s="10">
        <f t="shared" si="10"/>
        <v>7.0399999999999963E-2</v>
      </c>
      <c r="AC17" s="10">
        <f t="shared" si="11"/>
        <v>4.9564799999999902E-2</v>
      </c>
      <c r="AD17" s="10">
        <f t="shared" si="12"/>
        <v>-2.0835200000000061E-2</v>
      </c>
      <c r="AE17" s="10">
        <f t="shared" si="4"/>
        <v>0.7314182850041806</v>
      </c>
      <c r="AF17" s="10">
        <f t="shared" si="4"/>
        <v>0.4797040599457898</v>
      </c>
      <c r="AG17" s="10">
        <f t="shared" si="13"/>
        <v>-0.25171422505839081</v>
      </c>
      <c r="AH17" s="10">
        <f t="shared" si="5"/>
        <v>0.72333140885772251</v>
      </c>
      <c r="AI17" s="10">
        <f t="shared" si="5"/>
        <v>0.47256358382860819</v>
      </c>
      <c r="AJ17" s="10">
        <f t="shared" si="14"/>
        <v>-0.25076782502911432</v>
      </c>
      <c r="AK17" s="10">
        <f t="shared" si="6"/>
        <v>7.1026582394472459E-2</v>
      </c>
      <c r="AL17" s="10">
        <f t="shared" si="15"/>
        <v>5.0199623308082364E-2</v>
      </c>
      <c r="AM17" s="10">
        <f t="shared" si="16"/>
        <v>-2.0826959086390096E-2</v>
      </c>
      <c r="AN17" s="10">
        <f t="shared" si="17"/>
        <v>7.0400000000000018E-2</v>
      </c>
      <c r="AO17" s="10">
        <f t="shared" si="18"/>
        <v>4.9564799999999964E-2</v>
      </c>
      <c r="AP17" s="10">
        <f t="shared" si="19"/>
        <v>-2.0835200000000054E-2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9595222.2101012804</v>
      </c>
      <c r="J18" s="7">
        <f t="shared" si="1"/>
        <v>8175839.0341176726</v>
      </c>
      <c r="K18" s="7">
        <f t="shared" si="1"/>
        <v>0</v>
      </c>
      <c r="L18" s="7">
        <f t="shared" si="1"/>
        <v>0</v>
      </c>
      <c r="M18" s="7">
        <f t="shared" si="1"/>
        <v>4964250.2911312506</v>
      </c>
      <c r="N18" s="7">
        <f t="shared" si="1"/>
        <v>4160703.6454215287</v>
      </c>
      <c r="O18" s="7">
        <f t="shared" si="1"/>
        <v>0</v>
      </c>
      <c r="P18" s="7">
        <f t="shared" si="1"/>
        <v>0</v>
      </c>
      <c r="Q18" s="7">
        <f t="shared" si="1"/>
        <v>3998009.2542088665</v>
      </c>
      <c r="R18" s="7">
        <f t="shared" si="1"/>
        <v>3215057.8517580768</v>
      </c>
      <c r="S18" s="7">
        <f t="shared" si="1"/>
        <v>0</v>
      </c>
      <c r="T18" s="7">
        <f t="shared" si="1"/>
        <v>0</v>
      </c>
      <c r="U18" s="8">
        <f t="shared" si="7"/>
        <v>18557481.755441397</v>
      </c>
      <c r="V18" s="8">
        <f t="shared" si="7"/>
        <v>15551600.531297278</v>
      </c>
      <c r="W18" s="7">
        <f t="shared" si="2"/>
        <v>18446539.400413062</v>
      </c>
      <c r="X18" s="7">
        <f t="shared" si="2"/>
        <v>15455509.033483559</v>
      </c>
      <c r="Y18" s="10">
        <f t="shared" si="3"/>
        <v>7.1808119168419005E-2</v>
      </c>
      <c r="Z18" s="10">
        <f t="shared" si="8"/>
        <v>5.0993975908062351E-2</v>
      </c>
      <c r="AA18" s="10">
        <f t="shared" si="9"/>
        <v>-2.0814143260356653E-2</v>
      </c>
      <c r="AB18" s="10">
        <f t="shared" si="10"/>
        <v>7.039999999999999E-2</v>
      </c>
      <c r="AC18" s="10">
        <f t="shared" si="11"/>
        <v>4.9564799999999992E-2</v>
      </c>
      <c r="AD18" s="10">
        <f t="shared" si="12"/>
        <v>-2.0835199999999998E-2</v>
      </c>
      <c r="AE18" s="10">
        <f t="shared" si="4"/>
        <v>0.85574817554414051</v>
      </c>
      <c r="AF18" s="10">
        <f t="shared" si="4"/>
        <v>0.5551600531297276</v>
      </c>
      <c r="AG18" s="10">
        <f t="shared" si="13"/>
        <v>-0.30058812241441291</v>
      </c>
      <c r="AH18" s="10">
        <f t="shared" si="5"/>
        <v>0.84465394004130623</v>
      </c>
      <c r="AI18" s="10">
        <f t="shared" si="5"/>
        <v>0.54555090334835632</v>
      </c>
      <c r="AJ18" s="10">
        <f t="shared" si="14"/>
        <v>-0.29910303669294991</v>
      </c>
      <c r="AK18" s="10">
        <f t="shared" si="6"/>
        <v>7.1113391664079595E-2</v>
      </c>
      <c r="AL18" s="10">
        <f t="shared" si="15"/>
        <v>5.0287855051368568E-2</v>
      </c>
      <c r="AM18" s="10">
        <f t="shared" si="16"/>
        <v>-2.0825536612711026E-2</v>
      </c>
      <c r="AN18" s="10">
        <f t="shared" si="17"/>
        <v>7.0400000000000018E-2</v>
      </c>
      <c r="AO18" s="10">
        <f t="shared" si="18"/>
        <v>4.9564799999999964E-2</v>
      </c>
      <c r="AP18" s="10">
        <f t="shared" si="19"/>
        <v>-2.0835200000000054E-2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10362839.986909384</v>
      </c>
      <c r="J19" s="7">
        <f t="shared" si="1"/>
        <v>8674238.1816374846</v>
      </c>
      <c r="K19" s="7">
        <f t="shared" si="1"/>
        <v>0</v>
      </c>
      <c r="L19" s="7">
        <f t="shared" si="1"/>
        <v>0</v>
      </c>
      <c r="M19" s="7">
        <f t="shared" si="1"/>
        <v>5212462.8056878131</v>
      </c>
      <c r="N19" s="7">
        <f t="shared" si="1"/>
        <v>4283860.473326006</v>
      </c>
      <c r="O19" s="7">
        <f t="shared" si="1"/>
        <v>0</v>
      </c>
      <c r="P19" s="7">
        <f t="shared" si="1"/>
        <v>0</v>
      </c>
      <c r="Q19" s="7">
        <f t="shared" si="1"/>
        <v>4317849.9945455762</v>
      </c>
      <c r="R19" s="7">
        <f t="shared" si="1"/>
        <v>3389185.3850092944</v>
      </c>
      <c r="S19" s="7">
        <f t="shared" si="1"/>
        <v>0</v>
      </c>
      <c r="T19" s="7">
        <f t="shared" si="1"/>
        <v>0</v>
      </c>
      <c r="U19" s="8">
        <f t="shared" si="7"/>
        <v>19893152.787142772</v>
      </c>
      <c r="V19" s="8">
        <f t="shared" si="7"/>
        <v>16347284.039972784</v>
      </c>
      <c r="W19" s="7">
        <f t="shared" si="2"/>
        <v>19745175.774202142</v>
      </c>
      <c r="X19" s="7">
        <f t="shared" si="2"/>
        <v>16221558.247626364</v>
      </c>
      <c r="Y19" s="10">
        <f t="shared" si="3"/>
        <v>7.1974799668588191E-2</v>
      </c>
      <c r="Z19" s="10">
        <f t="shared" si="8"/>
        <v>5.1164091250557112E-2</v>
      </c>
      <c r="AA19" s="10">
        <f t="shared" si="9"/>
        <v>-2.0810708418031079E-2</v>
      </c>
      <c r="AB19" s="10">
        <f t="shared" si="10"/>
        <v>7.039999999999999E-2</v>
      </c>
      <c r="AC19" s="10">
        <f t="shared" si="11"/>
        <v>4.9564799999999937E-2</v>
      </c>
      <c r="AD19" s="10">
        <f t="shared" si="12"/>
        <v>-2.0835200000000054E-2</v>
      </c>
      <c r="AE19" s="10">
        <f t="shared" si="4"/>
        <v>0.98931527871427805</v>
      </c>
      <c r="AF19" s="10">
        <f t="shared" si="4"/>
        <v>0.63472840399727826</v>
      </c>
      <c r="AG19" s="10">
        <f t="shared" si="13"/>
        <v>-0.35458687471699979</v>
      </c>
      <c r="AH19" s="10">
        <f t="shared" si="5"/>
        <v>0.97451757742021416</v>
      </c>
      <c r="AI19" s="10">
        <f t="shared" si="5"/>
        <v>0.62215582476263687</v>
      </c>
      <c r="AJ19" s="10">
        <f t="shared" si="14"/>
        <v>-0.3523617526575773</v>
      </c>
      <c r="AK19" s="10">
        <f t="shared" si="6"/>
        <v>7.1199501306231427E-2</v>
      </c>
      <c r="AL19" s="10">
        <f t="shared" si="15"/>
        <v>5.0375445792396611E-2</v>
      </c>
      <c r="AM19" s="10">
        <f t="shared" si="16"/>
        <v>-2.0824055513834816E-2</v>
      </c>
      <c r="AN19" s="10">
        <f t="shared" si="17"/>
        <v>7.0400000000000018E-2</v>
      </c>
      <c r="AO19" s="10">
        <f t="shared" si="18"/>
        <v>4.9564799999999964E-2</v>
      </c>
      <c r="AP19" s="10">
        <f t="shared" si="19"/>
        <v>-2.0835200000000054E-2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11191867.185862135</v>
      </c>
      <c r="J20" s="7">
        <f t="shared" si="1"/>
        <v>9203019.7411901057</v>
      </c>
      <c r="K20" s="7">
        <f t="shared" si="1"/>
        <v>0</v>
      </c>
      <c r="L20" s="7">
        <f t="shared" si="1"/>
        <v>0</v>
      </c>
      <c r="M20" s="7">
        <f t="shared" si="1"/>
        <v>5473085.9459722042</v>
      </c>
      <c r="N20" s="7">
        <f t="shared" si="1"/>
        <v>4410662.7433364559</v>
      </c>
      <c r="O20" s="7">
        <f t="shared" si="1"/>
        <v>0</v>
      </c>
      <c r="P20" s="7">
        <f t="shared" si="1"/>
        <v>0</v>
      </c>
      <c r="Q20" s="7">
        <f t="shared" si="1"/>
        <v>4663277.9941092227</v>
      </c>
      <c r="R20" s="7">
        <f t="shared" si="1"/>
        <v>3572743.6654613977</v>
      </c>
      <c r="S20" s="7">
        <f t="shared" si="1"/>
        <v>0</v>
      </c>
      <c r="T20" s="7">
        <f t="shared" si="1"/>
        <v>0</v>
      </c>
      <c r="U20" s="8">
        <f t="shared" si="7"/>
        <v>21328231.125943564</v>
      </c>
      <c r="V20" s="8">
        <f t="shared" si="7"/>
        <v>17186426.149987958</v>
      </c>
      <c r="W20" s="7">
        <f t="shared" si="2"/>
        <v>21135236.148705974</v>
      </c>
      <c r="X20" s="7">
        <f t="shared" si="2"/>
        <v>17025576.537858315</v>
      </c>
      <c r="Y20" s="10">
        <f t="shared" si="3"/>
        <v>7.2139311156766625E-2</v>
      </c>
      <c r="Z20" s="10">
        <f t="shared" si="8"/>
        <v>5.1332203439010619E-2</v>
      </c>
      <c r="AA20" s="10">
        <f t="shared" si="9"/>
        <v>-2.0807107717756006E-2</v>
      </c>
      <c r="AB20" s="10">
        <f t="shared" si="10"/>
        <v>7.0400000000000074E-2</v>
      </c>
      <c r="AC20" s="10">
        <f t="shared" si="11"/>
        <v>4.9564799999999958E-2</v>
      </c>
      <c r="AD20" s="10">
        <f t="shared" si="12"/>
        <v>-2.0835200000000116E-2</v>
      </c>
      <c r="AE20" s="10">
        <f t="shared" si="4"/>
        <v>1.1328231125943571</v>
      </c>
      <c r="AF20" s="10">
        <f t="shared" si="4"/>
        <v>0.71864261499879589</v>
      </c>
      <c r="AG20" s="10">
        <f t="shared" si="13"/>
        <v>-0.41418049759556119</v>
      </c>
      <c r="AH20" s="10">
        <f t="shared" si="5"/>
        <v>1.1135236148705974</v>
      </c>
      <c r="AI20" s="10">
        <f t="shared" si="5"/>
        <v>0.70255765378583201</v>
      </c>
      <c r="AJ20" s="10">
        <f t="shared" si="14"/>
        <v>-0.41096596108476535</v>
      </c>
      <c r="AK20" s="10">
        <f t="shared" si="6"/>
        <v>7.1284904512645797E-2</v>
      </c>
      <c r="AL20" s="10">
        <f t="shared" si="15"/>
        <v>5.0462387769403261E-2</v>
      </c>
      <c r="AM20" s="10">
        <f t="shared" si="16"/>
        <v>-2.0822516743242536E-2</v>
      </c>
      <c r="AN20" s="10">
        <f t="shared" si="17"/>
        <v>7.0400000000000018E-2</v>
      </c>
      <c r="AO20" s="10">
        <f t="shared" si="18"/>
        <v>4.9564799999999964E-2</v>
      </c>
      <c r="AP20" s="10">
        <f t="shared" si="19"/>
        <v>-2.0835200000000054E-2</v>
      </c>
    </row>
    <row r="21" spans="2:42" x14ac:dyDescent="0.45">
      <c r="B21" s="85" t="s">
        <v>42</v>
      </c>
      <c r="C21" s="86" t="s">
        <v>76</v>
      </c>
      <c r="D21" s="86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12087216.560731107</v>
      </c>
      <c r="J21" s="7">
        <f t="shared" si="1"/>
        <v>9764035.8246130534</v>
      </c>
      <c r="K21" s="7">
        <f t="shared" si="1"/>
        <v>0</v>
      </c>
      <c r="L21" s="7">
        <f t="shared" si="1"/>
        <v>0</v>
      </c>
      <c r="M21" s="7">
        <f t="shared" si="1"/>
        <v>5746740.2432708144</v>
      </c>
      <c r="N21" s="7">
        <f t="shared" si="1"/>
        <v>4541218.3605392156</v>
      </c>
      <c r="O21" s="7">
        <f t="shared" si="1"/>
        <v>0</v>
      </c>
      <c r="P21" s="7">
        <f t="shared" si="1"/>
        <v>0</v>
      </c>
      <c r="Q21" s="7">
        <f t="shared" si="1"/>
        <v>5036340.2336379606</v>
      </c>
      <c r="R21" s="7">
        <f t="shared" si="1"/>
        <v>3766243.4623827869</v>
      </c>
      <c r="S21" s="7">
        <f t="shared" si="1"/>
        <v>0</v>
      </c>
      <c r="T21" s="7">
        <f t="shared" si="1"/>
        <v>0</v>
      </c>
      <c r="U21" s="8">
        <f t="shared" si="7"/>
        <v>22870297.037639879</v>
      </c>
      <c r="V21" s="8">
        <f t="shared" si="7"/>
        <v>18071497.647535056</v>
      </c>
      <c r="W21" s="7">
        <f t="shared" si="2"/>
        <v>22623156.773574874</v>
      </c>
      <c r="X21" s="7">
        <f t="shared" si="2"/>
        <v>17869445.833841953</v>
      </c>
      <c r="Y21" s="10">
        <f t="shared" si="3"/>
        <v>7.230163170074394E-2</v>
      </c>
      <c r="Z21" s="10">
        <f t="shared" si="8"/>
        <v>5.1498286486263908E-2</v>
      </c>
      <c r="AA21" s="10">
        <f t="shared" si="9"/>
        <v>-2.0803345214480032E-2</v>
      </c>
      <c r="AB21" s="10">
        <f t="shared" si="10"/>
        <v>7.0399999999999949E-2</v>
      </c>
      <c r="AC21" s="10">
        <f t="shared" si="11"/>
        <v>4.956479999999993E-2</v>
      </c>
      <c r="AD21" s="10">
        <f t="shared" si="12"/>
        <v>-2.0835200000000019E-2</v>
      </c>
      <c r="AE21" s="10">
        <f t="shared" si="4"/>
        <v>1.2870297037639884</v>
      </c>
      <c r="AF21" s="10">
        <f t="shared" si="4"/>
        <v>0.80714976475350553</v>
      </c>
      <c r="AG21" s="10">
        <f t="shared" si="13"/>
        <v>-0.47987993901048287</v>
      </c>
      <c r="AH21" s="10">
        <f t="shared" si="5"/>
        <v>1.2623156773574875</v>
      </c>
      <c r="AI21" s="10">
        <f t="shared" si="5"/>
        <v>0.78694458338419593</v>
      </c>
      <c r="AJ21" s="10">
        <f t="shared" si="14"/>
        <v>-0.47537109397329158</v>
      </c>
      <c r="AK21" s="10">
        <f t="shared" si="6"/>
        <v>7.1369594945001724E-2</v>
      </c>
      <c r="AL21" s="10">
        <f t="shared" si="15"/>
        <v>5.0548673670002708E-2</v>
      </c>
      <c r="AM21" s="10">
        <f t="shared" si="16"/>
        <v>-2.0820921274999016E-2</v>
      </c>
      <c r="AN21" s="10">
        <f t="shared" si="17"/>
        <v>7.0400000000000018E-2</v>
      </c>
      <c r="AO21" s="10">
        <f t="shared" si="18"/>
        <v>4.9564799999999964E-2</v>
      </c>
      <c r="AP21" s="10">
        <f t="shared" si="19"/>
        <v>-2.0835200000000054E-2</v>
      </c>
    </row>
    <row r="22" spans="2:42" x14ac:dyDescent="0.45">
      <c r="B22" t="s">
        <v>43</v>
      </c>
      <c r="C22" s="8">
        <f>_xlfn.XLOOKUP(C3,G:G,V:V)</f>
        <v>27153621.883681335</v>
      </c>
      <c r="D22" s="8">
        <f>_xlfn.XLOOKUP(C3,G:G,X:X)</f>
        <v>26313895.198113486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13054193.885589598</v>
      </c>
      <c r="J22" s="7">
        <f t="shared" si="1"/>
        <v>10359251.448481465</v>
      </c>
      <c r="K22" s="7">
        <f t="shared" si="1"/>
        <v>0</v>
      </c>
      <c r="L22" s="7">
        <f t="shared" si="1"/>
        <v>0</v>
      </c>
      <c r="M22" s="7">
        <f t="shared" si="1"/>
        <v>6034077.2554343557</v>
      </c>
      <c r="N22" s="7">
        <f t="shared" si="1"/>
        <v>4675638.4240111765</v>
      </c>
      <c r="O22" s="7">
        <f t="shared" si="1"/>
        <v>0</v>
      </c>
      <c r="P22" s="7">
        <f t="shared" si="1"/>
        <v>0</v>
      </c>
      <c r="Q22" s="7">
        <f t="shared" si="1"/>
        <v>5439247.4523289977</v>
      </c>
      <c r="R22" s="7">
        <f t="shared" si="1"/>
        <v>3970223.2083054385</v>
      </c>
      <c r="S22" s="7">
        <f t="shared" si="1"/>
        <v>0</v>
      </c>
      <c r="T22" s="7">
        <f t="shared" si="1"/>
        <v>0</v>
      </c>
      <c r="U22" s="8">
        <f t="shared" si="7"/>
        <v>24527518.593352951</v>
      </c>
      <c r="V22" s="8">
        <f t="shared" si="7"/>
        <v>19005113.080798078</v>
      </c>
      <c r="W22" s="7">
        <f t="shared" si="2"/>
        <v>24215827.010434546</v>
      </c>
      <c r="X22" s="7">
        <f t="shared" si="2"/>
        <v>18755141.342707161</v>
      </c>
      <c r="Y22" s="10">
        <f t="shared" si="3"/>
        <v>7.2461741663679372E-2</v>
      </c>
      <c r="Z22" s="10">
        <f t="shared" si="8"/>
        <v>5.1662316619915959E-2</v>
      </c>
      <c r="AA22" s="10">
        <f t="shared" si="9"/>
        <v>-2.0799425043763413E-2</v>
      </c>
      <c r="AB22" s="10">
        <f t="shared" si="10"/>
        <v>7.0400000000000032E-2</v>
      </c>
      <c r="AC22" s="10">
        <f t="shared" si="11"/>
        <v>4.9564799999999874E-2</v>
      </c>
      <c r="AD22" s="10">
        <f t="shared" si="12"/>
        <v>-2.0835200000000158E-2</v>
      </c>
      <c r="AE22" s="10">
        <f t="shared" si="4"/>
        <v>1.4527518593352959</v>
      </c>
      <c r="AF22" s="10">
        <f t="shared" si="4"/>
        <v>0.90051130807980773</v>
      </c>
      <c r="AG22" s="10">
        <f t="shared" si="13"/>
        <v>-0.55224055125548821</v>
      </c>
      <c r="AH22" s="10">
        <f t="shared" si="5"/>
        <v>1.4215827010434547</v>
      </c>
      <c r="AI22" s="10">
        <f t="shared" si="5"/>
        <v>0.87551413427071689</v>
      </c>
      <c r="AJ22" s="10">
        <f t="shared" si="14"/>
        <v>-0.54606856677273785</v>
      </c>
      <c r="AK22" s="10">
        <f t="shared" si="6"/>
        <v>7.1453566730468987E-2</v>
      </c>
      <c r="AL22" s="10">
        <f t="shared" si="15"/>
        <v>5.0634296628576214E-2</v>
      </c>
      <c r="AM22" s="10">
        <f t="shared" si="16"/>
        <v>-2.0819270101892773E-2</v>
      </c>
      <c r="AN22" s="10">
        <f t="shared" si="17"/>
        <v>7.0400000000000018E-2</v>
      </c>
      <c r="AO22" s="10">
        <f t="shared" si="18"/>
        <v>4.9564799999999964E-2</v>
      </c>
      <c r="AP22" s="10">
        <f t="shared" si="19"/>
        <v>-2.0835200000000054E-2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14098529.396436766</v>
      </c>
      <c r="J23" s="7">
        <f t="shared" si="1"/>
        <v>10990751.416780895</v>
      </c>
      <c r="K23" s="7">
        <f t="shared" si="1"/>
        <v>0</v>
      </c>
      <c r="L23" s="7">
        <f t="shared" si="1"/>
        <v>0</v>
      </c>
      <c r="M23" s="7">
        <f t="shared" si="1"/>
        <v>6335781.1182060735</v>
      </c>
      <c r="N23" s="7">
        <f t="shared" si="1"/>
        <v>4814037.3213619078</v>
      </c>
      <c r="O23" s="7">
        <f t="shared" si="1"/>
        <v>0</v>
      </c>
      <c r="P23" s="7">
        <f t="shared" si="1"/>
        <v>0</v>
      </c>
      <c r="Q23" s="7">
        <f t="shared" si="1"/>
        <v>5874387.2485153181</v>
      </c>
      <c r="R23" s="7">
        <f t="shared" si="1"/>
        <v>4185250.4972672611</v>
      </c>
      <c r="S23" s="7">
        <f t="shared" si="1"/>
        <v>0</v>
      </c>
      <c r="T23" s="7">
        <f t="shared" si="1"/>
        <v>0</v>
      </c>
      <c r="U23" s="8">
        <f t="shared" si="7"/>
        <v>26308697.763158157</v>
      </c>
      <c r="V23" s="8">
        <f t="shared" si="7"/>
        <v>19990039.235410064</v>
      </c>
      <c r="W23" s="7">
        <f t="shared" si="2"/>
        <v>25920621.231969137</v>
      </c>
      <c r="X23" s="7">
        <f t="shared" si="2"/>
        <v>19684736.172330171</v>
      </c>
      <c r="Y23" s="10">
        <f t="shared" si="3"/>
        <v>7.2619623669877176E-2</v>
      </c>
      <c r="Z23" s="10">
        <f t="shared" si="8"/>
        <v>5.1824272258980231E-2</v>
      </c>
      <c r="AA23" s="10">
        <f t="shared" si="9"/>
        <v>-2.0795351410896945E-2</v>
      </c>
      <c r="AB23" s="10">
        <f t="shared" si="10"/>
        <v>7.0399999999999963E-2</v>
      </c>
      <c r="AC23" s="10">
        <f t="shared" si="11"/>
        <v>4.9564799999999902E-2</v>
      </c>
      <c r="AD23" s="10">
        <f t="shared" si="12"/>
        <v>-2.0835200000000061E-2</v>
      </c>
      <c r="AE23" s="10">
        <f t="shared" si="4"/>
        <v>1.6308697763158162</v>
      </c>
      <c r="AF23" s="10">
        <f t="shared" si="4"/>
        <v>0.9990039235410062</v>
      </c>
      <c r="AG23" s="10">
        <f t="shared" si="13"/>
        <v>-0.63186585277481</v>
      </c>
      <c r="AH23" s="10">
        <f t="shared" si="5"/>
        <v>1.5920621231969139</v>
      </c>
      <c r="AI23" s="10">
        <f t="shared" si="5"/>
        <v>0.96847361723301795</v>
      </c>
      <c r="AJ23" s="10">
        <f t="shared" si="14"/>
        <v>-0.62358850596389592</v>
      </c>
      <c r="AK23" s="10">
        <f t="shared" si="6"/>
        <v>7.1536814456651499E-2</v>
      </c>
      <c r="AL23" s="10">
        <f t="shared" si="15"/>
        <v>5.0719250223051349E-2</v>
      </c>
      <c r="AM23" s="10">
        <f t="shared" si="16"/>
        <v>-2.081756423360015E-2</v>
      </c>
      <c r="AN23" s="10">
        <f t="shared" si="17"/>
        <v>7.0400000000000018E-2</v>
      </c>
      <c r="AO23" s="10">
        <f t="shared" si="18"/>
        <v>4.9564799999999964E-2</v>
      </c>
      <c r="AP23" s="10">
        <f t="shared" si="19"/>
        <v>-2.0835200000000054E-2</v>
      </c>
    </row>
    <row r="24" spans="2:42" x14ac:dyDescent="0.45">
      <c r="B24" t="s">
        <v>62</v>
      </c>
      <c r="C24" s="9">
        <f>_xlfn.XLOOKUP(C3,G:G,AE:AE)</f>
        <v>3.0185061234637454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15226411.748151708</v>
      </c>
      <c r="J24" s="7">
        <f t="shared" si="1"/>
        <v>11660747.623147856</v>
      </c>
      <c r="K24" s="7">
        <f t="shared" si="1"/>
        <v>0</v>
      </c>
      <c r="L24" s="7">
        <f t="shared" si="1"/>
        <v>0</v>
      </c>
      <c r="M24" s="7">
        <f t="shared" si="1"/>
        <v>6652570.1741163777</v>
      </c>
      <c r="N24" s="7">
        <f t="shared" si="1"/>
        <v>4956532.8260742202</v>
      </c>
      <c r="O24" s="7">
        <f t="shared" si="1"/>
        <v>0</v>
      </c>
      <c r="P24" s="7">
        <f t="shared" si="1"/>
        <v>0</v>
      </c>
      <c r="Q24" s="7">
        <f t="shared" si="1"/>
        <v>6344338.2283965442</v>
      </c>
      <c r="R24" s="7">
        <f t="shared" si="1"/>
        <v>4411923.6641992563</v>
      </c>
      <c r="S24" s="7">
        <f t="shared" si="1"/>
        <v>0</v>
      </c>
      <c r="T24" s="7">
        <f t="shared" si="1"/>
        <v>0</v>
      </c>
      <c r="U24" s="8">
        <f t="shared" si="7"/>
        <v>28223320.150664628</v>
      </c>
      <c r="V24" s="8">
        <f t="shared" si="7"/>
        <v>21029204.113421332</v>
      </c>
      <c r="W24" s="7">
        <f t="shared" si="2"/>
        <v>27745432.966699764</v>
      </c>
      <c r="X24" s="7">
        <f t="shared" si="2"/>
        <v>20660406.18376448</v>
      </c>
      <c r="Y24" s="10">
        <f t="shared" si="3"/>
        <v>7.2775262566877968E-2</v>
      </c>
      <c r="Z24" s="10">
        <f t="shared" si="8"/>
        <v>5.1984133986615999E-2</v>
      </c>
      <c r="AA24" s="10">
        <f t="shared" si="9"/>
        <v>-2.0791128580261969E-2</v>
      </c>
      <c r="AB24" s="10">
        <f t="shared" si="10"/>
        <v>7.0400000000000004E-2</v>
      </c>
      <c r="AC24" s="10">
        <f t="shared" si="11"/>
        <v>4.9564799999999937E-2</v>
      </c>
      <c r="AD24" s="10">
        <f t="shared" si="12"/>
        <v>-2.0835200000000068E-2</v>
      </c>
      <c r="AE24" s="10">
        <f t="shared" si="4"/>
        <v>1.8223320150664635</v>
      </c>
      <c r="AF24" s="10">
        <f t="shared" si="4"/>
        <v>1.1029204113421329</v>
      </c>
      <c r="AG24" s="10">
        <f t="shared" si="13"/>
        <v>-0.71941160372433055</v>
      </c>
      <c r="AH24" s="10">
        <f t="shared" si="5"/>
        <v>1.7745432966699766</v>
      </c>
      <c r="AI24" s="10">
        <f t="shared" si="5"/>
        <v>1.0660406183764488</v>
      </c>
      <c r="AJ24" s="10">
        <f t="shared" si="14"/>
        <v>-0.70850267829352775</v>
      </c>
      <c r="AK24" s="10">
        <f t="shared" si="6"/>
        <v>7.161933316597513E-2</v>
      </c>
      <c r="AL24" s="10">
        <f t="shared" si="15"/>
        <v>5.0803528471097925E-2</v>
      </c>
      <c r="AM24" s="10">
        <f t="shared" si="16"/>
        <v>-2.0815804694877205E-2</v>
      </c>
      <c r="AN24" s="10">
        <f t="shared" si="17"/>
        <v>7.0400000000000018E-2</v>
      </c>
      <c r="AO24" s="10">
        <f t="shared" si="18"/>
        <v>4.9564799999999964E-2</v>
      </c>
      <c r="AP24" s="10">
        <f t="shared" si="19"/>
        <v>-2.0835200000000054E-2</v>
      </c>
    </row>
    <row r="25" spans="2:42" x14ac:dyDescent="0.45">
      <c r="B25" t="s">
        <v>64</v>
      </c>
      <c r="C25" s="9">
        <f>_xlfn.XLOOKUP(C3,G:G,AF:AF)</f>
        <v>1.7153621883681338</v>
      </c>
      <c r="D25" s="9">
        <f>_xlfn.XLOOKUP(C3,G:G,AI:AI)</f>
        <v>1.6313895198113504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16444524.688003846</v>
      </c>
      <c r="J25" s="7">
        <f t="shared" si="1"/>
        <v>12371586.798254948</v>
      </c>
      <c r="K25" s="7">
        <f t="shared" si="1"/>
        <v>0</v>
      </c>
      <c r="L25" s="7">
        <f t="shared" si="1"/>
        <v>0</v>
      </c>
      <c r="M25" s="7">
        <f t="shared" si="1"/>
        <v>6985198.6828221967</v>
      </c>
      <c r="N25" s="7">
        <f t="shared" si="1"/>
        <v>5103246.1977260178</v>
      </c>
      <c r="O25" s="7">
        <f t="shared" si="1"/>
        <v>0</v>
      </c>
      <c r="P25" s="7">
        <f t="shared" si="1"/>
        <v>0</v>
      </c>
      <c r="Q25" s="7">
        <f t="shared" si="1"/>
        <v>6851885.286668268</v>
      </c>
      <c r="R25" s="7">
        <f t="shared" si="1"/>
        <v>4650873.4498522878</v>
      </c>
      <c r="S25" s="7">
        <f t="shared" si="1"/>
        <v>0</v>
      </c>
      <c r="T25" s="7">
        <f t="shared" si="1"/>
        <v>0</v>
      </c>
      <c r="U25" s="8">
        <f t="shared" si="7"/>
        <v>30281608.65749431</v>
      </c>
      <c r="V25" s="8">
        <f t="shared" si="7"/>
        <v>22125706.445833255</v>
      </c>
      <c r="W25" s="7">
        <f t="shared" si="2"/>
        <v>29698711.447555427</v>
      </c>
      <c r="X25" s="7">
        <f t="shared" si="2"/>
        <v>21684435.084181529</v>
      </c>
      <c r="Y25" s="10">
        <f t="shared" si="3"/>
        <v>7.2928645384097809E-2</v>
      </c>
      <c r="Z25" s="10">
        <f t="shared" si="8"/>
        <v>5.2141884519162997E-2</v>
      </c>
      <c r="AA25" s="10">
        <f t="shared" si="9"/>
        <v>-2.0786760864934813E-2</v>
      </c>
      <c r="AB25" s="10">
        <f t="shared" si="10"/>
        <v>7.0399999999999963E-2</v>
      </c>
      <c r="AC25" s="10">
        <f t="shared" si="11"/>
        <v>4.9564799999999944E-2</v>
      </c>
      <c r="AD25" s="10">
        <f t="shared" si="12"/>
        <v>-2.0835200000000019E-2</v>
      </c>
      <c r="AE25" s="10">
        <f t="shared" si="4"/>
        <v>2.0281608657494319</v>
      </c>
      <c r="AF25" s="10">
        <f t="shared" si="4"/>
        <v>1.2125706445833253</v>
      </c>
      <c r="AG25" s="10">
        <f t="shared" si="13"/>
        <v>-0.81559022116610658</v>
      </c>
      <c r="AH25" s="10">
        <f t="shared" si="5"/>
        <v>1.969871144755543</v>
      </c>
      <c r="AI25" s="10">
        <f t="shared" si="5"/>
        <v>1.1684435084181537</v>
      </c>
      <c r="AJ25" s="10">
        <f t="shared" si="14"/>
        <v>-0.80142763633738934</v>
      </c>
      <c r="AK25" s="10">
        <f t="shared" si="6"/>
        <v>7.1701118349551951E-2</v>
      </c>
      <c r="AL25" s="10">
        <f t="shared" si="15"/>
        <v>5.0887125825766377E-2</v>
      </c>
      <c r="AM25" s="10">
        <f t="shared" si="16"/>
        <v>-2.0813992523785574E-2</v>
      </c>
      <c r="AN25" s="10">
        <f t="shared" si="17"/>
        <v>7.0400000000000018E-2</v>
      </c>
      <c r="AO25" s="10">
        <f t="shared" si="18"/>
        <v>4.9564799999999964E-2</v>
      </c>
      <c r="AP25" s="10">
        <f t="shared" si="19"/>
        <v>-2.0835200000000054E-2</v>
      </c>
    </row>
    <row r="26" spans="2:42" x14ac:dyDescent="0.45">
      <c r="B26" t="s">
        <v>63</v>
      </c>
      <c r="C26" s="9">
        <f>_xlfn.XLOOKUP(C3,G:G,AG:AG)</f>
        <v>-1.3031439350956115</v>
      </c>
      <c r="D26" s="9">
        <f>_xlfn.XLOOKUP(C3,G:G,AJ:AJ)</f>
        <v>-1.2673301437300419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17760086.663044155</v>
      </c>
      <c r="J26" s="7">
        <f t="shared" si="1"/>
        <v>13125758.729476569</v>
      </c>
      <c r="K26" s="7">
        <f t="shared" si="1"/>
        <v>0</v>
      </c>
      <c r="L26" s="7">
        <f t="shared" si="1"/>
        <v>0</v>
      </c>
      <c r="M26" s="7">
        <f t="shared" si="1"/>
        <v>7334458.6169633064</v>
      </c>
      <c r="N26" s="7">
        <f t="shared" si="1"/>
        <v>5254302.2851787079</v>
      </c>
      <c r="O26" s="7">
        <f t="shared" si="1"/>
        <v>0</v>
      </c>
      <c r="P26" s="7">
        <f t="shared" si="1"/>
        <v>0</v>
      </c>
      <c r="Q26" s="7">
        <f t="shared" si="1"/>
        <v>7400036.1096017295</v>
      </c>
      <c r="R26" s="7">
        <f t="shared" si="1"/>
        <v>4902764.755896288</v>
      </c>
      <c r="S26" s="7">
        <f t="shared" si="1"/>
        <v>0</v>
      </c>
      <c r="T26" s="7">
        <f t="shared" si="1"/>
        <v>0</v>
      </c>
      <c r="U26" s="8">
        <f t="shared" si="7"/>
        <v>32494581.389609188</v>
      </c>
      <c r="V26" s="8">
        <f t="shared" si="7"/>
        <v>23282825.770551566</v>
      </c>
      <c r="W26" s="7">
        <f t="shared" ref="W26:X41" si="20">IF($G26="","",IF($G26=1,(($C$2+$H26)*W$3)*(1+(W$4-W$5)),((W25+($H26*W$3))*(1+(W$4-W$5)))))</f>
        <v>31789500.733463328</v>
      </c>
      <c r="X26" s="7">
        <f t="shared" si="20"/>
        <v>22759219.772241969</v>
      </c>
      <c r="Y26" s="10">
        <f t="shared" si="3"/>
        <v>7.3079761288282655E-2</v>
      </c>
      <c r="Z26" s="10">
        <f t="shared" si="8"/>
        <v>5.2297508671693589E-2</v>
      </c>
      <c r="AA26" s="10">
        <f t="shared" si="9"/>
        <v>-2.0782252616589066E-2</v>
      </c>
      <c r="AB26" s="10">
        <f t="shared" si="10"/>
        <v>7.039999999999999E-2</v>
      </c>
      <c r="AC26" s="10">
        <f t="shared" si="11"/>
        <v>4.9564799999999978E-2</v>
      </c>
      <c r="AD26" s="10">
        <f t="shared" si="12"/>
        <v>-2.0835200000000012E-2</v>
      </c>
      <c r="AE26" s="10">
        <f t="shared" ref="AE26:AF41" si="21">IF($G26="","",IF($G26=1,Y26,(1+Y26)*(1+AE25)-1))</f>
        <v>2.2494581389609198</v>
      </c>
      <c r="AF26" s="10">
        <f t="shared" si="21"/>
        <v>1.3282825770551567</v>
      </c>
      <c r="AG26" s="10">
        <f t="shared" si="13"/>
        <v>-0.92117556190576311</v>
      </c>
      <c r="AH26" s="10">
        <f t="shared" ref="AH26:AI41" si="22">IF($G26="","",IF($G26=1,AB26,(1+AB26)*(1+AH25)-1))</f>
        <v>2.1789500733463334</v>
      </c>
      <c r="AI26" s="10">
        <f t="shared" si="22"/>
        <v>1.2759219772241979</v>
      </c>
      <c r="AJ26" s="10">
        <f t="shared" si="14"/>
        <v>-0.90302809612213553</v>
      </c>
      <c r="AK26" s="10">
        <f t="shared" si="6"/>
        <v>7.1782165940550868E-2</v>
      </c>
      <c r="AL26" s="10">
        <f t="shared" si="15"/>
        <v>5.0970037170598781E-2</v>
      </c>
      <c r="AM26" s="10">
        <f t="shared" si="16"/>
        <v>-2.0812128769952087E-2</v>
      </c>
      <c r="AN26" s="10">
        <f t="shared" si="17"/>
        <v>7.0400000000000018E-2</v>
      </c>
      <c r="AO26" s="10">
        <f t="shared" si="18"/>
        <v>4.9564799999999964E-2</v>
      </c>
      <c r="AP26" s="10">
        <f t="shared" si="19"/>
        <v>-2.0835200000000054E-2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19180893.596087687</v>
      </c>
      <c r="J27" s="7">
        <f t="shared" si="1"/>
        <v>13925904.98162546</v>
      </c>
      <c r="K27" s="7">
        <f t="shared" si="1"/>
        <v>0</v>
      </c>
      <c r="L27" s="7">
        <f t="shared" si="1"/>
        <v>0</v>
      </c>
      <c r="M27" s="7">
        <f t="shared" si="1"/>
        <v>7701181.5478114719</v>
      </c>
      <c r="N27" s="7">
        <f t="shared" si="1"/>
        <v>5409829.6328199981</v>
      </c>
      <c r="O27" s="7">
        <f t="shared" si="1"/>
        <v>0</v>
      </c>
      <c r="P27" s="7">
        <f t="shared" si="1"/>
        <v>0</v>
      </c>
      <c r="Q27" s="7">
        <f t="shared" si="1"/>
        <v>7992038.9983698688</v>
      </c>
      <c r="R27" s="7">
        <f t="shared" si="1"/>
        <v>5168298.495075631</v>
      </c>
      <c r="S27" s="7">
        <f t="shared" si="1"/>
        <v>0</v>
      </c>
      <c r="T27" s="7">
        <f t="shared" si="1"/>
        <v>0</v>
      </c>
      <c r="U27" s="8">
        <f t="shared" si="7"/>
        <v>34874114.14226903</v>
      </c>
      <c r="V27" s="8">
        <f t="shared" si="7"/>
        <v>24504033.109521091</v>
      </c>
      <c r="W27" s="7">
        <f t="shared" si="20"/>
        <v>34027481.585099146</v>
      </c>
      <c r="X27" s="7">
        <f t="shared" si="20"/>
        <v>23887275.948409185</v>
      </c>
      <c r="Y27" s="10">
        <f t="shared" si="3"/>
        <v>7.3228601536031696E-2</v>
      </c>
      <c r="Z27" s="10">
        <f t="shared" si="8"/>
        <v>5.2450993320326461E-2</v>
      </c>
      <c r="AA27" s="10">
        <f t="shared" si="9"/>
        <v>-2.0777608215705234E-2</v>
      </c>
      <c r="AB27" s="10">
        <f t="shared" si="10"/>
        <v>7.0399999999999976E-2</v>
      </c>
      <c r="AC27" s="10">
        <f t="shared" si="11"/>
        <v>4.9564799999999888E-2</v>
      </c>
      <c r="AD27" s="10">
        <f t="shared" si="12"/>
        <v>-2.0835200000000088E-2</v>
      </c>
      <c r="AE27" s="10">
        <f t="shared" si="21"/>
        <v>2.4874114142269041</v>
      </c>
      <c r="AF27" s="10">
        <f t="shared" si="21"/>
        <v>1.4504033109521095</v>
      </c>
      <c r="AG27" s="10">
        <f t="shared" si="13"/>
        <v>-1.0370081032747946</v>
      </c>
      <c r="AH27" s="10">
        <f t="shared" si="22"/>
        <v>2.4027481585099153</v>
      </c>
      <c r="AI27" s="10">
        <f t="shared" si="22"/>
        <v>1.3887275948409199</v>
      </c>
      <c r="AJ27" s="10">
        <f t="shared" si="14"/>
        <v>-1.0140205636689954</v>
      </c>
      <c r="AK27" s="10">
        <f t="shared" si="6"/>
        <v>7.1862472307108627E-2</v>
      </c>
      <c r="AL27" s="10">
        <f t="shared" si="15"/>
        <v>5.1052257814236279E-2</v>
      </c>
      <c r="AM27" s="10">
        <f t="shared" si="16"/>
        <v>-2.0810214492872348E-2</v>
      </c>
      <c r="AN27" s="10">
        <f t="shared" si="17"/>
        <v>7.0400000000000018E-2</v>
      </c>
      <c r="AO27" s="10">
        <f t="shared" si="18"/>
        <v>4.9564799999999964E-2</v>
      </c>
      <c r="AP27" s="10">
        <f t="shared" si="19"/>
        <v>-2.0835200000000054E-2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20715365.083774704</v>
      </c>
      <c r="J28" s="7">
        <f t="shared" si="1"/>
        <v>14774828.149305347</v>
      </c>
      <c r="K28" s="7">
        <f t="shared" si="1"/>
        <v>0</v>
      </c>
      <c r="L28" s="7">
        <f t="shared" si="1"/>
        <v>0</v>
      </c>
      <c r="M28" s="7">
        <f t="shared" si="1"/>
        <v>8086240.6252020458</v>
      </c>
      <c r="N28" s="7">
        <f t="shared" si="1"/>
        <v>5569960.5899514705</v>
      </c>
      <c r="O28" s="7">
        <f t="shared" si="1"/>
        <v>0</v>
      </c>
      <c r="P28" s="7">
        <f t="shared" si="1"/>
        <v>0</v>
      </c>
      <c r="Q28" s="7">
        <f t="shared" si="1"/>
        <v>8631402.1182394587</v>
      </c>
      <c r="R28" s="7">
        <f t="shared" si="1"/>
        <v>5448213.5415689275</v>
      </c>
      <c r="S28" s="7">
        <f t="shared" si="1"/>
        <v>0</v>
      </c>
      <c r="T28" s="7">
        <f t="shared" si="1"/>
        <v>0</v>
      </c>
      <c r="U28" s="8">
        <f t="shared" si="7"/>
        <v>37433007.827216208</v>
      </c>
      <c r="V28" s="8">
        <f t="shared" si="7"/>
        <v>25793002.280825745</v>
      </c>
      <c r="W28" s="7">
        <f t="shared" si="20"/>
        <v>36423016.288690127</v>
      </c>
      <c r="X28" s="7">
        <f t="shared" si="20"/>
        <v>25071244.003336895</v>
      </c>
      <c r="Y28" s="10">
        <f t="shared" si="3"/>
        <v>7.3375159423639119E-2</v>
      </c>
      <c r="Z28" s="10">
        <f t="shared" si="8"/>
        <v>5.260232736152412E-2</v>
      </c>
      <c r="AA28" s="10">
        <f t="shared" si="9"/>
        <v>-2.0772832062114999E-2</v>
      </c>
      <c r="AB28" s="10">
        <f t="shared" si="10"/>
        <v>7.040000000000006E-2</v>
      </c>
      <c r="AC28" s="10">
        <f t="shared" si="11"/>
        <v>4.9564799999999951E-2</v>
      </c>
      <c r="AD28" s="10">
        <f t="shared" si="12"/>
        <v>-2.0835200000000109E-2</v>
      </c>
      <c r="AE28" s="10">
        <f t="shared" si="21"/>
        <v>2.7433007827216223</v>
      </c>
      <c r="AF28" s="10">
        <f t="shared" si="21"/>
        <v>1.579300228082575</v>
      </c>
      <c r="AG28" s="10">
        <f t="shared" si="13"/>
        <v>-1.1640005546390473</v>
      </c>
      <c r="AH28" s="10">
        <f t="shared" si="22"/>
        <v>2.6423016288690135</v>
      </c>
      <c r="AI28" s="10">
        <f t="shared" si="22"/>
        <v>1.5071244003336912</v>
      </c>
      <c r="AJ28" s="10">
        <f t="shared" si="14"/>
        <v>-1.1351772285353223</v>
      </c>
      <c r="AK28" s="10">
        <f t="shared" si="6"/>
        <v>7.1942034244810493E-2</v>
      </c>
      <c r="AL28" s="10">
        <f t="shared" si="15"/>
        <v>5.1133783484557993E-2</v>
      </c>
      <c r="AM28" s="10">
        <f t="shared" si="16"/>
        <v>-2.08082507602525E-2</v>
      </c>
      <c r="AN28" s="10">
        <f t="shared" si="17"/>
        <v>7.0400000000000018E-2</v>
      </c>
      <c r="AO28" s="10">
        <f t="shared" si="18"/>
        <v>4.9564799999999964E-2</v>
      </c>
      <c r="AP28" s="10">
        <f t="shared" si="19"/>
        <v>-2.0835200000000054E-2</v>
      </c>
    </row>
    <row r="29" spans="2:42" x14ac:dyDescent="0.45">
      <c r="B29" t="s">
        <v>66</v>
      </c>
      <c r="C29" s="9">
        <f>_xlfn.XLOOKUP(C3,G:G,AL:AL)</f>
        <v>5.1214610322372733E-2</v>
      </c>
      <c r="D29" s="9">
        <f>_xlfn.XLOOKUP(C3,G:G,AO:AO)</f>
        <v>4.9564799999999964E-2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22372594.290476684</v>
      </c>
      <c r="J29" s="7">
        <f t="shared" si="1"/>
        <v>15675501.673287001</v>
      </c>
      <c r="K29" s="7">
        <f t="shared" si="1"/>
        <v>0</v>
      </c>
      <c r="L29" s="7">
        <f t="shared" si="1"/>
        <v>0</v>
      </c>
      <c r="M29" s="7">
        <f t="shared" si="1"/>
        <v>8490552.6564621478</v>
      </c>
      <c r="N29" s="7">
        <f t="shared" si="1"/>
        <v>5734831.4234140348</v>
      </c>
      <c r="O29" s="7">
        <f t="shared" si="1"/>
        <v>0</v>
      </c>
      <c r="P29" s="7">
        <f t="shared" si="1"/>
        <v>0</v>
      </c>
      <c r="Q29" s="7">
        <f t="shared" si="1"/>
        <v>9321914.2876986153</v>
      </c>
      <c r="R29" s="7">
        <f t="shared" si="1"/>
        <v>5743288.7869803002</v>
      </c>
      <c r="S29" s="7">
        <f t="shared" si="1"/>
        <v>0</v>
      </c>
      <c r="T29" s="7">
        <f t="shared" si="1"/>
        <v>0</v>
      </c>
      <c r="U29" s="8">
        <f t="shared" si="7"/>
        <v>40185061.234637447</v>
      </c>
      <c r="V29" s="8">
        <f t="shared" si="7"/>
        <v>27153621.883681335</v>
      </c>
      <c r="W29" s="7">
        <f t="shared" si="20"/>
        <v>38987196.635413915</v>
      </c>
      <c r="X29" s="7">
        <f t="shared" si="20"/>
        <v>26313895.198113486</v>
      </c>
      <c r="Y29" s="10">
        <f t="shared" si="3"/>
        <v>7.3519430234519345E-2</v>
      </c>
      <c r="Z29" s="10">
        <f t="shared" si="8"/>
        <v>5.2751501668615752E-2</v>
      </c>
      <c r="AA29" s="10">
        <f t="shared" si="9"/>
        <v>-2.0767928565903593E-2</v>
      </c>
      <c r="AB29" s="10">
        <f t="shared" si="10"/>
        <v>7.0400000000000074E-2</v>
      </c>
      <c r="AC29" s="10">
        <f t="shared" si="11"/>
        <v>4.9564799999999937E-2</v>
      </c>
      <c r="AD29" s="10">
        <f t="shared" si="12"/>
        <v>-2.0835200000000137E-2</v>
      </c>
      <c r="AE29" s="10">
        <f t="shared" si="21"/>
        <v>3.0185061234637454</v>
      </c>
      <c r="AF29" s="10">
        <f t="shared" si="21"/>
        <v>1.7153621883681338</v>
      </c>
      <c r="AG29" s="10">
        <f t="shared" si="13"/>
        <v>-1.3031439350956115</v>
      </c>
      <c r="AH29" s="10">
        <f t="shared" si="22"/>
        <v>2.8987196635413923</v>
      </c>
      <c r="AI29" s="10">
        <f t="shared" si="22"/>
        <v>1.6313895198113504</v>
      </c>
      <c r="AJ29" s="10">
        <f t="shared" si="14"/>
        <v>-1.2673301437300419</v>
      </c>
      <c r="AK29" s="10">
        <f t="shared" si="6"/>
        <v>7.2020848968773032E-2</v>
      </c>
      <c r="AL29" s="10">
        <f t="shared" si="15"/>
        <v>5.1214610322372733E-2</v>
      </c>
      <c r="AM29" s="10">
        <f t="shared" si="16"/>
        <v>-2.0806238646400299E-2</v>
      </c>
      <c r="AN29" s="10">
        <f t="shared" si="17"/>
        <v>7.0400000000000018E-2</v>
      </c>
      <c r="AO29" s="10">
        <f t="shared" si="18"/>
        <v>4.9564799999999964E-2</v>
      </c>
      <c r="AP29" s="10">
        <f t="shared" si="19"/>
        <v>-2.0835200000000054E-2</v>
      </c>
    </row>
    <row r="30" spans="2:42" x14ac:dyDescent="0.45">
      <c r="B30" t="s">
        <v>67</v>
      </c>
      <c r="C30" s="9">
        <f>_xlfn.XLOOKUP(C3,G:G,AM:AM)</f>
        <v>-2.0806238646400299E-2</v>
      </c>
      <c r="D30" s="9">
        <f>_xlfn.XLOOKUP(C3,G:G,AP:AP)</f>
        <v>-2.0835200000000054E-2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44" priority="1" operator="equal">
      <formula>"Error"</formula>
    </cfRule>
    <cfRule type="cellIs" dxfId="43" priority="2" operator="equal">
      <formula>"GOOD"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266A-8480-4E02-A831-037C16B96542}">
  <sheetPr>
    <tabColor theme="3" tint="0.249977111117893"/>
  </sheetPr>
  <dimension ref="B1:AP109"/>
  <sheetViews>
    <sheetView workbookViewId="0">
      <selection activeCell="E13" sqref="E13"/>
    </sheetView>
  </sheetViews>
  <sheetFormatPr defaultRowHeight="14.25" x14ac:dyDescent="0.45"/>
  <cols>
    <col min="1" max="1" width="0.9296875" customWidth="1"/>
    <col min="2" max="2" width="18.19921875" bestFit="1" customWidth="1"/>
    <col min="3" max="3" width="17.6640625" customWidth="1"/>
    <col min="4" max="4" width="15.53125" customWidth="1"/>
    <col min="5" max="5" width="16.06640625" customWidth="1"/>
    <col min="7" max="7" width="6.46484375" bestFit="1" customWidth="1"/>
    <col min="8" max="8" width="12.33203125" bestFit="1" customWidth="1"/>
    <col min="9" max="24" width="19.46484375" customWidth="1"/>
    <col min="25" max="36" width="18.1328125" customWidth="1"/>
    <col min="37" max="38" width="22.06640625" bestFit="1" customWidth="1"/>
    <col min="39" max="39" width="22.06640625" customWidth="1"/>
    <col min="40" max="41" width="22.06640625" bestFit="1" customWidth="1"/>
    <col min="42" max="42" width="22.06640625" customWidth="1"/>
  </cols>
  <sheetData>
    <row r="1" spans="2:42" ht="6" customHeight="1" x14ac:dyDescent="0.45"/>
    <row r="2" spans="2:42" x14ac:dyDescent="0.45">
      <c r="B2" t="s">
        <v>4</v>
      </c>
      <c r="C2" s="2">
        <f>Page!C3</f>
        <v>10000000</v>
      </c>
      <c r="I2" s="5" t="s">
        <v>18</v>
      </c>
      <c r="J2" s="5" t="s">
        <v>18</v>
      </c>
      <c r="K2" s="5" t="s">
        <v>14</v>
      </c>
      <c r="L2" s="5" t="s">
        <v>14</v>
      </c>
      <c r="M2" s="5" t="s">
        <v>19</v>
      </c>
      <c r="N2" s="5" t="s">
        <v>19</v>
      </c>
      <c r="O2" s="5" t="s">
        <v>15</v>
      </c>
      <c r="P2" s="5" t="s">
        <v>15</v>
      </c>
      <c r="Q2" s="5" t="s">
        <v>20</v>
      </c>
      <c r="R2" s="5" t="s">
        <v>20</v>
      </c>
      <c r="S2" s="5" t="s">
        <v>16</v>
      </c>
      <c r="T2" s="5" t="s">
        <v>16</v>
      </c>
      <c r="V2" s="1"/>
      <c r="W2" s="5" t="s">
        <v>23</v>
      </c>
      <c r="X2" s="5" t="s">
        <v>23</v>
      </c>
    </row>
    <row r="3" spans="2:42" x14ac:dyDescent="0.45">
      <c r="B3" t="s">
        <v>3</v>
      </c>
      <c r="C3" s="3">
        <f>Page!C4</f>
        <v>20</v>
      </c>
      <c r="H3" s="1" t="s">
        <v>12</v>
      </c>
      <c r="I3" s="10">
        <f>$D$7*(1-$E$7)</f>
        <v>0.48</v>
      </c>
      <c r="J3" s="10">
        <f>$D$7*(1-$E$7)</f>
        <v>0.48</v>
      </c>
      <c r="K3" s="10">
        <f>$D$7*$E$7</f>
        <v>0</v>
      </c>
      <c r="L3" s="10">
        <f>$D$7*$E$7</f>
        <v>0</v>
      </c>
      <c r="M3" s="10">
        <f>$D$8*(1-$E$8)</f>
        <v>0.32</v>
      </c>
      <c r="N3" s="10">
        <f>$D$8*(1-$E$8)</f>
        <v>0.32</v>
      </c>
      <c r="O3" s="10">
        <f>$D$8*$E$8</f>
        <v>0</v>
      </c>
      <c r="P3" s="10">
        <f>$D$8*$E$8</f>
        <v>0</v>
      </c>
      <c r="Q3" s="10">
        <f>$D$9*(1-$E$9)</f>
        <v>0</v>
      </c>
      <c r="R3" s="10">
        <f>$D$9*(1-$E$9)</f>
        <v>0</v>
      </c>
      <c r="S3" s="10">
        <f>$D$9*$E$9</f>
        <v>0.2</v>
      </c>
      <c r="T3" s="10">
        <f>$D$9*$E$9</f>
        <v>0.2</v>
      </c>
      <c r="V3" s="10"/>
      <c r="W3" s="10">
        <f>SUM(I3,K3,M3,O3,Q3,S3)</f>
        <v>1</v>
      </c>
      <c r="X3" s="10">
        <f>SUM(J3,L3,N3,P3,R3,T3)</f>
        <v>1</v>
      </c>
    </row>
    <row r="4" spans="2:42" x14ac:dyDescent="0.45">
      <c r="H4" s="1" t="s">
        <v>21</v>
      </c>
      <c r="I4" s="10">
        <f>$C$7</f>
        <v>0.08</v>
      </c>
      <c r="J4" s="10">
        <f>$C$7</f>
        <v>0.08</v>
      </c>
      <c r="K4" s="10">
        <f t="shared" ref="K4:L4" si="0">$C$7</f>
        <v>0.08</v>
      </c>
      <c r="L4" s="10">
        <f t="shared" si="0"/>
        <v>0.08</v>
      </c>
      <c r="M4" s="10">
        <f>$C$8</f>
        <v>0.05</v>
      </c>
      <c r="N4" s="10">
        <f>$C$8</f>
        <v>0.05</v>
      </c>
      <c r="O4" s="10">
        <f>$C$8</f>
        <v>0.05</v>
      </c>
      <c r="P4" s="10">
        <f>$C$8</f>
        <v>0.05</v>
      </c>
      <c r="Q4" s="10">
        <f>$C$9</f>
        <v>0.08</v>
      </c>
      <c r="R4" s="10">
        <f>$C$9</f>
        <v>0.08</v>
      </c>
      <c r="S4" s="10">
        <f>$C$9</f>
        <v>0.08</v>
      </c>
      <c r="T4" s="10">
        <f>$C$9</f>
        <v>0.08</v>
      </c>
      <c r="V4" s="10"/>
      <c r="W4" s="10">
        <f>SUMPRODUCT(I3:T3,I4:T4)/2</f>
        <v>7.039999999999999E-2</v>
      </c>
      <c r="X4" s="10">
        <f>SUMPRODUCT(I3:T3,I4:T4)/2</f>
        <v>7.039999999999999E-2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2:42" x14ac:dyDescent="0.45">
      <c r="D5" s="1" t="str">
        <f>IF(SUM(D7:D9)&lt;&gt;1,"Error","Good")</f>
        <v>Good</v>
      </c>
      <c r="H5" s="1" t="s">
        <v>22</v>
      </c>
      <c r="I5" s="23">
        <v>0</v>
      </c>
      <c r="J5" s="10">
        <f>$C$7*($C$15+$C$16)</f>
        <v>1.9040000000000001E-2</v>
      </c>
      <c r="K5" s="23">
        <v>0</v>
      </c>
      <c r="L5" s="10">
        <f>$C$11</f>
        <v>5.0000000000000001E-3</v>
      </c>
      <c r="M5" s="23">
        <v>0</v>
      </c>
      <c r="N5" s="10">
        <f>$C$8*($C$14+$C$16)</f>
        <v>2.0400000000000001E-2</v>
      </c>
      <c r="O5" s="23">
        <v>0</v>
      </c>
      <c r="P5" s="10">
        <f>$C$11</f>
        <v>5.0000000000000001E-3</v>
      </c>
      <c r="Q5" s="23">
        <v>0</v>
      </c>
      <c r="R5" s="10">
        <f>(50%*$C$9*($C$14+$C$16))+(50%*$C$9*($C$15+$C$16))</f>
        <v>2.5839999999999998E-2</v>
      </c>
      <c r="S5" s="23">
        <v>0</v>
      </c>
      <c r="T5" s="10">
        <f>$C$11</f>
        <v>5.0000000000000001E-3</v>
      </c>
      <c r="V5" s="10"/>
      <c r="W5" s="23">
        <v>0</v>
      </c>
      <c r="X5" s="10">
        <f>SUMPRODUCT(J3:T3,J5:T5)</f>
        <v>1.66672E-2</v>
      </c>
      <c r="AK5" s="6"/>
      <c r="AL5" s="6"/>
      <c r="AM5" s="6"/>
      <c r="AN5" s="6"/>
      <c r="AO5" s="6"/>
      <c r="AP5" s="6"/>
    </row>
    <row r="6" spans="2:42" x14ac:dyDescent="0.45">
      <c r="C6" s="1" t="s">
        <v>17</v>
      </c>
      <c r="D6" s="1" t="s">
        <v>12</v>
      </c>
      <c r="E6" t="s">
        <v>13</v>
      </c>
    </row>
    <row r="7" spans="2:42" x14ac:dyDescent="0.45">
      <c r="B7" t="s">
        <v>0</v>
      </c>
      <c r="C7" s="4">
        <f>Page!C12</f>
        <v>0.08</v>
      </c>
      <c r="D7" s="18">
        <v>0.48</v>
      </c>
      <c r="E7" s="18">
        <v>0</v>
      </c>
      <c r="U7" s="83" t="s">
        <v>76</v>
      </c>
      <c r="V7" s="83" t="s">
        <v>76</v>
      </c>
      <c r="W7" s="84" t="s">
        <v>77</v>
      </c>
      <c r="X7" s="84" t="s">
        <v>77</v>
      </c>
      <c r="Y7" s="83" t="s">
        <v>76</v>
      </c>
      <c r="Z7" s="83" t="s">
        <v>76</v>
      </c>
      <c r="AA7" s="83" t="s">
        <v>76</v>
      </c>
      <c r="AB7" s="84" t="s">
        <v>77</v>
      </c>
      <c r="AC7" s="84" t="s">
        <v>77</v>
      </c>
      <c r="AD7" s="84" t="s">
        <v>77</v>
      </c>
      <c r="AE7" s="83" t="s">
        <v>76</v>
      </c>
      <c r="AF7" s="83" t="s">
        <v>76</v>
      </c>
      <c r="AG7" s="83" t="s">
        <v>76</v>
      </c>
      <c r="AH7" s="84" t="s">
        <v>77</v>
      </c>
      <c r="AI7" s="84" t="s">
        <v>77</v>
      </c>
      <c r="AJ7" s="84" t="s">
        <v>77</v>
      </c>
      <c r="AK7" s="83" t="s">
        <v>76</v>
      </c>
      <c r="AL7" s="83" t="s">
        <v>76</v>
      </c>
      <c r="AM7" s="83" t="s">
        <v>76</v>
      </c>
      <c r="AN7" s="84" t="s">
        <v>77</v>
      </c>
      <c r="AO7" s="84" t="s">
        <v>77</v>
      </c>
      <c r="AP7" s="84" t="s">
        <v>77</v>
      </c>
    </row>
    <row r="8" spans="2:42" x14ac:dyDescent="0.45">
      <c r="B8" t="s">
        <v>1</v>
      </c>
      <c r="C8" s="4">
        <f>Page!C13</f>
        <v>0.05</v>
      </c>
      <c r="D8" s="18">
        <v>0.32</v>
      </c>
      <c r="E8" s="18">
        <v>0</v>
      </c>
      <c r="I8" s="1" t="s">
        <v>57</v>
      </c>
      <c r="J8" s="1" t="s">
        <v>58</v>
      </c>
      <c r="K8" s="1" t="s">
        <v>57</v>
      </c>
      <c r="L8" s="1" t="s">
        <v>58</v>
      </c>
      <c r="M8" s="1" t="s">
        <v>57</v>
      </c>
      <c r="N8" s="1" t="s">
        <v>58</v>
      </c>
      <c r="O8" s="1" t="s">
        <v>57</v>
      </c>
      <c r="P8" s="1" t="s">
        <v>58</v>
      </c>
      <c r="Q8" s="1" t="s">
        <v>57</v>
      </c>
      <c r="R8" s="1" t="s">
        <v>58</v>
      </c>
      <c r="S8" s="1" t="s">
        <v>57</v>
      </c>
      <c r="T8" s="1" t="s">
        <v>58</v>
      </c>
      <c r="U8" s="1" t="s">
        <v>57</v>
      </c>
      <c r="V8" s="1" t="s">
        <v>58</v>
      </c>
      <c r="W8" s="1" t="s">
        <v>57</v>
      </c>
      <c r="X8" s="1" t="s">
        <v>58</v>
      </c>
      <c r="Y8" s="1" t="s">
        <v>57</v>
      </c>
      <c r="Z8" s="1" t="s">
        <v>58</v>
      </c>
      <c r="AA8" s="1"/>
      <c r="AB8" s="1" t="s">
        <v>57</v>
      </c>
      <c r="AC8" s="1" t="s">
        <v>58</v>
      </c>
      <c r="AD8" s="1"/>
      <c r="AE8" s="1" t="s">
        <v>57</v>
      </c>
      <c r="AF8" s="1" t="s">
        <v>58</v>
      </c>
      <c r="AG8" s="1"/>
      <c r="AH8" s="1" t="s">
        <v>57</v>
      </c>
      <c r="AI8" s="1" t="s">
        <v>58</v>
      </c>
      <c r="AJ8" s="1"/>
      <c r="AK8" s="1" t="s">
        <v>57</v>
      </c>
      <c r="AL8" s="1" t="s">
        <v>58</v>
      </c>
      <c r="AM8" s="1"/>
      <c r="AN8" s="1" t="s">
        <v>57</v>
      </c>
      <c r="AO8" s="1" t="s">
        <v>58</v>
      </c>
      <c r="AP8" s="1"/>
    </row>
    <row r="9" spans="2:42" x14ac:dyDescent="0.45">
      <c r="B9" t="s">
        <v>2</v>
      </c>
      <c r="C9" s="4">
        <f>Page!C14</f>
        <v>0.08</v>
      </c>
      <c r="D9" s="18">
        <v>0.2</v>
      </c>
      <c r="E9" s="18">
        <v>1</v>
      </c>
      <c r="G9" s="5" t="s">
        <v>27</v>
      </c>
      <c r="H9" s="5" t="s">
        <v>28</v>
      </c>
      <c r="I9" s="5" t="s">
        <v>18</v>
      </c>
      <c r="J9" s="5" t="s">
        <v>18</v>
      </c>
      <c r="K9" s="5" t="s">
        <v>14</v>
      </c>
      <c r="L9" s="5" t="s">
        <v>14</v>
      </c>
      <c r="M9" s="5" t="s">
        <v>19</v>
      </c>
      <c r="N9" s="5" t="s">
        <v>19</v>
      </c>
      <c r="O9" s="5" t="s">
        <v>15</v>
      </c>
      <c r="P9" s="5" t="s">
        <v>15</v>
      </c>
      <c r="Q9" s="5" t="s">
        <v>20</v>
      </c>
      <c r="R9" s="5" t="s">
        <v>20</v>
      </c>
      <c r="S9" s="5" t="s">
        <v>16</v>
      </c>
      <c r="T9" s="5" t="s">
        <v>16</v>
      </c>
      <c r="U9" s="5" t="s">
        <v>11</v>
      </c>
      <c r="V9" s="5" t="s">
        <v>11</v>
      </c>
      <c r="W9" s="5" t="s">
        <v>11</v>
      </c>
      <c r="X9" s="5" t="s">
        <v>11</v>
      </c>
      <c r="Y9" s="5" t="s">
        <v>24</v>
      </c>
      <c r="Z9" s="5" t="s">
        <v>24</v>
      </c>
      <c r="AA9" s="5" t="s">
        <v>59</v>
      </c>
      <c r="AB9" s="5" t="s">
        <v>24</v>
      </c>
      <c r="AC9" s="5" t="s">
        <v>24</v>
      </c>
      <c r="AD9" s="5" t="s">
        <v>59</v>
      </c>
      <c r="AE9" s="5" t="s">
        <v>25</v>
      </c>
      <c r="AF9" s="5" t="s">
        <v>25</v>
      </c>
      <c r="AG9" s="5" t="s">
        <v>60</v>
      </c>
      <c r="AH9" s="5" t="s">
        <v>25</v>
      </c>
      <c r="AI9" s="5" t="s">
        <v>25</v>
      </c>
      <c r="AJ9" s="5" t="s">
        <v>60</v>
      </c>
      <c r="AK9" s="5" t="s">
        <v>26</v>
      </c>
      <c r="AL9" s="5" t="s">
        <v>26</v>
      </c>
      <c r="AM9" s="5" t="s">
        <v>61</v>
      </c>
      <c r="AN9" s="5" t="s">
        <v>26</v>
      </c>
      <c r="AO9" s="5" t="s">
        <v>26</v>
      </c>
      <c r="AP9" s="5" t="s">
        <v>61</v>
      </c>
    </row>
    <row r="10" spans="2:42" x14ac:dyDescent="0.45">
      <c r="D10" t="s">
        <v>78</v>
      </c>
      <c r="E10" t="s">
        <v>78</v>
      </c>
      <c r="G10" s="1" cm="1">
        <f t="array" ref="G10:G29">_xlfn.SEQUENCE(C3,1,1,1)</f>
        <v>1</v>
      </c>
      <c r="H10" s="7">
        <f>IF(G10="","",SUMIFS(Add_Contributions[[#All],[Amount ($)]],Add_Contributions[[#All],[Year]],G10))</f>
        <v>0</v>
      </c>
      <c r="I10" s="7">
        <f t="shared" ref="I10:T31" si="1">IF($G10="","",IF($G10=1,(($C$2+$H10)*I$3)*(1+(I$4-I$5)),((I9+($H10*I$3))*(1+(I$4-I$5)))))</f>
        <v>5184000</v>
      </c>
      <c r="J10" s="7">
        <f t="shared" si="1"/>
        <v>5092608</v>
      </c>
      <c r="K10" s="7">
        <f t="shared" si="1"/>
        <v>0</v>
      </c>
      <c r="L10" s="7">
        <f t="shared" si="1"/>
        <v>0</v>
      </c>
      <c r="M10" s="7">
        <f t="shared" si="1"/>
        <v>3360000</v>
      </c>
      <c r="N10" s="7">
        <f t="shared" si="1"/>
        <v>3294720</v>
      </c>
      <c r="O10" s="7">
        <f t="shared" si="1"/>
        <v>0</v>
      </c>
      <c r="P10" s="7">
        <f t="shared" si="1"/>
        <v>0</v>
      </c>
      <c r="Q10" s="7">
        <f t="shared" si="1"/>
        <v>0</v>
      </c>
      <c r="R10" s="7">
        <f t="shared" si="1"/>
        <v>0</v>
      </c>
      <c r="S10" s="7">
        <f t="shared" si="1"/>
        <v>2160000</v>
      </c>
      <c r="T10" s="7">
        <f t="shared" si="1"/>
        <v>2150000</v>
      </c>
      <c r="U10" s="8">
        <f>IF(G10="","",SUM(I10,K10,M10,O10,Q10,S10))</f>
        <v>10704000</v>
      </c>
      <c r="V10" s="8">
        <f>IF(H10="","",SUM(J10,L10,N10,P10,R10,T10))</f>
        <v>10537328</v>
      </c>
      <c r="W10" s="7">
        <f t="shared" ref="W10:X25" si="2">IF($G10="","",IF($G10=1,(($C$2+$H10)*W$3)*(1+(W$4-W$5)),((W9+($H10*W$3))*(1+(W$4-W$5)))))</f>
        <v>10704000</v>
      </c>
      <c r="X10" s="7">
        <f t="shared" si="2"/>
        <v>10537328</v>
      </c>
      <c r="Y10" s="10">
        <f t="shared" ref="Y10:Y73" si="3">IF($G10="","",IF($G10=1,(U10-$C$2-H10)/($C$2+H10),(U10-U9-H10)/(U9+H10)))</f>
        <v>7.0400000000000004E-2</v>
      </c>
      <c r="Z10" s="10">
        <f>IF($G10="","",IF($G10=1,(V10-$C$2-H10)/($C$2+H10),(V10-V9-H10)/(V9+H10)))</f>
        <v>5.3732799999999997E-2</v>
      </c>
      <c r="AA10" s="10">
        <f>IF($G10="","",Z10-Y10)</f>
        <v>-1.6667200000000007E-2</v>
      </c>
      <c r="AB10" s="10">
        <f>IF($G10="","",IF($G10=1,(W10-$C$2-H10)/($C$2+H10),(W10-W9-H10)/(W9+H10)))</f>
        <v>7.0400000000000004E-2</v>
      </c>
      <c r="AC10" s="10">
        <f>IF($G10="","",IF($G10=1,(X10-$C$2-H10)/($C$2+H10),(X10-X9-H10)/(X9+H10)))</f>
        <v>5.3732799999999997E-2</v>
      </c>
      <c r="AD10" s="10">
        <f>IF($G10="","",AC10-AB10)</f>
        <v>-1.6667200000000007E-2</v>
      </c>
      <c r="AE10" s="10">
        <f t="shared" ref="AE10:AF25" si="4">IF($G10="","",IF($G10=1,Y10,(1+Y10)*(1+AE9)-1))</f>
        <v>7.0400000000000004E-2</v>
      </c>
      <c r="AF10" s="10">
        <f t="shared" si="4"/>
        <v>5.3732799999999997E-2</v>
      </c>
      <c r="AG10" s="10">
        <f>IF($G10="","",AF10-AE10)</f>
        <v>-1.6667200000000007E-2</v>
      </c>
      <c r="AH10" s="10">
        <f t="shared" ref="AH10:AI25" si="5">IF($G10="","",IF($G10=1,AB10,(1+AB10)*(1+AH9)-1))</f>
        <v>7.0400000000000004E-2</v>
      </c>
      <c r="AI10" s="10">
        <f t="shared" si="5"/>
        <v>5.3732799999999997E-2</v>
      </c>
      <c r="AJ10" s="10">
        <f>IF($G10="","",AI10-AH10)</f>
        <v>-1.6667200000000007E-2</v>
      </c>
      <c r="AK10" s="10">
        <f t="shared" ref="AK10:AK73" si="6">IF($G10="","",(1+AE10)^(1/G10)-1)</f>
        <v>7.0400000000000018E-2</v>
      </c>
      <c r="AL10" s="10">
        <f>IF($G10="","",(1+AF10)^(1/G10)-1)</f>
        <v>5.3732799999999914E-2</v>
      </c>
      <c r="AM10" s="10">
        <f>IF($G10="","",AL10-AK10)</f>
        <v>-1.6667200000000104E-2</v>
      </c>
      <c r="AN10" s="10">
        <f>IF($G10="","",(1+AH10)^(1/G10)-1)</f>
        <v>7.0400000000000018E-2</v>
      </c>
      <c r="AO10" s="10">
        <f>IF($G10="","",(1+AI10)^(1/G10)-1)</f>
        <v>5.3732799999999914E-2</v>
      </c>
      <c r="AP10" s="10">
        <f>IF($G10="","",AO10-AN10)</f>
        <v>-1.6667200000000104E-2</v>
      </c>
    </row>
    <row r="11" spans="2:42" x14ac:dyDescent="0.45">
      <c r="B11" t="s">
        <v>5</v>
      </c>
      <c r="C11" s="4">
        <f>Page!C27</f>
        <v>5.0000000000000001E-3</v>
      </c>
      <c r="G11" s="1">
        <v>2</v>
      </c>
      <c r="H11" s="7">
        <f>IF(G11="","",SUMIFS(Add_Contributions[[#All],[Amount ($)]],Add_Contributions[[#All],[Year]],G11))</f>
        <v>0</v>
      </c>
      <c r="I11" s="7">
        <f t="shared" si="1"/>
        <v>5598720</v>
      </c>
      <c r="J11" s="7">
        <f t="shared" si="1"/>
        <v>5403053.38368</v>
      </c>
      <c r="K11" s="7">
        <f t="shared" si="1"/>
        <v>0</v>
      </c>
      <c r="L11" s="7">
        <f t="shared" si="1"/>
        <v>0</v>
      </c>
      <c r="M11" s="7">
        <f t="shared" si="1"/>
        <v>3528000</v>
      </c>
      <c r="N11" s="7">
        <f t="shared" si="1"/>
        <v>3392243.7120000003</v>
      </c>
      <c r="O11" s="7">
        <f t="shared" si="1"/>
        <v>0</v>
      </c>
      <c r="P11" s="7">
        <f t="shared" si="1"/>
        <v>0</v>
      </c>
      <c r="Q11" s="7">
        <f t="shared" si="1"/>
        <v>0</v>
      </c>
      <c r="R11" s="7">
        <f t="shared" si="1"/>
        <v>0</v>
      </c>
      <c r="S11" s="7">
        <f t="shared" si="1"/>
        <v>2332800</v>
      </c>
      <c r="T11" s="7">
        <f t="shared" si="1"/>
        <v>2311250</v>
      </c>
      <c r="U11" s="8">
        <f t="shared" ref="U11:V74" si="7">IF(G11="","",SUM(I11,K11,M11,O11,Q11,S11))</f>
        <v>11459520</v>
      </c>
      <c r="V11" s="8">
        <f t="shared" si="7"/>
        <v>11106547.09568</v>
      </c>
      <c r="W11" s="7">
        <f t="shared" si="2"/>
        <v>11457561.6</v>
      </c>
      <c r="X11" s="7">
        <f t="shared" si="2"/>
        <v>11103528.1379584</v>
      </c>
      <c r="Y11" s="10">
        <f t="shared" si="3"/>
        <v>7.0582959641255605E-2</v>
      </c>
      <c r="Z11" s="10">
        <f t="shared" ref="Z11:Z74" si="8">IF($G11="","",IF($G11=1,(V11-$C$2-H11)/($C$2+H11),(V11-V10-H11)/(V10+H11)))</f>
        <v>5.4019301257396589E-2</v>
      </c>
      <c r="AA11" s="10">
        <f t="shared" ref="AA11:AA74" si="9">IF($G11="","",Z11-Y11)</f>
        <v>-1.6563658383859016E-2</v>
      </c>
      <c r="AB11" s="10">
        <f t="shared" ref="AB11:AB74" si="10">IF($G11="","",IF($G11=1,(W11-$C$2-H11)/($C$2+H11),(W11-W10-H11)/(W10+H11)))</f>
        <v>7.0399999999999963E-2</v>
      </c>
      <c r="AC11" s="10">
        <f t="shared" ref="AC11:AC74" si="11">IF($G11="","",IF($G11=1,(X11-$C$2-H11)/($C$2+H11),(X11-X10-H11)/(X10+H11)))</f>
        <v>5.3732799999999997E-2</v>
      </c>
      <c r="AD11" s="10">
        <f t="shared" ref="AD11:AD74" si="12">IF($G11="","",AC11-AB11)</f>
        <v>-1.6667199999999965E-2</v>
      </c>
      <c r="AE11" s="10">
        <f t="shared" si="4"/>
        <v>0.14595200000000008</v>
      </c>
      <c r="AF11" s="10">
        <f t="shared" si="4"/>
        <v>0.11065470956799994</v>
      </c>
      <c r="AG11" s="10">
        <f t="shared" ref="AG11:AG74" si="13">IF($G11="","",AF11-AE11)</f>
        <v>-3.5297290432000139E-2</v>
      </c>
      <c r="AH11" s="10">
        <f t="shared" si="5"/>
        <v>0.14575616000000013</v>
      </c>
      <c r="AI11" s="10">
        <f t="shared" si="5"/>
        <v>0.11035281379583983</v>
      </c>
      <c r="AJ11" s="10">
        <f t="shared" ref="AJ11:AJ74" si="14">IF($G11="","",AI11-AH11)</f>
        <v>-3.5403346204160302E-2</v>
      </c>
      <c r="AK11" s="10">
        <f t="shared" si="6"/>
        <v>7.0491475911882207E-2</v>
      </c>
      <c r="AL11" s="10">
        <f t="shared" ref="AL11:AL74" si="15">IF($G11="","",(1+AF11)^(1/G11)-1)</f>
        <v>5.3876040892855581E-2</v>
      </c>
      <c r="AM11" s="10">
        <f t="shared" ref="AM11:AM74" si="16">IF($G11="","",AL11-AK11)</f>
        <v>-1.6615435019026625E-2</v>
      </c>
      <c r="AN11" s="10">
        <f t="shared" ref="AN11:AN74" si="17">IF($G11="","",(1+AH11)^(1/G11)-1)</f>
        <v>7.0400000000000018E-2</v>
      </c>
      <c r="AO11" s="10">
        <f t="shared" ref="AO11:AO74" si="18">IF($G11="","",(1+AI11)^(1/G11)-1)</f>
        <v>5.3732799999999914E-2</v>
      </c>
      <c r="AP11" s="10">
        <f t="shared" ref="AP11:AP74" si="19">IF($G11="","",AO11-AN11)</f>
        <v>-1.6667200000000104E-2</v>
      </c>
    </row>
    <row r="12" spans="2:42" x14ac:dyDescent="0.45">
      <c r="B12" t="s">
        <v>6</v>
      </c>
      <c r="C12" s="4"/>
      <c r="G12" s="1">
        <v>3</v>
      </c>
      <c r="H12" s="7">
        <f>IF(G12="","",SUMIFS(Add_Contributions[[#All],[Amount ($)]],Add_Contributions[[#All],[Year]],G12))</f>
        <v>0</v>
      </c>
      <c r="I12" s="7">
        <f t="shared" si="1"/>
        <v>6046617.6000000006</v>
      </c>
      <c r="J12" s="7">
        <f t="shared" si="1"/>
        <v>5732423.5179491322</v>
      </c>
      <c r="K12" s="7">
        <f t="shared" si="1"/>
        <v>0</v>
      </c>
      <c r="L12" s="7">
        <f t="shared" si="1"/>
        <v>0</v>
      </c>
      <c r="M12" s="7">
        <f t="shared" si="1"/>
        <v>3704400</v>
      </c>
      <c r="N12" s="7">
        <f t="shared" si="1"/>
        <v>3492654.1258752006</v>
      </c>
      <c r="O12" s="7">
        <f t="shared" si="1"/>
        <v>0</v>
      </c>
      <c r="P12" s="7">
        <f t="shared" si="1"/>
        <v>0</v>
      </c>
      <c r="Q12" s="7">
        <f t="shared" si="1"/>
        <v>0</v>
      </c>
      <c r="R12" s="7">
        <f t="shared" si="1"/>
        <v>0</v>
      </c>
      <c r="S12" s="7">
        <f t="shared" si="1"/>
        <v>2519424</v>
      </c>
      <c r="T12" s="7">
        <f t="shared" si="1"/>
        <v>2484593.75</v>
      </c>
      <c r="U12" s="8">
        <f t="shared" si="7"/>
        <v>12270441.600000001</v>
      </c>
      <c r="V12" s="8">
        <f t="shared" si="7"/>
        <v>11709671.393824333</v>
      </c>
      <c r="W12" s="7">
        <f t="shared" si="2"/>
        <v>12264173.93664</v>
      </c>
      <c r="X12" s="7">
        <f t="shared" si="2"/>
        <v>11700151.794689691</v>
      </c>
      <c r="Y12" s="10">
        <f t="shared" si="3"/>
        <v>7.0764011058054924E-2</v>
      </c>
      <c r="Z12" s="10">
        <f t="shared" si="8"/>
        <v>5.4303492611031574E-2</v>
      </c>
      <c r="AA12" s="10">
        <f t="shared" si="9"/>
        <v>-1.6460518447023349E-2</v>
      </c>
      <c r="AB12" s="10">
        <f t="shared" si="10"/>
        <v>7.0400000000000032E-2</v>
      </c>
      <c r="AC12" s="10">
        <f t="shared" si="11"/>
        <v>5.3732799999999969E-2</v>
      </c>
      <c r="AD12" s="10">
        <f t="shared" si="12"/>
        <v>-1.6667200000000063E-2</v>
      </c>
      <c r="AE12" s="10">
        <f t="shared" si="4"/>
        <v>0.22704416000000038</v>
      </c>
      <c r="AF12" s="10">
        <f t="shared" si="4"/>
        <v>0.17096713938243324</v>
      </c>
      <c r="AG12" s="10">
        <f t="shared" si="13"/>
        <v>-5.6077020617567142E-2</v>
      </c>
      <c r="AH12" s="10">
        <f t="shared" si="5"/>
        <v>0.22641739366400015</v>
      </c>
      <c r="AI12" s="10">
        <f t="shared" si="5"/>
        <v>0.17001517946896882</v>
      </c>
      <c r="AJ12" s="10">
        <f t="shared" si="14"/>
        <v>-5.640221419503133E-2</v>
      </c>
      <c r="AK12" s="10">
        <f t="shared" si="6"/>
        <v>7.058231325231934E-2</v>
      </c>
      <c r="AL12" s="10">
        <f t="shared" si="15"/>
        <v>5.4018505539447981E-2</v>
      </c>
      <c r="AM12" s="10">
        <f t="shared" si="16"/>
        <v>-1.6563807712871359E-2</v>
      </c>
      <c r="AN12" s="10">
        <f t="shared" si="17"/>
        <v>7.0400000000000018E-2</v>
      </c>
      <c r="AO12" s="10">
        <f t="shared" si="18"/>
        <v>5.3732799999999914E-2</v>
      </c>
      <c r="AP12" s="10">
        <f t="shared" si="19"/>
        <v>-1.6667200000000104E-2</v>
      </c>
    </row>
    <row r="13" spans="2:42" x14ac:dyDescent="0.45">
      <c r="G13" s="1">
        <v>4</v>
      </c>
      <c r="H13" s="7">
        <f>IF(G13="","",SUMIFS(Add_Contributions[[#All],[Amount ($)]],Add_Contributions[[#All],[Year]],G13))</f>
        <v>0</v>
      </c>
      <c r="I13" s="7">
        <f t="shared" si="1"/>
        <v>6530347.0080000013</v>
      </c>
      <c r="J13" s="7">
        <f t="shared" si="1"/>
        <v>6081872.0556033105</v>
      </c>
      <c r="K13" s="7">
        <f t="shared" si="1"/>
        <v>0</v>
      </c>
      <c r="L13" s="7">
        <f t="shared" si="1"/>
        <v>0</v>
      </c>
      <c r="M13" s="7">
        <f t="shared" si="1"/>
        <v>3889620</v>
      </c>
      <c r="N13" s="7">
        <f t="shared" si="1"/>
        <v>3596036.688001107</v>
      </c>
      <c r="O13" s="7">
        <f t="shared" si="1"/>
        <v>0</v>
      </c>
      <c r="P13" s="7">
        <f t="shared" si="1"/>
        <v>0</v>
      </c>
      <c r="Q13" s="7">
        <f t="shared" si="1"/>
        <v>0</v>
      </c>
      <c r="R13" s="7">
        <f t="shared" si="1"/>
        <v>0</v>
      </c>
      <c r="S13" s="7">
        <f t="shared" si="1"/>
        <v>2720977.9200000004</v>
      </c>
      <c r="T13" s="7">
        <f t="shared" si="1"/>
        <v>2670938.28125</v>
      </c>
      <c r="U13" s="8">
        <f t="shared" si="7"/>
        <v>13140944.928000001</v>
      </c>
      <c r="V13" s="8">
        <f t="shared" si="7"/>
        <v>12348847.024854418</v>
      </c>
      <c r="W13" s="7">
        <f t="shared" si="2"/>
        <v>13127571.781779457</v>
      </c>
      <c r="X13" s="7">
        <f t="shared" si="2"/>
        <v>12328833.711043391</v>
      </c>
      <c r="Y13" s="10">
        <f t="shared" si="3"/>
        <v>7.0943113245410791E-2</v>
      </c>
      <c r="Z13" s="10">
        <f t="shared" si="8"/>
        <v>5.4585274815413268E-2</v>
      </c>
      <c r="AA13" s="10">
        <f t="shared" si="9"/>
        <v>-1.6357838429997523E-2</v>
      </c>
      <c r="AB13" s="10">
        <f t="shared" si="10"/>
        <v>7.0400000000000074E-2</v>
      </c>
      <c r="AC13" s="10">
        <f t="shared" si="11"/>
        <v>5.3732799999999872E-2</v>
      </c>
      <c r="AD13" s="10">
        <f t="shared" si="12"/>
        <v>-1.6667200000000201E-2</v>
      </c>
      <c r="AE13" s="10">
        <f t="shared" si="4"/>
        <v>0.31409449280000046</v>
      </c>
      <c r="AF13" s="10">
        <f t="shared" si="4"/>
        <v>0.23488470248544169</v>
      </c>
      <c r="AG13" s="10">
        <f t="shared" si="13"/>
        <v>-7.920979031455877E-2</v>
      </c>
      <c r="AH13" s="10">
        <f t="shared" si="5"/>
        <v>0.31275717817794568</v>
      </c>
      <c r="AI13" s="10">
        <f t="shared" si="5"/>
        <v>0.23288337110433899</v>
      </c>
      <c r="AJ13" s="10">
        <f t="shared" si="14"/>
        <v>-7.9873807073606695E-2</v>
      </c>
      <c r="AK13" s="10">
        <f t="shared" si="6"/>
        <v>7.0672501853373371E-2</v>
      </c>
      <c r="AL13" s="10">
        <f t="shared" si="15"/>
        <v>5.4160169295727201E-2</v>
      </c>
      <c r="AM13" s="10">
        <f t="shared" si="16"/>
        <v>-1.651233255764617E-2</v>
      </c>
      <c r="AN13" s="10">
        <f t="shared" si="17"/>
        <v>7.0400000000000018E-2</v>
      </c>
      <c r="AO13" s="10">
        <f t="shared" si="18"/>
        <v>5.3732799999999914E-2</v>
      </c>
      <c r="AP13" s="10">
        <f t="shared" si="19"/>
        <v>-1.6667200000000104E-2</v>
      </c>
    </row>
    <row r="14" spans="2:42" x14ac:dyDescent="0.45">
      <c r="B14" t="s">
        <v>7</v>
      </c>
      <c r="C14" s="4">
        <f>Page!C17</f>
        <v>0.37</v>
      </c>
      <c r="G14" s="1">
        <v>5</v>
      </c>
      <c r="H14" s="7">
        <f>IF(G14="","",SUMIFS(Add_Contributions[[#All],[Amount ($)]],Add_Contributions[[#All],[Year]],G14))</f>
        <v>0</v>
      </c>
      <c r="I14" s="7">
        <f t="shared" si="1"/>
        <v>7052774.7686400022</v>
      </c>
      <c r="J14" s="7">
        <f t="shared" si="1"/>
        <v>6452622.9761128873</v>
      </c>
      <c r="K14" s="7">
        <f t="shared" si="1"/>
        <v>0</v>
      </c>
      <c r="L14" s="7">
        <f t="shared" si="1"/>
        <v>0</v>
      </c>
      <c r="M14" s="7">
        <f t="shared" si="1"/>
        <v>4084101</v>
      </c>
      <c r="N14" s="7">
        <f t="shared" si="1"/>
        <v>3702479.37396594</v>
      </c>
      <c r="O14" s="7">
        <f t="shared" si="1"/>
        <v>0</v>
      </c>
      <c r="P14" s="7">
        <f t="shared" si="1"/>
        <v>0</v>
      </c>
      <c r="Q14" s="7">
        <f t="shared" si="1"/>
        <v>0</v>
      </c>
      <c r="R14" s="7">
        <f t="shared" si="1"/>
        <v>0</v>
      </c>
      <c r="S14" s="7">
        <f t="shared" si="1"/>
        <v>2938656.1536000008</v>
      </c>
      <c r="T14" s="7">
        <f t="shared" si="1"/>
        <v>2871258.65234375</v>
      </c>
      <c r="U14" s="8">
        <f t="shared" si="7"/>
        <v>14075531.922240004</v>
      </c>
      <c r="V14" s="8">
        <f t="shared" si="7"/>
        <v>13026361.002422577</v>
      </c>
      <c r="W14" s="7">
        <f t="shared" si="2"/>
        <v>14051752.835216731</v>
      </c>
      <c r="X14" s="7">
        <f t="shared" si="2"/>
        <v>12991296.467072142</v>
      </c>
      <c r="Y14" s="10">
        <f t="shared" si="3"/>
        <v>7.1120227606207856E-2</v>
      </c>
      <c r="Z14" s="10">
        <f t="shared" si="8"/>
        <v>5.4864553444101488E-2</v>
      </c>
      <c r="AA14" s="10">
        <f t="shared" si="9"/>
        <v>-1.6255674162106368E-2</v>
      </c>
      <c r="AB14" s="10">
        <f t="shared" si="10"/>
        <v>7.0400000000000018E-2</v>
      </c>
      <c r="AC14" s="10">
        <f t="shared" si="11"/>
        <v>5.3732799999999886E-2</v>
      </c>
      <c r="AD14" s="10">
        <f t="shared" si="12"/>
        <v>-1.6667200000000132E-2</v>
      </c>
      <c r="AE14" s="10">
        <f t="shared" si="4"/>
        <v>0.40755319222400099</v>
      </c>
      <c r="AF14" s="10">
        <f t="shared" si="4"/>
        <v>0.30263610024225751</v>
      </c>
      <c r="AG14" s="10">
        <f t="shared" si="13"/>
        <v>-0.10491709198174348</v>
      </c>
      <c r="AH14" s="10">
        <f t="shared" si="5"/>
        <v>0.40517528352167309</v>
      </c>
      <c r="AI14" s="10">
        <f t="shared" si="5"/>
        <v>0.2991296467072142</v>
      </c>
      <c r="AJ14" s="10">
        <f t="shared" si="14"/>
        <v>-0.10604563681445889</v>
      </c>
      <c r="AK14" s="10">
        <f t="shared" si="6"/>
        <v>7.0762032029570987E-2</v>
      </c>
      <c r="AL14" s="10">
        <f t="shared" si="15"/>
        <v>5.4301008487235292E-2</v>
      </c>
      <c r="AM14" s="10">
        <f t="shared" si="16"/>
        <v>-1.6461023542335695E-2</v>
      </c>
      <c r="AN14" s="10">
        <f t="shared" si="17"/>
        <v>7.0400000000000018E-2</v>
      </c>
      <c r="AO14" s="10">
        <f t="shared" si="18"/>
        <v>5.3732799999999914E-2</v>
      </c>
      <c r="AP14" s="10">
        <f t="shared" si="19"/>
        <v>-1.6667200000000104E-2</v>
      </c>
    </row>
    <row r="15" spans="2:42" x14ac:dyDescent="0.45">
      <c r="B15" t="s">
        <v>8</v>
      </c>
      <c r="C15" s="4">
        <f>Page!C18</f>
        <v>0.2</v>
      </c>
      <c r="G15" s="1">
        <v>6</v>
      </c>
      <c r="H15" s="7">
        <f>IF(G15="","",SUMIFS(Add_Contributions[[#All],[Amount ($)]],Add_Contributions[[#All],[Year]],G15))</f>
        <v>0</v>
      </c>
      <c r="I15" s="7">
        <f t="shared" si="1"/>
        <v>7616996.7501312029</v>
      </c>
      <c r="J15" s="7">
        <f t="shared" si="1"/>
        <v>6845974.8727367278</v>
      </c>
      <c r="K15" s="7">
        <f t="shared" si="1"/>
        <v>0</v>
      </c>
      <c r="L15" s="7">
        <f t="shared" si="1"/>
        <v>0</v>
      </c>
      <c r="M15" s="7">
        <f t="shared" si="1"/>
        <v>4288306.05</v>
      </c>
      <c r="N15" s="7">
        <f t="shared" si="1"/>
        <v>3812072.7634353321</v>
      </c>
      <c r="O15" s="7">
        <f t="shared" si="1"/>
        <v>0</v>
      </c>
      <c r="P15" s="7">
        <f t="shared" si="1"/>
        <v>0</v>
      </c>
      <c r="Q15" s="7">
        <f t="shared" si="1"/>
        <v>0</v>
      </c>
      <c r="R15" s="7">
        <f t="shared" si="1"/>
        <v>0</v>
      </c>
      <c r="S15" s="7">
        <f t="shared" si="1"/>
        <v>3173748.6458880012</v>
      </c>
      <c r="T15" s="7">
        <f t="shared" si="1"/>
        <v>3086603.0512695313</v>
      </c>
      <c r="U15" s="8">
        <f t="shared" si="7"/>
        <v>15079051.446019202</v>
      </c>
      <c r="V15" s="8">
        <f t="shared" si="7"/>
        <v>13744650.687441591</v>
      </c>
      <c r="W15" s="7">
        <f t="shared" si="2"/>
        <v>15040996.234815989</v>
      </c>
      <c r="X15" s="7">
        <f t="shared" si="2"/>
        <v>13689355.201878035</v>
      </c>
      <c r="Y15" s="10">
        <f t="shared" si="3"/>
        <v>7.129531795481138E-2</v>
      </c>
      <c r="Z15" s="10">
        <f t="shared" si="8"/>
        <v>5.5141238975753133E-2</v>
      </c>
      <c r="AA15" s="10">
        <f t="shared" si="9"/>
        <v>-1.6154078979058246E-2</v>
      </c>
      <c r="AB15" s="10">
        <f t="shared" si="10"/>
        <v>7.0400000000000004E-2</v>
      </c>
      <c r="AC15" s="10">
        <f t="shared" si="11"/>
        <v>5.3732799999999935E-2</v>
      </c>
      <c r="AD15" s="10">
        <f t="shared" si="12"/>
        <v>-1.6667200000000069E-2</v>
      </c>
      <c r="AE15" s="10">
        <f t="shared" si="4"/>
        <v>0.50790514460192093</v>
      </c>
      <c r="AF15" s="10">
        <f t="shared" si="4"/>
        <v>0.37446506874415886</v>
      </c>
      <c r="AG15" s="10">
        <f t="shared" si="13"/>
        <v>-0.13344007585776207</v>
      </c>
      <c r="AH15" s="10">
        <f t="shared" si="5"/>
        <v>0.50409962348159887</v>
      </c>
      <c r="AI15" s="10">
        <f t="shared" si="5"/>
        <v>0.36893552018780351</v>
      </c>
      <c r="AJ15" s="10">
        <f t="shared" si="14"/>
        <v>-0.13516410329379536</v>
      </c>
      <c r="AK15" s="10">
        <f t="shared" si="6"/>
        <v>7.0850894578311951E-2</v>
      </c>
      <c r="AL15" s="10">
        <f t="shared" si="15"/>
        <v>5.4441000422823738E-2</v>
      </c>
      <c r="AM15" s="10">
        <f t="shared" si="16"/>
        <v>-1.6409894155488214E-2</v>
      </c>
      <c r="AN15" s="10">
        <f t="shared" si="17"/>
        <v>7.0400000000000018E-2</v>
      </c>
      <c r="AO15" s="10">
        <f t="shared" si="18"/>
        <v>5.3732799999999914E-2</v>
      </c>
      <c r="AP15" s="10">
        <f t="shared" si="19"/>
        <v>-1.6667200000000104E-2</v>
      </c>
    </row>
    <row r="16" spans="2:42" x14ac:dyDescent="0.45">
      <c r="B16" t="s">
        <v>9</v>
      </c>
      <c r="C16" s="4">
        <f>Page!C19</f>
        <v>3.7999999999999999E-2</v>
      </c>
      <c r="G16" s="1">
        <v>7</v>
      </c>
      <c r="H16" s="7">
        <f>IF(G16="","",SUMIFS(Add_Contributions[[#All],[Amount ($)]],Add_Contributions[[#All],[Year]],G16))</f>
        <v>0</v>
      </c>
      <c r="I16" s="7">
        <f t="shared" si="1"/>
        <v>8226356.4901417</v>
      </c>
      <c r="J16" s="7">
        <f t="shared" si="1"/>
        <v>7263305.5009787576</v>
      </c>
      <c r="K16" s="7">
        <f t="shared" si="1"/>
        <v>0</v>
      </c>
      <c r="L16" s="7">
        <f t="shared" si="1"/>
        <v>0</v>
      </c>
      <c r="M16" s="7">
        <f t="shared" si="1"/>
        <v>4502721.3525</v>
      </c>
      <c r="N16" s="7">
        <f t="shared" si="1"/>
        <v>3924910.1172330184</v>
      </c>
      <c r="O16" s="7">
        <f t="shared" si="1"/>
        <v>0</v>
      </c>
      <c r="P16" s="7">
        <f t="shared" si="1"/>
        <v>0</v>
      </c>
      <c r="Q16" s="7">
        <f t="shared" si="1"/>
        <v>0</v>
      </c>
      <c r="R16" s="7">
        <f t="shared" si="1"/>
        <v>0</v>
      </c>
      <c r="S16" s="7">
        <f t="shared" si="1"/>
        <v>3427648.5375590413</v>
      </c>
      <c r="T16" s="7">
        <f t="shared" si="1"/>
        <v>3318098.2801147462</v>
      </c>
      <c r="U16" s="8">
        <f t="shared" si="7"/>
        <v>16156726.380200742</v>
      </c>
      <c r="V16" s="8">
        <f t="shared" si="7"/>
        <v>14506313.898326522</v>
      </c>
      <c r="W16" s="7">
        <f t="shared" si="2"/>
        <v>16099882.369747035</v>
      </c>
      <c r="X16" s="7">
        <f t="shared" si="2"/>
        <v>14424922.587069506</v>
      </c>
      <c r="Y16" s="10">
        <f t="shared" si="3"/>
        <v>7.146835051524679E-2</v>
      </c>
      <c r="Z16" s="10">
        <f t="shared" si="8"/>
        <v>5.5415246862610915E-2</v>
      </c>
      <c r="AA16" s="10">
        <f t="shared" si="9"/>
        <v>-1.6053103652635875E-2</v>
      </c>
      <c r="AB16" s="10">
        <f t="shared" si="10"/>
        <v>7.040000000000006E-2</v>
      </c>
      <c r="AC16" s="10">
        <f t="shared" si="11"/>
        <v>5.3732799999999872E-2</v>
      </c>
      <c r="AD16" s="10">
        <f t="shared" si="12"/>
        <v>-1.6667200000000187E-2</v>
      </c>
      <c r="AE16" s="10">
        <f t="shared" si="4"/>
        <v>0.61567263802007477</v>
      </c>
      <c r="AF16" s="10">
        <f t="shared" si="4"/>
        <v>0.45063138983265194</v>
      </c>
      <c r="AG16" s="10">
        <f t="shared" si="13"/>
        <v>-0.16504124818742283</v>
      </c>
      <c r="AH16" s="10">
        <f t="shared" si="5"/>
        <v>0.60998823697470339</v>
      </c>
      <c r="AI16" s="10">
        <f t="shared" si="5"/>
        <v>0.44249225870695064</v>
      </c>
      <c r="AJ16" s="10">
        <f t="shared" si="14"/>
        <v>-0.16749597826775275</v>
      </c>
      <c r="AK16" s="10">
        <f t="shared" si="6"/>
        <v>7.0939080779508279E-2</v>
      </c>
      <c r="AL16" s="10">
        <f t="shared" si="15"/>
        <v>5.4580123405865377E-2</v>
      </c>
      <c r="AM16" s="10">
        <f t="shared" si="16"/>
        <v>-1.6358957373642902E-2</v>
      </c>
      <c r="AN16" s="10">
        <f t="shared" si="17"/>
        <v>7.0400000000000018E-2</v>
      </c>
      <c r="AO16" s="10">
        <f t="shared" si="18"/>
        <v>5.3732799999999914E-2</v>
      </c>
      <c r="AP16" s="10">
        <f t="shared" si="19"/>
        <v>-1.6667200000000104E-2</v>
      </c>
    </row>
    <row r="17" spans="2:42" x14ac:dyDescent="0.45">
      <c r="B17" t="s">
        <v>10</v>
      </c>
      <c r="C17" s="4"/>
      <c r="G17" s="1">
        <v>8</v>
      </c>
      <c r="H17" s="7">
        <f>IF(G17="","",SUMIFS(Add_Contributions[[#All],[Amount ($)]],Add_Contributions[[#All],[Year]],G17))</f>
        <v>0</v>
      </c>
      <c r="I17" s="7">
        <f t="shared" si="1"/>
        <v>8884465.0093530361</v>
      </c>
      <c r="J17" s="7">
        <f t="shared" si="1"/>
        <v>7706076.6043184223</v>
      </c>
      <c r="K17" s="7">
        <f t="shared" si="1"/>
        <v>0</v>
      </c>
      <c r="L17" s="7">
        <f t="shared" si="1"/>
        <v>0</v>
      </c>
      <c r="M17" s="7">
        <f t="shared" si="1"/>
        <v>4727857.4201250002</v>
      </c>
      <c r="N17" s="7">
        <f t="shared" si="1"/>
        <v>4041087.4567031162</v>
      </c>
      <c r="O17" s="7">
        <f t="shared" si="1"/>
        <v>0</v>
      </c>
      <c r="P17" s="7">
        <f t="shared" si="1"/>
        <v>0</v>
      </c>
      <c r="Q17" s="7">
        <f t="shared" si="1"/>
        <v>0</v>
      </c>
      <c r="R17" s="7">
        <f t="shared" si="1"/>
        <v>0</v>
      </c>
      <c r="S17" s="7">
        <f t="shared" si="1"/>
        <v>3701860.4205637649</v>
      </c>
      <c r="T17" s="7">
        <f t="shared" si="1"/>
        <v>3566955.6511233519</v>
      </c>
      <c r="U17" s="8">
        <f t="shared" si="7"/>
        <v>17314182.850041799</v>
      </c>
      <c r="V17" s="8">
        <f t="shared" si="7"/>
        <v>15314119.712144891</v>
      </c>
      <c r="W17" s="7">
        <f t="shared" si="2"/>
        <v>17233314.088577226</v>
      </c>
      <c r="X17" s="7">
        <f t="shared" si="2"/>
        <v>15200014.067455992</v>
      </c>
      <c r="Y17" s="10">
        <f t="shared" si="3"/>
        <v>7.1639293914110114E-2</v>
      </c>
      <c r="Z17" s="10">
        <f t="shared" si="8"/>
        <v>5.5686497581688151E-2</v>
      </c>
      <c r="AA17" s="10">
        <f t="shared" si="9"/>
        <v>-1.5952796332421963E-2</v>
      </c>
      <c r="AB17" s="10">
        <f t="shared" si="10"/>
        <v>7.0399999999999963E-2</v>
      </c>
      <c r="AC17" s="10">
        <f t="shared" si="11"/>
        <v>5.3732799999999858E-2</v>
      </c>
      <c r="AD17" s="10">
        <f t="shared" si="12"/>
        <v>-1.6667200000000104E-2</v>
      </c>
      <c r="AE17" s="10">
        <f t="shared" si="4"/>
        <v>0.7314182850041806</v>
      </c>
      <c r="AF17" s="10">
        <f t="shared" si="4"/>
        <v>0.53141197121448891</v>
      </c>
      <c r="AG17" s="10">
        <f t="shared" si="13"/>
        <v>-0.20000631378969169</v>
      </c>
      <c r="AH17" s="10">
        <f t="shared" si="5"/>
        <v>0.72333140885772251</v>
      </c>
      <c r="AI17" s="10">
        <f t="shared" si="5"/>
        <v>0.52000140674559936</v>
      </c>
      <c r="AJ17" s="10">
        <f t="shared" si="14"/>
        <v>-0.20333000211212315</v>
      </c>
      <c r="AK17" s="10">
        <f t="shared" si="6"/>
        <v>7.1026582394472459E-2</v>
      </c>
      <c r="AL17" s="10">
        <f t="shared" si="15"/>
        <v>5.4718356742994967E-2</v>
      </c>
      <c r="AM17" s="10">
        <f t="shared" si="16"/>
        <v>-1.6308225651477493E-2</v>
      </c>
      <c r="AN17" s="10">
        <f t="shared" si="17"/>
        <v>7.0400000000000018E-2</v>
      </c>
      <c r="AO17" s="10">
        <f t="shared" si="18"/>
        <v>5.3732799999999914E-2</v>
      </c>
      <c r="AP17" s="10">
        <f t="shared" si="19"/>
        <v>-1.6667200000000104E-2</v>
      </c>
    </row>
    <row r="18" spans="2:42" x14ac:dyDescent="0.45">
      <c r="G18" s="1">
        <v>9</v>
      </c>
      <c r="H18" s="7">
        <f>IF(G18="","",SUMIFS(Add_Contributions[[#All],[Amount ($)]],Add_Contributions[[#All],[Year]],G18))</f>
        <v>0</v>
      </c>
      <c r="I18" s="7">
        <f t="shared" si="1"/>
        <v>9595222.2101012804</v>
      </c>
      <c r="J18" s="7">
        <f t="shared" si="1"/>
        <v>8175839.0341176726</v>
      </c>
      <c r="K18" s="7">
        <f t="shared" si="1"/>
        <v>0</v>
      </c>
      <c r="L18" s="7">
        <f t="shared" si="1"/>
        <v>0</v>
      </c>
      <c r="M18" s="7">
        <f t="shared" si="1"/>
        <v>4964250.2911312506</v>
      </c>
      <c r="N18" s="7">
        <f t="shared" si="1"/>
        <v>4160703.6454215287</v>
      </c>
      <c r="O18" s="7">
        <f t="shared" si="1"/>
        <v>0</v>
      </c>
      <c r="P18" s="7">
        <f t="shared" si="1"/>
        <v>0</v>
      </c>
      <c r="Q18" s="7">
        <f t="shared" si="1"/>
        <v>0</v>
      </c>
      <c r="R18" s="7">
        <f t="shared" si="1"/>
        <v>0</v>
      </c>
      <c r="S18" s="7">
        <f t="shared" si="1"/>
        <v>3998009.2542088665</v>
      </c>
      <c r="T18" s="7">
        <f t="shared" si="1"/>
        <v>3834477.3249576031</v>
      </c>
      <c r="U18" s="8">
        <f t="shared" si="7"/>
        <v>18557481.755441397</v>
      </c>
      <c r="V18" s="8">
        <f t="shared" si="7"/>
        <v>16171020.004496805</v>
      </c>
      <c r="W18" s="7">
        <f t="shared" si="2"/>
        <v>18446539.400413062</v>
      </c>
      <c r="X18" s="7">
        <f t="shared" si="2"/>
        <v>16016753.383339791</v>
      </c>
      <c r="Y18" s="10">
        <f t="shared" si="3"/>
        <v>7.1808119168419005E-2</v>
      </c>
      <c r="Z18" s="10">
        <f t="shared" si="8"/>
        <v>5.5954916668984125E-2</v>
      </c>
      <c r="AA18" s="10">
        <f t="shared" si="9"/>
        <v>-1.5853202499434879E-2</v>
      </c>
      <c r="AB18" s="10">
        <f t="shared" si="10"/>
        <v>7.039999999999999E-2</v>
      </c>
      <c r="AC18" s="10">
        <f t="shared" si="11"/>
        <v>5.3732799999999949E-2</v>
      </c>
      <c r="AD18" s="10">
        <f t="shared" si="12"/>
        <v>-1.6667200000000042E-2</v>
      </c>
      <c r="AE18" s="10">
        <f t="shared" si="4"/>
        <v>0.85574817554414051</v>
      </c>
      <c r="AF18" s="10">
        <f t="shared" si="4"/>
        <v>0.61710200044968033</v>
      </c>
      <c r="AG18" s="10">
        <f t="shared" si="13"/>
        <v>-0.23864617509446018</v>
      </c>
      <c r="AH18" s="10">
        <f t="shared" si="5"/>
        <v>0.84465394004130623</v>
      </c>
      <c r="AI18" s="10">
        <f t="shared" si="5"/>
        <v>0.60167533833397924</v>
      </c>
      <c r="AJ18" s="10">
        <f t="shared" si="14"/>
        <v>-0.24297860170732699</v>
      </c>
      <c r="AK18" s="10">
        <f t="shared" si="6"/>
        <v>7.1113391664079595E-2</v>
      </c>
      <c r="AL18" s="10">
        <f t="shared" si="15"/>
        <v>5.4855680750420799E-2</v>
      </c>
      <c r="AM18" s="10">
        <f t="shared" si="16"/>
        <v>-1.6257710913658796E-2</v>
      </c>
      <c r="AN18" s="10">
        <f t="shared" si="17"/>
        <v>7.0400000000000018E-2</v>
      </c>
      <c r="AO18" s="10">
        <f t="shared" si="18"/>
        <v>5.3732799999999914E-2</v>
      </c>
      <c r="AP18" s="10">
        <f t="shared" si="19"/>
        <v>-1.6667200000000104E-2</v>
      </c>
    </row>
    <row r="19" spans="2:42" x14ac:dyDescent="0.45">
      <c r="G19" s="1">
        <v>10</v>
      </c>
      <c r="H19" s="7">
        <f>IF(G19="","",SUMIFS(Add_Contributions[[#All],[Amount ($)]],Add_Contributions[[#All],[Year]],G19))</f>
        <v>0</v>
      </c>
      <c r="I19" s="7">
        <f t="shared" si="1"/>
        <v>10362839.986909384</v>
      </c>
      <c r="J19" s="7">
        <f t="shared" si="1"/>
        <v>8674238.1816374846</v>
      </c>
      <c r="K19" s="7">
        <f t="shared" si="1"/>
        <v>0</v>
      </c>
      <c r="L19" s="7">
        <f t="shared" si="1"/>
        <v>0</v>
      </c>
      <c r="M19" s="7">
        <f t="shared" si="1"/>
        <v>5212462.8056878131</v>
      </c>
      <c r="N19" s="7">
        <f t="shared" si="1"/>
        <v>4283860.473326006</v>
      </c>
      <c r="O19" s="7">
        <f t="shared" si="1"/>
        <v>0</v>
      </c>
      <c r="P19" s="7">
        <f t="shared" si="1"/>
        <v>0</v>
      </c>
      <c r="Q19" s="7">
        <f t="shared" si="1"/>
        <v>0</v>
      </c>
      <c r="R19" s="7">
        <f t="shared" si="1"/>
        <v>0</v>
      </c>
      <c r="S19" s="7">
        <f t="shared" si="1"/>
        <v>4317849.9945455762</v>
      </c>
      <c r="T19" s="7">
        <f t="shared" si="1"/>
        <v>4122063.1243294231</v>
      </c>
      <c r="U19" s="8">
        <f t="shared" si="7"/>
        <v>19893152.787142772</v>
      </c>
      <c r="V19" s="8">
        <f t="shared" si="7"/>
        <v>17080161.779292911</v>
      </c>
      <c r="W19" s="7">
        <f t="shared" si="2"/>
        <v>19745175.774202142</v>
      </c>
      <c r="X19" s="7">
        <f t="shared" si="2"/>
        <v>16877378.389536109</v>
      </c>
      <c r="Y19" s="10">
        <f t="shared" si="3"/>
        <v>7.1974799668588191E-2</v>
      </c>
      <c r="Z19" s="10">
        <f t="shared" si="8"/>
        <v>5.6220434737159042E-2</v>
      </c>
      <c r="AA19" s="10">
        <f t="shared" si="9"/>
        <v>-1.5754364931429149E-2</v>
      </c>
      <c r="AB19" s="10">
        <f t="shared" si="10"/>
        <v>7.039999999999999E-2</v>
      </c>
      <c r="AC19" s="10">
        <f t="shared" si="11"/>
        <v>5.3732799999999865E-2</v>
      </c>
      <c r="AD19" s="10">
        <f t="shared" si="12"/>
        <v>-1.6667200000000125E-2</v>
      </c>
      <c r="AE19" s="10">
        <f t="shared" si="4"/>
        <v>0.98931527871427805</v>
      </c>
      <c r="AF19" s="10">
        <f t="shared" si="4"/>
        <v>0.70801617792929106</v>
      </c>
      <c r="AG19" s="10">
        <f t="shared" si="13"/>
        <v>-0.28129910078498699</v>
      </c>
      <c r="AH19" s="10">
        <f t="shared" si="5"/>
        <v>0.97451757742021416</v>
      </c>
      <c r="AI19" s="10">
        <f t="shared" si="5"/>
        <v>0.68773783895361107</v>
      </c>
      <c r="AJ19" s="10">
        <f t="shared" si="14"/>
        <v>-0.2867797384666031</v>
      </c>
      <c r="AK19" s="10">
        <f t="shared" si="6"/>
        <v>7.1199501306231427E-2</v>
      </c>
      <c r="AL19" s="10">
        <f t="shared" si="15"/>
        <v>5.4992076757862884E-2</v>
      </c>
      <c r="AM19" s="10">
        <f t="shared" si="16"/>
        <v>-1.6207424548368543E-2</v>
      </c>
      <c r="AN19" s="10">
        <f t="shared" si="17"/>
        <v>7.0400000000000018E-2</v>
      </c>
      <c r="AO19" s="10">
        <f t="shared" si="18"/>
        <v>5.3732799999999914E-2</v>
      </c>
      <c r="AP19" s="10">
        <f t="shared" si="19"/>
        <v>-1.6667200000000104E-2</v>
      </c>
    </row>
    <row r="20" spans="2:42" x14ac:dyDescent="0.45">
      <c r="G20" s="1">
        <v>11</v>
      </c>
      <c r="H20" s="7">
        <f>IF(G20="","",SUMIFS(Add_Contributions[[#All],[Amount ($)]],Add_Contributions[[#All],[Year]],G20))</f>
        <v>0</v>
      </c>
      <c r="I20" s="7">
        <f t="shared" si="1"/>
        <v>11191867.185862135</v>
      </c>
      <c r="J20" s="7">
        <f t="shared" si="1"/>
        <v>9203019.7411901057</v>
      </c>
      <c r="K20" s="7">
        <f t="shared" si="1"/>
        <v>0</v>
      </c>
      <c r="L20" s="7">
        <f t="shared" si="1"/>
        <v>0</v>
      </c>
      <c r="M20" s="7">
        <f t="shared" si="1"/>
        <v>5473085.9459722042</v>
      </c>
      <c r="N20" s="7">
        <f t="shared" si="1"/>
        <v>4410662.7433364559</v>
      </c>
      <c r="O20" s="7">
        <f t="shared" si="1"/>
        <v>0</v>
      </c>
      <c r="P20" s="7">
        <f t="shared" si="1"/>
        <v>0</v>
      </c>
      <c r="Q20" s="7">
        <f t="shared" si="1"/>
        <v>0</v>
      </c>
      <c r="R20" s="7">
        <f t="shared" si="1"/>
        <v>0</v>
      </c>
      <c r="S20" s="7">
        <f t="shared" si="1"/>
        <v>4663277.9941092227</v>
      </c>
      <c r="T20" s="7">
        <f t="shared" si="1"/>
        <v>4431217.8586541293</v>
      </c>
      <c r="U20" s="8">
        <f t="shared" si="7"/>
        <v>21328231.125943564</v>
      </c>
      <c r="V20" s="8">
        <f t="shared" si="7"/>
        <v>18044900.34318069</v>
      </c>
      <c r="W20" s="7">
        <f t="shared" si="2"/>
        <v>21135236.148705974</v>
      </c>
      <c r="X20" s="7">
        <f t="shared" si="2"/>
        <v>17784247.187065374</v>
      </c>
      <c r="Y20" s="10">
        <f t="shared" si="3"/>
        <v>7.2139311156766625E-2</v>
      </c>
      <c r="Z20" s="10">
        <f t="shared" si="8"/>
        <v>5.6482987477166458E-2</v>
      </c>
      <c r="AA20" s="10">
        <f t="shared" si="9"/>
        <v>-1.5656323679600168E-2</v>
      </c>
      <c r="AB20" s="10">
        <f t="shared" si="10"/>
        <v>7.0400000000000074E-2</v>
      </c>
      <c r="AC20" s="10">
        <f t="shared" si="11"/>
        <v>5.3732799999999969E-2</v>
      </c>
      <c r="AD20" s="10">
        <f t="shared" si="12"/>
        <v>-1.6667200000000104E-2</v>
      </c>
      <c r="AE20" s="10">
        <f t="shared" si="4"/>
        <v>1.1328231125943571</v>
      </c>
      <c r="AF20" s="10">
        <f t="shared" si="4"/>
        <v>0.80449003431806876</v>
      </c>
      <c r="AG20" s="10">
        <f t="shared" si="13"/>
        <v>-0.32833307827628833</v>
      </c>
      <c r="AH20" s="10">
        <f t="shared" si="5"/>
        <v>1.1135236148705974</v>
      </c>
      <c r="AI20" s="10">
        <f t="shared" si="5"/>
        <v>0.77842471870653762</v>
      </c>
      <c r="AJ20" s="10">
        <f t="shared" si="14"/>
        <v>-0.33509889616405975</v>
      </c>
      <c r="AK20" s="10">
        <f t="shared" si="6"/>
        <v>7.1284904512645797E-2</v>
      </c>
      <c r="AL20" s="10">
        <f t="shared" si="15"/>
        <v>5.5127527110179209E-2</v>
      </c>
      <c r="AM20" s="10">
        <f t="shared" si="16"/>
        <v>-1.6157377402466588E-2</v>
      </c>
      <c r="AN20" s="10">
        <f t="shared" si="17"/>
        <v>7.0400000000000018E-2</v>
      </c>
      <c r="AO20" s="10">
        <f t="shared" si="18"/>
        <v>5.3732799999999914E-2</v>
      </c>
      <c r="AP20" s="10">
        <f t="shared" si="19"/>
        <v>-1.6667200000000104E-2</v>
      </c>
    </row>
    <row r="21" spans="2:42" x14ac:dyDescent="0.45">
      <c r="B21" s="85" t="s">
        <v>42</v>
      </c>
      <c r="C21" s="86" t="s">
        <v>76</v>
      </c>
      <c r="D21" s="86" t="s">
        <v>77</v>
      </c>
      <c r="G21" s="1">
        <v>12</v>
      </c>
      <c r="H21" s="7">
        <f>IF(G21="","",SUMIFS(Add_Contributions[[#All],[Amount ($)]],Add_Contributions[[#All],[Year]],G21))</f>
        <v>0</v>
      </c>
      <c r="I21" s="7">
        <f t="shared" si="1"/>
        <v>12087216.560731107</v>
      </c>
      <c r="J21" s="7">
        <f t="shared" si="1"/>
        <v>9764035.8246130534</v>
      </c>
      <c r="K21" s="7">
        <f t="shared" si="1"/>
        <v>0</v>
      </c>
      <c r="L21" s="7">
        <f t="shared" si="1"/>
        <v>0</v>
      </c>
      <c r="M21" s="7">
        <f t="shared" si="1"/>
        <v>5746740.2432708144</v>
      </c>
      <c r="N21" s="7">
        <f t="shared" si="1"/>
        <v>4541218.3605392156</v>
      </c>
      <c r="O21" s="7">
        <f t="shared" si="1"/>
        <v>0</v>
      </c>
      <c r="P21" s="7">
        <f t="shared" si="1"/>
        <v>0</v>
      </c>
      <c r="Q21" s="7">
        <f t="shared" si="1"/>
        <v>0</v>
      </c>
      <c r="R21" s="7">
        <f t="shared" si="1"/>
        <v>0</v>
      </c>
      <c r="S21" s="7">
        <f t="shared" si="1"/>
        <v>5036340.2336379606</v>
      </c>
      <c r="T21" s="7">
        <f t="shared" si="1"/>
        <v>4763559.1980531886</v>
      </c>
      <c r="U21" s="8">
        <f t="shared" si="7"/>
        <v>22870297.037639879</v>
      </c>
      <c r="V21" s="8">
        <f t="shared" si="7"/>
        <v>19068813.383205459</v>
      </c>
      <c r="W21" s="7">
        <f t="shared" si="2"/>
        <v>22623156.773574874</v>
      </c>
      <c r="X21" s="7">
        <f t="shared" si="2"/>
        <v>18739844.584318519</v>
      </c>
      <c r="Y21" s="10">
        <f t="shared" si="3"/>
        <v>7.230163170074394E-2</v>
      </c>
      <c r="Z21" s="10">
        <f t="shared" si="8"/>
        <v>5.6742515644411046E-2</v>
      </c>
      <c r="AA21" s="10">
        <f t="shared" si="9"/>
        <v>-1.5559116056332895E-2</v>
      </c>
      <c r="AB21" s="10">
        <f t="shared" si="10"/>
        <v>7.0399999999999949E-2</v>
      </c>
      <c r="AC21" s="10">
        <f t="shared" si="11"/>
        <v>5.37327999999999E-2</v>
      </c>
      <c r="AD21" s="10">
        <f t="shared" si="12"/>
        <v>-1.6667200000000049E-2</v>
      </c>
      <c r="AE21" s="10">
        <f t="shared" si="4"/>
        <v>1.2870297037639884</v>
      </c>
      <c r="AF21" s="10">
        <f t="shared" si="4"/>
        <v>0.90688133832054563</v>
      </c>
      <c r="AG21" s="10">
        <f t="shared" si="13"/>
        <v>-0.38014836544344277</v>
      </c>
      <c r="AH21" s="10">
        <f t="shared" si="5"/>
        <v>1.2623156773574875</v>
      </c>
      <c r="AI21" s="10">
        <f t="shared" si="5"/>
        <v>0.87398445843185213</v>
      </c>
      <c r="AJ21" s="10">
        <f t="shared" si="14"/>
        <v>-0.38833121892563538</v>
      </c>
      <c r="AK21" s="10">
        <f t="shared" si="6"/>
        <v>7.1369594945001724E-2</v>
      </c>
      <c r="AL21" s="10">
        <f t="shared" si="15"/>
        <v>5.526201516674778E-2</v>
      </c>
      <c r="AM21" s="10">
        <f t="shared" si="16"/>
        <v>-1.6107579778253944E-2</v>
      </c>
      <c r="AN21" s="10">
        <f t="shared" si="17"/>
        <v>7.0400000000000018E-2</v>
      </c>
      <c r="AO21" s="10">
        <f t="shared" si="18"/>
        <v>5.3732799999999914E-2</v>
      </c>
      <c r="AP21" s="10">
        <f t="shared" si="19"/>
        <v>-1.6667200000000104E-2</v>
      </c>
    </row>
    <row r="22" spans="2:42" x14ac:dyDescent="0.45">
      <c r="B22" t="s">
        <v>43</v>
      </c>
      <c r="C22" s="8">
        <f>_xlfn.XLOOKUP(C3,G:G,V:V)</f>
        <v>29906035.297179252</v>
      </c>
      <c r="D22" s="8">
        <f>_xlfn.XLOOKUP(C3,G:G,X:X)</f>
        <v>28484590.130358048</v>
      </c>
      <c r="G22" s="1">
        <v>13</v>
      </c>
      <c r="H22" s="7">
        <f>IF(G22="","",SUMIFS(Add_Contributions[[#All],[Amount ($)]],Add_Contributions[[#All],[Year]],G22))</f>
        <v>0</v>
      </c>
      <c r="I22" s="7">
        <f t="shared" si="1"/>
        <v>13054193.885589598</v>
      </c>
      <c r="J22" s="7">
        <f t="shared" si="1"/>
        <v>10359251.448481465</v>
      </c>
      <c r="K22" s="7">
        <f t="shared" si="1"/>
        <v>0</v>
      </c>
      <c r="L22" s="7">
        <f t="shared" si="1"/>
        <v>0</v>
      </c>
      <c r="M22" s="7">
        <f t="shared" si="1"/>
        <v>6034077.2554343557</v>
      </c>
      <c r="N22" s="7">
        <f t="shared" si="1"/>
        <v>4675638.4240111765</v>
      </c>
      <c r="O22" s="7">
        <f t="shared" si="1"/>
        <v>0</v>
      </c>
      <c r="P22" s="7">
        <f t="shared" si="1"/>
        <v>0</v>
      </c>
      <c r="Q22" s="7">
        <f t="shared" si="1"/>
        <v>0</v>
      </c>
      <c r="R22" s="7">
        <f t="shared" si="1"/>
        <v>0</v>
      </c>
      <c r="S22" s="7">
        <f t="shared" si="1"/>
        <v>5439247.4523289977</v>
      </c>
      <c r="T22" s="7">
        <f t="shared" si="1"/>
        <v>5120826.1379071772</v>
      </c>
      <c r="U22" s="8">
        <f t="shared" si="7"/>
        <v>24527518.593352951</v>
      </c>
      <c r="V22" s="8">
        <f t="shared" si="7"/>
        <v>20155716.010399818</v>
      </c>
      <c r="W22" s="7">
        <f t="shared" si="2"/>
        <v>24215827.010434546</v>
      </c>
      <c r="X22" s="7">
        <f t="shared" si="2"/>
        <v>19746788.905398786</v>
      </c>
      <c r="Y22" s="10">
        <f t="shared" si="3"/>
        <v>7.2461741663679372E-2</v>
      </c>
      <c r="Z22" s="10">
        <f t="shared" si="8"/>
        <v>5.6998965030075302E-2</v>
      </c>
      <c r="AA22" s="10">
        <f t="shared" si="9"/>
        <v>-1.546277663360407E-2</v>
      </c>
      <c r="AB22" s="10">
        <f t="shared" si="10"/>
        <v>7.0400000000000032E-2</v>
      </c>
      <c r="AC22" s="10">
        <f t="shared" si="11"/>
        <v>5.3732799999999858E-2</v>
      </c>
      <c r="AD22" s="10">
        <f t="shared" si="12"/>
        <v>-1.6667200000000174E-2</v>
      </c>
      <c r="AE22" s="10">
        <f t="shared" si="4"/>
        <v>1.4527518593352959</v>
      </c>
      <c r="AF22" s="10">
        <f t="shared" si="4"/>
        <v>1.0155716010399818</v>
      </c>
      <c r="AG22" s="10">
        <f t="shared" si="13"/>
        <v>-0.43718025829531415</v>
      </c>
      <c r="AH22" s="10">
        <f t="shared" si="5"/>
        <v>1.4215827010434547</v>
      </c>
      <c r="AI22" s="10">
        <f t="shared" si="5"/>
        <v>0.97467889053987888</v>
      </c>
      <c r="AJ22" s="10">
        <f t="shared" si="14"/>
        <v>-0.44690381050357586</v>
      </c>
      <c r="AK22" s="10">
        <f t="shared" si="6"/>
        <v>7.1453566730468987E-2</v>
      </c>
      <c r="AL22" s="10">
        <f t="shared" si="15"/>
        <v>5.5395525298682413E-2</v>
      </c>
      <c r="AM22" s="10">
        <f t="shared" si="16"/>
        <v>-1.6058041431786574E-2</v>
      </c>
      <c r="AN22" s="10">
        <f t="shared" si="17"/>
        <v>7.0400000000000018E-2</v>
      </c>
      <c r="AO22" s="10">
        <f t="shared" si="18"/>
        <v>5.3732799999999914E-2</v>
      </c>
      <c r="AP22" s="10">
        <f t="shared" si="19"/>
        <v>-1.6667200000000104E-2</v>
      </c>
    </row>
    <row r="23" spans="2:42" x14ac:dyDescent="0.45">
      <c r="G23" s="1">
        <v>14</v>
      </c>
      <c r="H23" s="7">
        <f>IF(G23="","",SUMIFS(Add_Contributions[[#All],[Amount ($)]],Add_Contributions[[#All],[Year]],G23))</f>
        <v>0</v>
      </c>
      <c r="I23" s="7">
        <f t="shared" si="1"/>
        <v>14098529.396436766</v>
      </c>
      <c r="J23" s="7">
        <f t="shared" si="1"/>
        <v>10990751.416780895</v>
      </c>
      <c r="K23" s="7">
        <f t="shared" si="1"/>
        <v>0</v>
      </c>
      <c r="L23" s="7">
        <f t="shared" si="1"/>
        <v>0</v>
      </c>
      <c r="M23" s="7">
        <f t="shared" si="1"/>
        <v>6335781.1182060735</v>
      </c>
      <c r="N23" s="7">
        <f t="shared" si="1"/>
        <v>4814037.3213619078</v>
      </c>
      <c r="O23" s="7">
        <f t="shared" si="1"/>
        <v>0</v>
      </c>
      <c r="P23" s="7">
        <f t="shared" si="1"/>
        <v>0</v>
      </c>
      <c r="Q23" s="7">
        <f t="shared" si="1"/>
        <v>0</v>
      </c>
      <c r="R23" s="7">
        <f t="shared" si="1"/>
        <v>0</v>
      </c>
      <c r="S23" s="7">
        <f t="shared" si="1"/>
        <v>5874387.2485153181</v>
      </c>
      <c r="T23" s="7">
        <f t="shared" si="1"/>
        <v>5504888.0982502149</v>
      </c>
      <c r="U23" s="8">
        <f t="shared" si="7"/>
        <v>26308697.763158157</v>
      </c>
      <c r="V23" s="8">
        <f t="shared" si="7"/>
        <v>21309676.836393017</v>
      </c>
      <c r="W23" s="7">
        <f t="shared" si="2"/>
        <v>25920621.231969137</v>
      </c>
      <c r="X23" s="7">
        <f t="shared" si="2"/>
        <v>20807839.164294798</v>
      </c>
      <c r="Y23" s="10">
        <f t="shared" si="3"/>
        <v>7.2619623669877176E-2</v>
      </c>
      <c r="Z23" s="10">
        <f t="shared" si="8"/>
        <v>5.7252286418293726E-2</v>
      </c>
      <c r="AA23" s="10">
        <f t="shared" si="9"/>
        <v>-1.536733725158345E-2</v>
      </c>
      <c r="AB23" s="10">
        <f t="shared" si="10"/>
        <v>7.0399999999999963E-2</v>
      </c>
      <c r="AC23" s="10">
        <f t="shared" si="11"/>
        <v>5.3732799999999997E-2</v>
      </c>
      <c r="AD23" s="10">
        <f t="shared" si="12"/>
        <v>-1.6667199999999965E-2</v>
      </c>
      <c r="AE23" s="10">
        <f t="shared" si="4"/>
        <v>1.6308697763158162</v>
      </c>
      <c r="AF23" s="10">
        <f t="shared" si="4"/>
        <v>1.1309676836393017</v>
      </c>
      <c r="AG23" s="10">
        <f t="shared" si="13"/>
        <v>-0.49990209267651453</v>
      </c>
      <c r="AH23" s="10">
        <f t="shared" si="5"/>
        <v>1.5920621231969139</v>
      </c>
      <c r="AI23" s="10">
        <f t="shared" si="5"/>
        <v>1.0807839164294801</v>
      </c>
      <c r="AJ23" s="10">
        <f t="shared" si="14"/>
        <v>-0.51127820676743374</v>
      </c>
      <c r="AK23" s="10">
        <f t="shared" si="6"/>
        <v>7.1536814456651499E-2</v>
      </c>
      <c r="AL23" s="10">
        <f t="shared" si="15"/>
        <v>5.5528042883966178E-2</v>
      </c>
      <c r="AM23" s="10">
        <f t="shared" si="16"/>
        <v>-1.6008771572685321E-2</v>
      </c>
      <c r="AN23" s="10">
        <f t="shared" si="17"/>
        <v>7.0400000000000018E-2</v>
      </c>
      <c r="AO23" s="10">
        <f t="shared" si="18"/>
        <v>5.3732799999999914E-2</v>
      </c>
      <c r="AP23" s="10">
        <f t="shared" si="19"/>
        <v>-1.6667200000000104E-2</v>
      </c>
    </row>
    <row r="24" spans="2:42" x14ac:dyDescent="0.45">
      <c r="B24" t="s">
        <v>62</v>
      </c>
      <c r="C24" s="9">
        <f>_xlfn.XLOOKUP(C3,G:G,AE:AE)</f>
        <v>3.0185061234637454</v>
      </c>
      <c r="D24" s="9">
        <f>_xlfn.XLOOKUP(C3,G:G,AH:AH)</f>
        <v>2.8987196635413923</v>
      </c>
      <c r="G24" s="1">
        <v>15</v>
      </c>
      <c r="H24" s="7">
        <f>IF(G24="","",SUMIFS(Add_Contributions[[#All],[Amount ($)]],Add_Contributions[[#All],[Year]],G24))</f>
        <v>0</v>
      </c>
      <c r="I24" s="7">
        <f t="shared" si="1"/>
        <v>15226411.748151708</v>
      </c>
      <c r="J24" s="7">
        <f t="shared" si="1"/>
        <v>11660747.623147856</v>
      </c>
      <c r="K24" s="7">
        <f t="shared" si="1"/>
        <v>0</v>
      </c>
      <c r="L24" s="7">
        <f t="shared" si="1"/>
        <v>0</v>
      </c>
      <c r="M24" s="7">
        <f t="shared" si="1"/>
        <v>6652570.1741163777</v>
      </c>
      <c r="N24" s="7">
        <f t="shared" si="1"/>
        <v>4956532.8260742202</v>
      </c>
      <c r="O24" s="7">
        <f t="shared" si="1"/>
        <v>0</v>
      </c>
      <c r="P24" s="7">
        <f t="shared" si="1"/>
        <v>0</v>
      </c>
      <c r="Q24" s="7">
        <f t="shared" si="1"/>
        <v>0</v>
      </c>
      <c r="R24" s="7">
        <f t="shared" si="1"/>
        <v>0</v>
      </c>
      <c r="S24" s="7">
        <f t="shared" si="1"/>
        <v>6344338.2283965442</v>
      </c>
      <c r="T24" s="7">
        <f t="shared" si="1"/>
        <v>5917754.7056189813</v>
      </c>
      <c r="U24" s="8">
        <f t="shared" si="7"/>
        <v>28223320.150664628</v>
      </c>
      <c r="V24" s="8">
        <f t="shared" si="7"/>
        <v>22535035.154841058</v>
      </c>
      <c r="W24" s="7">
        <f t="shared" si="2"/>
        <v>27745432.966699764</v>
      </c>
      <c r="X24" s="7">
        <f t="shared" si="2"/>
        <v>21925902.624542017</v>
      </c>
      <c r="Y24" s="10">
        <f t="shared" si="3"/>
        <v>7.2775262566877968E-2</v>
      </c>
      <c r="Z24" s="10">
        <f t="shared" si="8"/>
        <v>5.7502435529916317E-2</v>
      </c>
      <c r="AA24" s="10">
        <f t="shared" si="9"/>
        <v>-1.5272827036961652E-2</v>
      </c>
      <c r="AB24" s="10">
        <f t="shared" si="10"/>
        <v>7.0400000000000004E-2</v>
      </c>
      <c r="AC24" s="10">
        <f t="shared" si="11"/>
        <v>5.3732799999999956E-2</v>
      </c>
      <c r="AD24" s="10">
        <f t="shared" si="12"/>
        <v>-1.6667200000000049E-2</v>
      </c>
      <c r="AE24" s="10">
        <f t="shared" si="4"/>
        <v>1.8223320150664635</v>
      </c>
      <c r="AF24" s="10">
        <f t="shared" si="4"/>
        <v>1.2535035154841059</v>
      </c>
      <c r="AG24" s="10">
        <f t="shared" si="13"/>
        <v>-0.56882849958235759</v>
      </c>
      <c r="AH24" s="10">
        <f t="shared" si="5"/>
        <v>1.7745432966699766</v>
      </c>
      <c r="AI24" s="10">
        <f t="shared" si="5"/>
        <v>1.192590262454202</v>
      </c>
      <c r="AJ24" s="10">
        <f t="shared" si="14"/>
        <v>-0.5819530342157746</v>
      </c>
      <c r="AK24" s="10">
        <f t="shared" si="6"/>
        <v>7.161933316597513E-2</v>
      </c>
      <c r="AL24" s="10">
        <f t="shared" si="15"/>
        <v>5.5659554300590885E-2</v>
      </c>
      <c r="AM24" s="10">
        <f t="shared" si="16"/>
        <v>-1.5959778865384244E-2</v>
      </c>
      <c r="AN24" s="10">
        <f t="shared" si="17"/>
        <v>7.0400000000000018E-2</v>
      </c>
      <c r="AO24" s="10">
        <f t="shared" si="18"/>
        <v>5.3732799999999914E-2</v>
      </c>
      <c r="AP24" s="10">
        <f t="shared" si="19"/>
        <v>-1.6667200000000104E-2</v>
      </c>
    </row>
    <row r="25" spans="2:42" x14ac:dyDescent="0.45">
      <c r="B25" t="s">
        <v>64</v>
      </c>
      <c r="C25" s="9">
        <f>_xlfn.XLOOKUP(C3,G:G,AF:AF)</f>
        <v>1.9906035297179248</v>
      </c>
      <c r="D25" s="9">
        <f>_xlfn.XLOOKUP(C3,G:G,AI:AI)</f>
        <v>1.8484590130358054</v>
      </c>
      <c r="G25" s="1">
        <v>16</v>
      </c>
      <c r="H25" s="7">
        <f>IF(G25="","",SUMIFS(Add_Contributions[[#All],[Amount ($)]],Add_Contributions[[#All],[Year]],G25))</f>
        <v>0</v>
      </c>
      <c r="I25" s="7">
        <f t="shared" si="1"/>
        <v>16444524.688003846</v>
      </c>
      <c r="J25" s="7">
        <f t="shared" si="1"/>
        <v>12371586.798254948</v>
      </c>
      <c r="K25" s="7">
        <f t="shared" si="1"/>
        <v>0</v>
      </c>
      <c r="L25" s="7">
        <f t="shared" si="1"/>
        <v>0</v>
      </c>
      <c r="M25" s="7">
        <f t="shared" si="1"/>
        <v>6985198.6828221967</v>
      </c>
      <c r="N25" s="7">
        <f t="shared" si="1"/>
        <v>5103246.1977260178</v>
      </c>
      <c r="O25" s="7">
        <f t="shared" si="1"/>
        <v>0</v>
      </c>
      <c r="P25" s="7">
        <f t="shared" si="1"/>
        <v>0</v>
      </c>
      <c r="Q25" s="7">
        <f t="shared" si="1"/>
        <v>0</v>
      </c>
      <c r="R25" s="7">
        <f t="shared" si="1"/>
        <v>0</v>
      </c>
      <c r="S25" s="7">
        <f t="shared" si="1"/>
        <v>6851885.286668268</v>
      </c>
      <c r="T25" s="7">
        <f t="shared" si="1"/>
        <v>6361586.3085404048</v>
      </c>
      <c r="U25" s="8">
        <f t="shared" si="7"/>
        <v>30281608.65749431</v>
      </c>
      <c r="V25" s="8">
        <f t="shared" si="7"/>
        <v>23836419.304521371</v>
      </c>
      <c r="W25" s="7">
        <f t="shared" si="2"/>
        <v>29698711.447555427</v>
      </c>
      <c r="X25" s="7">
        <f t="shared" si="2"/>
        <v>23104042.765086006</v>
      </c>
      <c r="Y25" s="10">
        <f t="shared" si="3"/>
        <v>7.2928645384097809E-2</v>
      </c>
      <c r="Z25" s="10">
        <f t="shared" si="8"/>
        <v>5.7749372953640354E-2</v>
      </c>
      <c r="AA25" s="10">
        <f t="shared" si="9"/>
        <v>-1.5179272430457455E-2</v>
      </c>
      <c r="AB25" s="10">
        <f t="shared" si="10"/>
        <v>7.0399999999999963E-2</v>
      </c>
      <c r="AC25" s="10">
        <f t="shared" si="11"/>
        <v>5.3732799999999935E-2</v>
      </c>
      <c r="AD25" s="10">
        <f t="shared" si="12"/>
        <v>-1.6667200000000028E-2</v>
      </c>
      <c r="AE25" s="10">
        <f t="shared" si="4"/>
        <v>2.0281608657494319</v>
      </c>
      <c r="AF25" s="10">
        <f t="shared" si="4"/>
        <v>1.383641930452137</v>
      </c>
      <c r="AG25" s="10">
        <f t="shared" si="13"/>
        <v>-0.64451893529729487</v>
      </c>
      <c r="AH25" s="10">
        <f t="shared" si="5"/>
        <v>1.969871144755543</v>
      </c>
      <c r="AI25" s="10">
        <f t="shared" si="5"/>
        <v>1.310404276508601</v>
      </c>
      <c r="AJ25" s="10">
        <f t="shared" si="14"/>
        <v>-0.65946686824694201</v>
      </c>
      <c r="AK25" s="10">
        <f t="shared" si="6"/>
        <v>7.1701118349551951E-2</v>
      </c>
      <c r="AL25" s="10">
        <f t="shared" si="15"/>
        <v>5.5790046917793212E-2</v>
      </c>
      <c r="AM25" s="10">
        <f t="shared" si="16"/>
        <v>-1.5911071431758739E-2</v>
      </c>
      <c r="AN25" s="10">
        <f t="shared" si="17"/>
        <v>7.0400000000000018E-2</v>
      </c>
      <c r="AO25" s="10">
        <f t="shared" si="18"/>
        <v>5.3732799999999914E-2</v>
      </c>
      <c r="AP25" s="10">
        <f t="shared" si="19"/>
        <v>-1.6667200000000104E-2</v>
      </c>
    </row>
    <row r="26" spans="2:42" x14ac:dyDescent="0.45">
      <c r="B26" t="s">
        <v>63</v>
      </c>
      <c r="C26" s="9">
        <f>_xlfn.XLOOKUP(C3,G:G,AG:AG)</f>
        <v>-1.0279025937458206</v>
      </c>
      <c r="D26" s="9">
        <f>_xlfn.XLOOKUP(C3,G:G,AJ:AJ)</f>
        <v>-1.0502606505055869</v>
      </c>
      <c r="G26" s="1">
        <v>17</v>
      </c>
      <c r="H26" s="7">
        <f>IF(G26="","",SUMIFS(Add_Contributions[[#All],[Amount ($)]],Add_Contributions[[#All],[Year]],G26))</f>
        <v>0</v>
      </c>
      <c r="I26" s="7">
        <f t="shared" si="1"/>
        <v>17760086.663044155</v>
      </c>
      <c r="J26" s="7">
        <f t="shared" si="1"/>
        <v>13125758.729476569</v>
      </c>
      <c r="K26" s="7">
        <f t="shared" si="1"/>
        <v>0</v>
      </c>
      <c r="L26" s="7">
        <f t="shared" si="1"/>
        <v>0</v>
      </c>
      <c r="M26" s="7">
        <f t="shared" si="1"/>
        <v>7334458.6169633064</v>
      </c>
      <c r="N26" s="7">
        <f t="shared" si="1"/>
        <v>5254302.2851787079</v>
      </c>
      <c r="O26" s="7">
        <f t="shared" si="1"/>
        <v>0</v>
      </c>
      <c r="P26" s="7">
        <f t="shared" si="1"/>
        <v>0</v>
      </c>
      <c r="Q26" s="7">
        <f t="shared" si="1"/>
        <v>0</v>
      </c>
      <c r="R26" s="7">
        <f t="shared" si="1"/>
        <v>0</v>
      </c>
      <c r="S26" s="7">
        <f t="shared" si="1"/>
        <v>7400036.1096017295</v>
      </c>
      <c r="T26" s="7">
        <f t="shared" si="1"/>
        <v>6838705.2816809351</v>
      </c>
      <c r="U26" s="8">
        <f t="shared" si="7"/>
        <v>32494581.389609188</v>
      </c>
      <c r="V26" s="8">
        <f t="shared" si="7"/>
        <v>25218766.296336211</v>
      </c>
      <c r="W26" s="7">
        <f t="shared" ref="W26:X41" si="20">IF($G26="","",IF($G26=1,(($C$2+$H26)*W$3)*(1+(W$4-W$5)),((W25+($H26*W$3))*(1+(W$4-W$5)))))</f>
        <v>31789500.733463328</v>
      </c>
      <c r="X26" s="7">
        <f t="shared" si="20"/>
        <v>24345487.674173817</v>
      </c>
      <c r="Y26" s="10">
        <f t="shared" si="3"/>
        <v>7.3079761288282655E-2</v>
      </c>
      <c r="Z26" s="10">
        <f t="shared" si="8"/>
        <v>5.7993064065315902E-2</v>
      </c>
      <c r="AA26" s="10">
        <f t="shared" si="9"/>
        <v>-1.5086697222966752E-2</v>
      </c>
      <c r="AB26" s="10">
        <f t="shared" si="10"/>
        <v>7.039999999999999E-2</v>
      </c>
      <c r="AC26" s="10">
        <f t="shared" si="11"/>
        <v>5.3732799999999886E-2</v>
      </c>
      <c r="AD26" s="10">
        <f t="shared" si="12"/>
        <v>-1.6667200000000104E-2</v>
      </c>
      <c r="AE26" s="10">
        <f t="shared" ref="AE26:AF41" si="21">IF($G26="","",IF($G26=1,Y26,(1+Y26)*(1+AE25)-1))</f>
        <v>2.2494581389609198</v>
      </c>
      <c r="AF26" s="10">
        <f t="shared" si="21"/>
        <v>1.521876629633621</v>
      </c>
      <c r="AG26" s="10">
        <f t="shared" si="13"/>
        <v>-0.72758150932729881</v>
      </c>
      <c r="AH26" s="10">
        <f t="shared" ref="AH26:AI41" si="22">IF($G26="","",IF($G26=1,AB26,(1+AB26)*(1+AH25)-1))</f>
        <v>2.1789500733463334</v>
      </c>
      <c r="AI26" s="10">
        <f t="shared" si="22"/>
        <v>1.434548767417382</v>
      </c>
      <c r="AJ26" s="10">
        <f t="shared" si="14"/>
        <v>-0.74440130592895137</v>
      </c>
      <c r="AK26" s="10">
        <f t="shared" si="6"/>
        <v>7.1782165940550868E-2</v>
      </c>
      <c r="AL26" s="10">
        <f t="shared" si="15"/>
        <v>5.5919509085490704E-2</v>
      </c>
      <c r="AM26" s="10">
        <f t="shared" si="16"/>
        <v>-1.5862656855060164E-2</v>
      </c>
      <c r="AN26" s="10">
        <f t="shared" si="17"/>
        <v>7.0400000000000018E-2</v>
      </c>
      <c r="AO26" s="10">
        <f t="shared" si="18"/>
        <v>5.3732799999999914E-2</v>
      </c>
      <c r="AP26" s="10">
        <f t="shared" si="19"/>
        <v>-1.6667200000000104E-2</v>
      </c>
    </row>
    <row r="27" spans="2:42" x14ac:dyDescent="0.45">
      <c r="D27" s="9"/>
      <c r="G27" s="1">
        <v>18</v>
      </c>
      <c r="H27" s="7">
        <f>IF(G27="","",SUMIFS(Add_Contributions[[#All],[Amount ($)]],Add_Contributions[[#All],[Year]],G27))</f>
        <v>0</v>
      </c>
      <c r="I27" s="7">
        <f t="shared" si="1"/>
        <v>19180893.596087687</v>
      </c>
      <c r="J27" s="7">
        <f t="shared" si="1"/>
        <v>13925904.98162546</v>
      </c>
      <c r="K27" s="7">
        <f t="shared" si="1"/>
        <v>0</v>
      </c>
      <c r="L27" s="7">
        <f t="shared" si="1"/>
        <v>0</v>
      </c>
      <c r="M27" s="7">
        <f t="shared" si="1"/>
        <v>7701181.5478114719</v>
      </c>
      <c r="N27" s="7">
        <f t="shared" si="1"/>
        <v>5409829.6328199981</v>
      </c>
      <c r="O27" s="7">
        <f t="shared" si="1"/>
        <v>0</v>
      </c>
      <c r="P27" s="7">
        <f t="shared" si="1"/>
        <v>0</v>
      </c>
      <c r="Q27" s="7">
        <f t="shared" si="1"/>
        <v>0</v>
      </c>
      <c r="R27" s="7">
        <f t="shared" si="1"/>
        <v>0</v>
      </c>
      <c r="S27" s="7">
        <f t="shared" si="1"/>
        <v>7992038.9983698688</v>
      </c>
      <c r="T27" s="7">
        <f t="shared" si="1"/>
        <v>7351608.1778070051</v>
      </c>
      <c r="U27" s="8">
        <f t="shared" si="7"/>
        <v>34874114.14226903</v>
      </c>
      <c r="V27" s="8">
        <f t="shared" si="7"/>
        <v>26687342.792252466</v>
      </c>
      <c r="W27" s="7">
        <f t="shared" si="20"/>
        <v>34027481.585099146</v>
      </c>
      <c r="X27" s="7">
        <f t="shared" si="20"/>
        <v>25653638.894272663</v>
      </c>
      <c r="Y27" s="10">
        <f t="shared" si="3"/>
        <v>7.3228601536031696E-2</v>
      </c>
      <c r="Z27" s="10">
        <f t="shared" si="8"/>
        <v>5.8233478936263822E-2</v>
      </c>
      <c r="AA27" s="10">
        <f t="shared" si="9"/>
        <v>-1.4995122599767874E-2</v>
      </c>
      <c r="AB27" s="10">
        <f t="shared" si="10"/>
        <v>7.0399999999999976E-2</v>
      </c>
      <c r="AC27" s="10">
        <f t="shared" si="11"/>
        <v>5.3732799999999949E-2</v>
      </c>
      <c r="AD27" s="10">
        <f t="shared" si="12"/>
        <v>-1.6667200000000028E-2</v>
      </c>
      <c r="AE27" s="10">
        <f t="shared" si="21"/>
        <v>2.4874114142269041</v>
      </c>
      <c r="AF27" s="10">
        <f t="shared" si="21"/>
        <v>1.6687342792252462</v>
      </c>
      <c r="AG27" s="10">
        <f t="shared" si="13"/>
        <v>-0.81867713500165795</v>
      </c>
      <c r="AH27" s="10">
        <f t="shared" si="22"/>
        <v>2.4027481585099153</v>
      </c>
      <c r="AI27" s="10">
        <f t="shared" si="22"/>
        <v>1.5653638894272666</v>
      </c>
      <c r="AJ27" s="10">
        <f t="shared" si="14"/>
        <v>-0.83738426908264874</v>
      </c>
      <c r="AK27" s="10">
        <f t="shared" si="6"/>
        <v>7.1862472307108627E-2</v>
      </c>
      <c r="AL27" s="10">
        <f t="shared" si="15"/>
        <v>5.6047930122013367E-2</v>
      </c>
      <c r="AM27" s="10">
        <f t="shared" si="16"/>
        <v>-1.5814542185095259E-2</v>
      </c>
      <c r="AN27" s="10">
        <f t="shared" si="17"/>
        <v>7.0400000000000018E-2</v>
      </c>
      <c r="AO27" s="10">
        <f t="shared" si="18"/>
        <v>5.3732799999999914E-2</v>
      </c>
      <c r="AP27" s="10">
        <f t="shared" si="19"/>
        <v>-1.6667200000000104E-2</v>
      </c>
    </row>
    <row r="28" spans="2:42" x14ac:dyDescent="0.45">
      <c r="B28" t="s">
        <v>65</v>
      </c>
      <c r="C28" s="9">
        <f>_xlfn.XLOOKUP(C3,G:G,AK:AK)</f>
        <v>7.2020848968773032E-2</v>
      </c>
      <c r="D28" s="9">
        <f>_xlfn.XLOOKUP(C3,G:G,AN:AN)</f>
        <v>7.0400000000000018E-2</v>
      </c>
      <c r="G28" s="1">
        <v>19</v>
      </c>
      <c r="H28" s="7">
        <f>IF(G28="","",SUMIFS(Add_Contributions[[#All],[Amount ($)]],Add_Contributions[[#All],[Year]],G28))</f>
        <v>0</v>
      </c>
      <c r="I28" s="7">
        <f t="shared" si="1"/>
        <v>20715365.083774704</v>
      </c>
      <c r="J28" s="7">
        <f t="shared" si="1"/>
        <v>14774828.149305347</v>
      </c>
      <c r="K28" s="7">
        <f t="shared" si="1"/>
        <v>0</v>
      </c>
      <c r="L28" s="7">
        <f t="shared" si="1"/>
        <v>0</v>
      </c>
      <c r="M28" s="7">
        <f t="shared" si="1"/>
        <v>8086240.6252020458</v>
      </c>
      <c r="N28" s="7">
        <f t="shared" si="1"/>
        <v>5569960.5899514705</v>
      </c>
      <c r="O28" s="7">
        <f t="shared" si="1"/>
        <v>0</v>
      </c>
      <c r="P28" s="7">
        <f t="shared" si="1"/>
        <v>0</v>
      </c>
      <c r="Q28" s="7">
        <f t="shared" si="1"/>
        <v>0</v>
      </c>
      <c r="R28" s="7">
        <f t="shared" si="1"/>
        <v>0</v>
      </c>
      <c r="S28" s="7">
        <f t="shared" si="1"/>
        <v>8631402.1182394587</v>
      </c>
      <c r="T28" s="7">
        <f t="shared" si="1"/>
        <v>7902978.7911425298</v>
      </c>
      <c r="U28" s="8">
        <f t="shared" si="7"/>
        <v>37433007.827216208</v>
      </c>
      <c r="V28" s="8">
        <f t="shared" si="7"/>
        <v>28247767.530399349</v>
      </c>
      <c r="W28" s="7">
        <f t="shared" si="20"/>
        <v>36423016.288690127</v>
      </c>
      <c r="X28" s="7">
        <f t="shared" si="20"/>
        <v>27032080.742250834</v>
      </c>
      <c r="Y28" s="10">
        <f t="shared" si="3"/>
        <v>7.3375159423639119E-2</v>
      </c>
      <c r="Z28" s="10">
        <f t="shared" si="8"/>
        <v>5.8470592231456085E-2</v>
      </c>
      <c r="AA28" s="10">
        <f t="shared" si="9"/>
        <v>-1.4904567192183034E-2</v>
      </c>
      <c r="AB28" s="10">
        <f t="shared" si="10"/>
        <v>7.040000000000006E-2</v>
      </c>
      <c r="AC28" s="10">
        <f t="shared" si="11"/>
        <v>5.3732799999999879E-2</v>
      </c>
      <c r="AD28" s="10">
        <f t="shared" si="12"/>
        <v>-1.666720000000018E-2</v>
      </c>
      <c r="AE28" s="10">
        <f t="shared" si="21"/>
        <v>2.7433007827216223</v>
      </c>
      <c r="AF28" s="10">
        <f t="shared" si="21"/>
        <v>1.8247767530399344</v>
      </c>
      <c r="AG28" s="10">
        <f t="shared" si="13"/>
        <v>-0.91852402968168789</v>
      </c>
      <c r="AH28" s="10">
        <f t="shared" si="22"/>
        <v>2.6423016288690135</v>
      </c>
      <c r="AI28" s="10">
        <f t="shared" si="22"/>
        <v>1.7032080742250839</v>
      </c>
      <c r="AJ28" s="10">
        <f t="shared" si="14"/>
        <v>-0.93909355464392963</v>
      </c>
      <c r="AK28" s="10">
        <f t="shared" si="6"/>
        <v>7.1942034244810493E-2</v>
      </c>
      <c r="AL28" s="10">
        <f t="shared" si="15"/>
        <v>5.6175300300236986E-2</v>
      </c>
      <c r="AM28" s="10">
        <f t="shared" si="16"/>
        <v>-1.5766733944573508E-2</v>
      </c>
      <c r="AN28" s="10">
        <f t="shared" si="17"/>
        <v>7.0400000000000018E-2</v>
      </c>
      <c r="AO28" s="10">
        <f t="shared" si="18"/>
        <v>5.3732799999999914E-2</v>
      </c>
      <c r="AP28" s="10">
        <f t="shared" si="19"/>
        <v>-1.6667200000000104E-2</v>
      </c>
    </row>
    <row r="29" spans="2:42" x14ac:dyDescent="0.45">
      <c r="B29" t="s">
        <v>66</v>
      </c>
      <c r="C29" s="9">
        <f>_xlfn.XLOOKUP(C3,G:G,AL:AL)</f>
        <v>5.6301610832222737E-2</v>
      </c>
      <c r="D29" s="9">
        <f>_xlfn.XLOOKUP(C3,G:G,AO:AO)</f>
        <v>5.3732799999999914E-2</v>
      </c>
      <c r="G29" s="1">
        <v>20</v>
      </c>
      <c r="H29" s="7">
        <f>IF(G29="","",SUMIFS(Add_Contributions[[#All],[Amount ($)]],Add_Contributions[[#All],[Year]],G29))</f>
        <v>0</v>
      </c>
      <c r="I29" s="7">
        <f t="shared" si="1"/>
        <v>22372594.290476684</v>
      </c>
      <c r="J29" s="7">
        <f t="shared" si="1"/>
        <v>15675501.673287001</v>
      </c>
      <c r="K29" s="7">
        <f t="shared" si="1"/>
        <v>0</v>
      </c>
      <c r="L29" s="7">
        <f t="shared" si="1"/>
        <v>0</v>
      </c>
      <c r="M29" s="7">
        <f t="shared" si="1"/>
        <v>8490552.6564621478</v>
      </c>
      <c r="N29" s="7">
        <f t="shared" si="1"/>
        <v>5734831.4234140348</v>
      </c>
      <c r="O29" s="7">
        <f t="shared" si="1"/>
        <v>0</v>
      </c>
      <c r="P29" s="7">
        <f t="shared" si="1"/>
        <v>0</v>
      </c>
      <c r="Q29" s="7">
        <f t="shared" si="1"/>
        <v>0</v>
      </c>
      <c r="R29" s="7">
        <f t="shared" si="1"/>
        <v>0</v>
      </c>
      <c r="S29" s="7">
        <f t="shared" si="1"/>
        <v>9321914.2876986153</v>
      </c>
      <c r="T29" s="7">
        <f t="shared" si="1"/>
        <v>8495702.2004782185</v>
      </c>
      <c r="U29" s="8">
        <f t="shared" si="7"/>
        <v>40185061.234637447</v>
      </c>
      <c r="V29" s="8">
        <f t="shared" si="7"/>
        <v>29906035.297179252</v>
      </c>
      <c r="W29" s="7">
        <f t="shared" si="20"/>
        <v>38987196.635413915</v>
      </c>
      <c r="X29" s="7">
        <f t="shared" si="20"/>
        <v>28484590.130358048</v>
      </c>
      <c r="Y29" s="10">
        <f t="shared" si="3"/>
        <v>7.3519430234519345E-2</v>
      </c>
      <c r="Z29" s="10">
        <f t="shared" si="8"/>
        <v>5.870438309842816E-2</v>
      </c>
      <c r="AA29" s="10">
        <f t="shared" si="9"/>
        <v>-1.4815047136091185E-2</v>
      </c>
      <c r="AB29" s="10">
        <f t="shared" si="10"/>
        <v>7.0400000000000074E-2</v>
      </c>
      <c r="AC29" s="10">
        <f t="shared" si="11"/>
        <v>5.3732799999999949E-2</v>
      </c>
      <c r="AD29" s="10">
        <f t="shared" si="12"/>
        <v>-1.6667200000000125E-2</v>
      </c>
      <c r="AE29" s="10">
        <f t="shared" si="21"/>
        <v>3.0185061234637454</v>
      </c>
      <c r="AF29" s="10">
        <f t="shared" si="21"/>
        <v>1.9906035297179248</v>
      </c>
      <c r="AG29" s="10">
        <f t="shared" si="13"/>
        <v>-1.0279025937458206</v>
      </c>
      <c r="AH29" s="10">
        <f t="shared" si="22"/>
        <v>2.8987196635413923</v>
      </c>
      <c r="AI29" s="10">
        <f t="shared" si="22"/>
        <v>1.8484590130358054</v>
      </c>
      <c r="AJ29" s="10">
        <f t="shared" si="14"/>
        <v>-1.0502606505055869</v>
      </c>
      <c r="AK29" s="10">
        <f t="shared" si="6"/>
        <v>7.2020848968773032E-2</v>
      </c>
      <c r="AL29" s="10">
        <f t="shared" si="15"/>
        <v>5.6301610832222737E-2</v>
      </c>
      <c r="AM29" s="10">
        <f t="shared" si="16"/>
        <v>-1.5719238136550295E-2</v>
      </c>
      <c r="AN29" s="10">
        <f t="shared" si="17"/>
        <v>7.0400000000000018E-2</v>
      </c>
      <c r="AO29" s="10">
        <f t="shared" si="18"/>
        <v>5.3732799999999914E-2</v>
      </c>
      <c r="AP29" s="10">
        <f t="shared" si="19"/>
        <v>-1.6667200000000104E-2</v>
      </c>
    </row>
    <row r="30" spans="2:42" x14ac:dyDescent="0.45">
      <c r="B30" t="s">
        <v>67</v>
      </c>
      <c r="C30" s="9">
        <f>_xlfn.XLOOKUP(C3,G:G,AM:AM)</f>
        <v>-1.5719238136550295E-2</v>
      </c>
      <c r="D30" s="9">
        <f>_xlfn.XLOOKUP(C3,G:G,AP:AP)</f>
        <v>-1.6667200000000104E-2</v>
      </c>
      <c r="G30" s="1"/>
      <c r="H30" s="7" t="str">
        <f>IF(G30="","",SUMIFS(Add_Contributions[[#All],[Amount ($)]],Add_Contributions[[#All],[Year]],G30))</f>
        <v/>
      </c>
      <c r="I30" s="7" t="str">
        <f t="shared" si="1"/>
        <v/>
      </c>
      <c r="J30" s="7" t="str">
        <f t="shared" si="1"/>
        <v/>
      </c>
      <c r="K30" s="7" t="str">
        <f t="shared" si="1"/>
        <v/>
      </c>
      <c r="L30" s="7" t="str">
        <f t="shared" si="1"/>
        <v/>
      </c>
      <c r="M30" s="7" t="str">
        <f t="shared" si="1"/>
        <v/>
      </c>
      <c r="N30" s="7" t="str">
        <f t="shared" si="1"/>
        <v/>
      </c>
      <c r="O30" s="7" t="str">
        <f t="shared" si="1"/>
        <v/>
      </c>
      <c r="P30" s="7" t="str">
        <f t="shared" si="1"/>
        <v/>
      </c>
      <c r="Q30" s="7" t="str">
        <f t="shared" si="1"/>
        <v/>
      </c>
      <c r="R30" s="7" t="str">
        <f t="shared" si="1"/>
        <v/>
      </c>
      <c r="S30" s="7" t="str">
        <f t="shared" si="1"/>
        <v/>
      </c>
      <c r="T30" s="7" t="str">
        <f t="shared" si="1"/>
        <v/>
      </c>
      <c r="U30" s="8" t="str">
        <f t="shared" si="7"/>
        <v/>
      </c>
      <c r="V30" s="8" t="str">
        <f t="shared" si="7"/>
        <v/>
      </c>
      <c r="W30" s="7" t="str">
        <f t="shared" si="20"/>
        <v/>
      </c>
      <c r="X30" s="7" t="str">
        <f t="shared" si="20"/>
        <v/>
      </c>
      <c r="Y30" s="10" t="str">
        <f t="shared" si="3"/>
        <v/>
      </c>
      <c r="Z30" s="10" t="str">
        <f t="shared" si="8"/>
        <v/>
      </c>
      <c r="AA30" s="10" t="str">
        <f t="shared" si="9"/>
        <v/>
      </c>
      <c r="AB30" s="10" t="str">
        <f t="shared" si="10"/>
        <v/>
      </c>
      <c r="AC30" s="10" t="str">
        <f t="shared" si="11"/>
        <v/>
      </c>
      <c r="AD30" s="10" t="str">
        <f t="shared" si="12"/>
        <v/>
      </c>
      <c r="AE30" s="10" t="str">
        <f t="shared" si="21"/>
        <v/>
      </c>
      <c r="AF30" s="10" t="str">
        <f t="shared" si="21"/>
        <v/>
      </c>
      <c r="AG30" s="10" t="str">
        <f t="shared" si="13"/>
        <v/>
      </c>
      <c r="AH30" s="10" t="str">
        <f t="shared" si="22"/>
        <v/>
      </c>
      <c r="AI30" s="10" t="str">
        <f t="shared" si="22"/>
        <v/>
      </c>
      <c r="AJ30" s="10" t="str">
        <f t="shared" si="14"/>
        <v/>
      </c>
      <c r="AK30" s="10" t="str">
        <f t="shared" si="6"/>
        <v/>
      </c>
      <c r="AL30" s="10" t="str">
        <f t="shared" si="15"/>
        <v/>
      </c>
      <c r="AM30" s="10" t="str">
        <f t="shared" si="16"/>
        <v/>
      </c>
      <c r="AN30" s="10" t="str">
        <f t="shared" si="17"/>
        <v/>
      </c>
      <c r="AO30" s="10" t="str">
        <f t="shared" si="18"/>
        <v/>
      </c>
      <c r="AP30" s="10" t="str">
        <f t="shared" si="19"/>
        <v/>
      </c>
    </row>
    <row r="31" spans="2:42" x14ac:dyDescent="0.45">
      <c r="G31" s="1"/>
      <c r="H31" s="7" t="str">
        <f>IF(G31="","",SUMIFS(Add_Contributions[[#All],[Amount ($)]],Add_Contributions[[#All],[Year]],G31))</f>
        <v/>
      </c>
      <c r="I31" s="7" t="str">
        <f t="shared" si="1"/>
        <v/>
      </c>
      <c r="J31" s="7" t="str">
        <f t="shared" si="1"/>
        <v/>
      </c>
      <c r="K31" s="7" t="str">
        <f t="shared" si="1"/>
        <v/>
      </c>
      <c r="L31" s="7" t="str">
        <f t="shared" ref="I31:T52" si="23">IF($G31="","",IF($G31=1,(($C$2+$H31)*L$3)*(1+(L$4-L$5)),((L30+($H31*L$3))*(1+(L$4-L$5)))))</f>
        <v/>
      </c>
      <c r="M31" s="7" t="str">
        <f t="shared" si="23"/>
        <v/>
      </c>
      <c r="N31" s="7" t="str">
        <f t="shared" si="23"/>
        <v/>
      </c>
      <c r="O31" s="7" t="str">
        <f t="shared" si="23"/>
        <v/>
      </c>
      <c r="P31" s="7" t="str">
        <f t="shared" si="23"/>
        <v/>
      </c>
      <c r="Q31" s="7" t="str">
        <f t="shared" si="23"/>
        <v/>
      </c>
      <c r="R31" s="7" t="str">
        <f t="shared" si="23"/>
        <v/>
      </c>
      <c r="S31" s="7" t="str">
        <f t="shared" si="23"/>
        <v/>
      </c>
      <c r="T31" s="7" t="str">
        <f t="shared" si="23"/>
        <v/>
      </c>
      <c r="U31" s="8" t="str">
        <f t="shared" si="7"/>
        <v/>
      </c>
      <c r="V31" s="8" t="str">
        <f t="shared" si="7"/>
        <v/>
      </c>
      <c r="W31" s="7" t="str">
        <f t="shared" si="20"/>
        <v/>
      </c>
      <c r="X31" s="7" t="str">
        <f t="shared" si="20"/>
        <v/>
      </c>
      <c r="Y31" s="10" t="str">
        <f t="shared" si="3"/>
        <v/>
      </c>
      <c r="Z31" s="10" t="str">
        <f t="shared" si="8"/>
        <v/>
      </c>
      <c r="AA31" s="10" t="str">
        <f t="shared" si="9"/>
        <v/>
      </c>
      <c r="AB31" s="10" t="str">
        <f t="shared" si="10"/>
        <v/>
      </c>
      <c r="AC31" s="10" t="str">
        <f t="shared" si="11"/>
        <v/>
      </c>
      <c r="AD31" s="10" t="str">
        <f t="shared" si="12"/>
        <v/>
      </c>
      <c r="AE31" s="10" t="str">
        <f t="shared" si="21"/>
        <v/>
      </c>
      <c r="AF31" s="10" t="str">
        <f t="shared" si="21"/>
        <v/>
      </c>
      <c r="AG31" s="10" t="str">
        <f t="shared" si="13"/>
        <v/>
      </c>
      <c r="AH31" s="10" t="str">
        <f t="shared" si="22"/>
        <v/>
      </c>
      <c r="AI31" s="10" t="str">
        <f t="shared" si="22"/>
        <v/>
      </c>
      <c r="AJ31" s="10" t="str">
        <f t="shared" si="14"/>
        <v/>
      </c>
      <c r="AK31" s="10" t="str">
        <f t="shared" si="6"/>
        <v/>
      </c>
      <c r="AL31" s="10" t="str">
        <f t="shared" si="15"/>
        <v/>
      </c>
      <c r="AM31" s="10" t="str">
        <f t="shared" si="16"/>
        <v/>
      </c>
      <c r="AN31" s="10" t="str">
        <f t="shared" si="17"/>
        <v/>
      </c>
      <c r="AO31" s="10" t="str">
        <f t="shared" si="18"/>
        <v/>
      </c>
      <c r="AP31" s="10" t="str">
        <f t="shared" si="19"/>
        <v/>
      </c>
    </row>
    <row r="32" spans="2:42" x14ac:dyDescent="0.45">
      <c r="G32" s="1"/>
      <c r="H32" s="7" t="str">
        <f>IF(G32="","",SUMIFS(Add_Contributions[[#All],[Amount ($)]],Add_Contributions[[#All],[Year]],G32))</f>
        <v/>
      </c>
      <c r="I32" s="7" t="str">
        <f t="shared" si="23"/>
        <v/>
      </c>
      <c r="J32" s="7" t="str">
        <f t="shared" si="23"/>
        <v/>
      </c>
      <c r="K32" s="7" t="str">
        <f t="shared" si="23"/>
        <v/>
      </c>
      <c r="L32" s="7" t="str">
        <f t="shared" si="23"/>
        <v/>
      </c>
      <c r="M32" s="7" t="str">
        <f t="shared" si="23"/>
        <v/>
      </c>
      <c r="N32" s="7" t="str">
        <f t="shared" si="23"/>
        <v/>
      </c>
      <c r="O32" s="7" t="str">
        <f t="shared" si="23"/>
        <v/>
      </c>
      <c r="P32" s="7" t="str">
        <f t="shared" si="23"/>
        <v/>
      </c>
      <c r="Q32" s="7" t="str">
        <f t="shared" si="23"/>
        <v/>
      </c>
      <c r="R32" s="7" t="str">
        <f t="shared" si="23"/>
        <v/>
      </c>
      <c r="S32" s="7" t="str">
        <f t="shared" si="23"/>
        <v/>
      </c>
      <c r="T32" s="7" t="str">
        <f t="shared" si="23"/>
        <v/>
      </c>
      <c r="U32" s="8" t="str">
        <f t="shared" si="7"/>
        <v/>
      </c>
      <c r="V32" s="8" t="str">
        <f t="shared" si="7"/>
        <v/>
      </c>
      <c r="W32" s="7" t="str">
        <f t="shared" si="20"/>
        <v/>
      </c>
      <c r="X32" s="7" t="str">
        <f t="shared" si="20"/>
        <v/>
      </c>
      <c r="Y32" s="10" t="str">
        <f t="shared" si="3"/>
        <v/>
      </c>
      <c r="Z32" s="10" t="str">
        <f t="shared" si="8"/>
        <v/>
      </c>
      <c r="AA32" s="10" t="str">
        <f t="shared" si="9"/>
        <v/>
      </c>
      <c r="AB32" s="10" t="str">
        <f t="shared" si="10"/>
        <v/>
      </c>
      <c r="AC32" s="10" t="str">
        <f t="shared" si="11"/>
        <v/>
      </c>
      <c r="AD32" s="10" t="str">
        <f t="shared" si="12"/>
        <v/>
      </c>
      <c r="AE32" s="10" t="str">
        <f t="shared" si="21"/>
        <v/>
      </c>
      <c r="AF32" s="10" t="str">
        <f t="shared" si="21"/>
        <v/>
      </c>
      <c r="AG32" s="10" t="str">
        <f t="shared" si="13"/>
        <v/>
      </c>
      <c r="AH32" s="10" t="str">
        <f t="shared" si="22"/>
        <v/>
      </c>
      <c r="AI32" s="10" t="str">
        <f t="shared" si="22"/>
        <v/>
      </c>
      <c r="AJ32" s="10" t="str">
        <f t="shared" si="14"/>
        <v/>
      </c>
      <c r="AK32" s="10" t="str">
        <f t="shared" si="6"/>
        <v/>
      </c>
      <c r="AL32" s="10" t="str">
        <f t="shared" si="15"/>
        <v/>
      </c>
      <c r="AM32" s="10" t="str">
        <f t="shared" si="16"/>
        <v/>
      </c>
      <c r="AN32" s="10" t="str">
        <f t="shared" si="17"/>
        <v/>
      </c>
      <c r="AO32" s="10" t="str">
        <f t="shared" si="18"/>
        <v/>
      </c>
      <c r="AP32" s="10" t="str">
        <f t="shared" si="19"/>
        <v/>
      </c>
    </row>
    <row r="33" spans="7:42" x14ac:dyDescent="0.45">
      <c r="G33" s="1"/>
      <c r="H33" s="7" t="str">
        <f>IF(G33="","",SUMIFS(Add_Contributions[[#All],[Amount ($)]],Add_Contributions[[#All],[Year]],G33))</f>
        <v/>
      </c>
      <c r="I33" s="7" t="str">
        <f t="shared" si="23"/>
        <v/>
      </c>
      <c r="J33" s="7" t="str">
        <f t="shared" si="23"/>
        <v/>
      </c>
      <c r="K33" s="7" t="str">
        <f t="shared" si="23"/>
        <v/>
      </c>
      <c r="L33" s="7" t="str">
        <f t="shared" si="23"/>
        <v/>
      </c>
      <c r="M33" s="7" t="str">
        <f t="shared" si="23"/>
        <v/>
      </c>
      <c r="N33" s="7" t="str">
        <f t="shared" si="23"/>
        <v/>
      </c>
      <c r="O33" s="7" t="str">
        <f t="shared" si="23"/>
        <v/>
      </c>
      <c r="P33" s="7" t="str">
        <f t="shared" si="23"/>
        <v/>
      </c>
      <c r="Q33" s="7" t="str">
        <f t="shared" si="23"/>
        <v/>
      </c>
      <c r="R33" s="7" t="str">
        <f t="shared" si="23"/>
        <v/>
      </c>
      <c r="S33" s="7" t="str">
        <f t="shared" si="23"/>
        <v/>
      </c>
      <c r="T33" s="7" t="str">
        <f t="shared" si="23"/>
        <v/>
      </c>
      <c r="U33" s="8" t="str">
        <f t="shared" si="7"/>
        <v/>
      </c>
      <c r="V33" s="8" t="str">
        <f t="shared" si="7"/>
        <v/>
      </c>
      <c r="W33" s="7" t="str">
        <f t="shared" si="20"/>
        <v/>
      </c>
      <c r="X33" s="7" t="str">
        <f t="shared" si="20"/>
        <v/>
      </c>
      <c r="Y33" s="10" t="str">
        <f t="shared" si="3"/>
        <v/>
      </c>
      <c r="Z33" s="10" t="str">
        <f t="shared" si="8"/>
        <v/>
      </c>
      <c r="AA33" s="10" t="str">
        <f t="shared" si="9"/>
        <v/>
      </c>
      <c r="AB33" s="10" t="str">
        <f t="shared" si="10"/>
        <v/>
      </c>
      <c r="AC33" s="10" t="str">
        <f t="shared" si="11"/>
        <v/>
      </c>
      <c r="AD33" s="10" t="str">
        <f t="shared" si="12"/>
        <v/>
      </c>
      <c r="AE33" s="10" t="str">
        <f t="shared" si="21"/>
        <v/>
      </c>
      <c r="AF33" s="10" t="str">
        <f t="shared" si="21"/>
        <v/>
      </c>
      <c r="AG33" s="10" t="str">
        <f t="shared" si="13"/>
        <v/>
      </c>
      <c r="AH33" s="10" t="str">
        <f t="shared" si="22"/>
        <v/>
      </c>
      <c r="AI33" s="10" t="str">
        <f t="shared" si="22"/>
        <v/>
      </c>
      <c r="AJ33" s="10" t="str">
        <f t="shared" si="14"/>
        <v/>
      </c>
      <c r="AK33" s="10" t="str">
        <f t="shared" si="6"/>
        <v/>
      </c>
      <c r="AL33" s="10" t="str">
        <f t="shared" si="15"/>
        <v/>
      </c>
      <c r="AM33" s="10" t="str">
        <f t="shared" si="16"/>
        <v/>
      </c>
      <c r="AN33" s="10" t="str">
        <f t="shared" si="17"/>
        <v/>
      </c>
      <c r="AO33" s="10" t="str">
        <f t="shared" si="18"/>
        <v/>
      </c>
      <c r="AP33" s="10" t="str">
        <f t="shared" si="19"/>
        <v/>
      </c>
    </row>
    <row r="34" spans="7:42" x14ac:dyDescent="0.45">
      <c r="G34" s="1"/>
      <c r="H34" s="7" t="str">
        <f>IF(G34="","",SUMIFS(Add_Contributions[[#All],[Amount ($)]],Add_Contributions[[#All],[Year]],G34))</f>
        <v/>
      </c>
      <c r="I34" s="7" t="str">
        <f t="shared" si="23"/>
        <v/>
      </c>
      <c r="J34" s="7" t="str">
        <f t="shared" si="23"/>
        <v/>
      </c>
      <c r="K34" s="7" t="str">
        <f t="shared" si="23"/>
        <v/>
      </c>
      <c r="L34" s="7" t="str">
        <f t="shared" si="23"/>
        <v/>
      </c>
      <c r="M34" s="7" t="str">
        <f t="shared" si="23"/>
        <v/>
      </c>
      <c r="N34" s="7" t="str">
        <f t="shared" si="23"/>
        <v/>
      </c>
      <c r="O34" s="7" t="str">
        <f t="shared" si="23"/>
        <v/>
      </c>
      <c r="P34" s="7" t="str">
        <f t="shared" si="23"/>
        <v/>
      </c>
      <c r="Q34" s="7" t="str">
        <f t="shared" si="23"/>
        <v/>
      </c>
      <c r="R34" s="7" t="str">
        <f t="shared" si="23"/>
        <v/>
      </c>
      <c r="S34" s="7" t="str">
        <f t="shared" si="23"/>
        <v/>
      </c>
      <c r="T34" s="7" t="str">
        <f t="shared" si="23"/>
        <v/>
      </c>
      <c r="U34" s="8" t="str">
        <f t="shared" si="7"/>
        <v/>
      </c>
      <c r="V34" s="8" t="str">
        <f t="shared" si="7"/>
        <v/>
      </c>
      <c r="W34" s="7" t="str">
        <f t="shared" si="20"/>
        <v/>
      </c>
      <c r="X34" s="7" t="str">
        <f t="shared" si="20"/>
        <v/>
      </c>
      <c r="Y34" s="10" t="str">
        <f t="shared" si="3"/>
        <v/>
      </c>
      <c r="Z34" s="10" t="str">
        <f t="shared" si="8"/>
        <v/>
      </c>
      <c r="AA34" s="10" t="str">
        <f t="shared" si="9"/>
        <v/>
      </c>
      <c r="AB34" s="10" t="str">
        <f t="shared" si="10"/>
        <v/>
      </c>
      <c r="AC34" s="10" t="str">
        <f t="shared" si="11"/>
        <v/>
      </c>
      <c r="AD34" s="10" t="str">
        <f t="shared" si="12"/>
        <v/>
      </c>
      <c r="AE34" s="10" t="str">
        <f t="shared" si="21"/>
        <v/>
      </c>
      <c r="AF34" s="10" t="str">
        <f t="shared" si="21"/>
        <v/>
      </c>
      <c r="AG34" s="10" t="str">
        <f t="shared" si="13"/>
        <v/>
      </c>
      <c r="AH34" s="10" t="str">
        <f t="shared" si="22"/>
        <v/>
      </c>
      <c r="AI34" s="10" t="str">
        <f t="shared" si="22"/>
        <v/>
      </c>
      <c r="AJ34" s="10" t="str">
        <f t="shared" si="14"/>
        <v/>
      </c>
      <c r="AK34" s="10" t="str">
        <f t="shared" si="6"/>
        <v/>
      </c>
      <c r="AL34" s="10" t="str">
        <f t="shared" si="15"/>
        <v/>
      </c>
      <c r="AM34" s="10" t="str">
        <f t="shared" si="16"/>
        <v/>
      </c>
      <c r="AN34" s="10" t="str">
        <f t="shared" si="17"/>
        <v/>
      </c>
      <c r="AO34" s="10" t="str">
        <f t="shared" si="18"/>
        <v/>
      </c>
      <c r="AP34" s="10" t="str">
        <f t="shared" si="19"/>
        <v/>
      </c>
    </row>
    <row r="35" spans="7:42" x14ac:dyDescent="0.45">
      <c r="G35" s="1"/>
      <c r="H35" s="7" t="str">
        <f>IF(G35="","",SUMIFS(Add_Contributions[[#All],[Amount ($)]],Add_Contributions[[#All],[Year]],G35))</f>
        <v/>
      </c>
      <c r="I35" s="7" t="str">
        <f t="shared" si="23"/>
        <v/>
      </c>
      <c r="J35" s="7" t="str">
        <f t="shared" si="23"/>
        <v/>
      </c>
      <c r="K35" s="7" t="str">
        <f t="shared" si="23"/>
        <v/>
      </c>
      <c r="L35" s="7" t="str">
        <f t="shared" si="23"/>
        <v/>
      </c>
      <c r="M35" s="7" t="str">
        <f t="shared" si="23"/>
        <v/>
      </c>
      <c r="N35" s="7" t="str">
        <f t="shared" si="23"/>
        <v/>
      </c>
      <c r="O35" s="7" t="str">
        <f t="shared" si="23"/>
        <v/>
      </c>
      <c r="P35" s="7" t="str">
        <f t="shared" si="23"/>
        <v/>
      </c>
      <c r="Q35" s="7" t="str">
        <f t="shared" si="23"/>
        <v/>
      </c>
      <c r="R35" s="7" t="str">
        <f t="shared" si="23"/>
        <v/>
      </c>
      <c r="S35" s="7" t="str">
        <f t="shared" si="23"/>
        <v/>
      </c>
      <c r="T35" s="7" t="str">
        <f t="shared" si="23"/>
        <v/>
      </c>
      <c r="U35" s="8" t="str">
        <f t="shared" si="7"/>
        <v/>
      </c>
      <c r="V35" s="8" t="str">
        <f t="shared" si="7"/>
        <v/>
      </c>
      <c r="W35" s="7" t="str">
        <f t="shared" si="20"/>
        <v/>
      </c>
      <c r="X35" s="7" t="str">
        <f t="shared" si="20"/>
        <v/>
      </c>
      <c r="Y35" s="10" t="str">
        <f t="shared" si="3"/>
        <v/>
      </c>
      <c r="Z35" s="10" t="str">
        <f t="shared" si="8"/>
        <v/>
      </c>
      <c r="AA35" s="10" t="str">
        <f t="shared" si="9"/>
        <v/>
      </c>
      <c r="AB35" s="10" t="str">
        <f t="shared" si="10"/>
        <v/>
      </c>
      <c r="AC35" s="10" t="str">
        <f t="shared" si="11"/>
        <v/>
      </c>
      <c r="AD35" s="10" t="str">
        <f t="shared" si="12"/>
        <v/>
      </c>
      <c r="AE35" s="10" t="str">
        <f t="shared" si="21"/>
        <v/>
      </c>
      <c r="AF35" s="10" t="str">
        <f t="shared" si="21"/>
        <v/>
      </c>
      <c r="AG35" s="10" t="str">
        <f t="shared" si="13"/>
        <v/>
      </c>
      <c r="AH35" s="10" t="str">
        <f t="shared" si="22"/>
        <v/>
      </c>
      <c r="AI35" s="10" t="str">
        <f t="shared" si="22"/>
        <v/>
      </c>
      <c r="AJ35" s="10" t="str">
        <f t="shared" si="14"/>
        <v/>
      </c>
      <c r="AK35" s="10" t="str">
        <f t="shared" si="6"/>
        <v/>
      </c>
      <c r="AL35" s="10" t="str">
        <f t="shared" si="15"/>
        <v/>
      </c>
      <c r="AM35" s="10" t="str">
        <f t="shared" si="16"/>
        <v/>
      </c>
      <c r="AN35" s="10" t="str">
        <f t="shared" si="17"/>
        <v/>
      </c>
      <c r="AO35" s="10" t="str">
        <f t="shared" si="18"/>
        <v/>
      </c>
      <c r="AP35" s="10" t="str">
        <f t="shared" si="19"/>
        <v/>
      </c>
    </row>
    <row r="36" spans="7:42" x14ac:dyDescent="0.45">
      <c r="G36" s="1"/>
      <c r="H36" s="7" t="str">
        <f>IF(G36="","",SUMIFS(Add_Contributions[[#All],[Amount ($)]],Add_Contributions[[#All],[Year]],G36))</f>
        <v/>
      </c>
      <c r="I36" s="7" t="str">
        <f t="shared" si="23"/>
        <v/>
      </c>
      <c r="J36" s="7" t="str">
        <f t="shared" si="23"/>
        <v/>
      </c>
      <c r="K36" s="7" t="str">
        <f t="shared" si="23"/>
        <v/>
      </c>
      <c r="L36" s="7" t="str">
        <f t="shared" si="23"/>
        <v/>
      </c>
      <c r="M36" s="7" t="str">
        <f t="shared" si="23"/>
        <v/>
      </c>
      <c r="N36" s="7" t="str">
        <f t="shared" si="23"/>
        <v/>
      </c>
      <c r="O36" s="7" t="str">
        <f t="shared" si="23"/>
        <v/>
      </c>
      <c r="P36" s="7" t="str">
        <f t="shared" si="23"/>
        <v/>
      </c>
      <c r="Q36" s="7" t="str">
        <f t="shared" si="23"/>
        <v/>
      </c>
      <c r="R36" s="7" t="str">
        <f t="shared" si="23"/>
        <v/>
      </c>
      <c r="S36" s="7" t="str">
        <f t="shared" si="23"/>
        <v/>
      </c>
      <c r="T36" s="7" t="str">
        <f t="shared" si="23"/>
        <v/>
      </c>
      <c r="U36" s="8" t="str">
        <f t="shared" si="7"/>
        <v/>
      </c>
      <c r="V36" s="8" t="str">
        <f t="shared" si="7"/>
        <v/>
      </c>
      <c r="W36" s="7" t="str">
        <f t="shared" si="20"/>
        <v/>
      </c>
      <c r="X36" s="7" t="str">
        <f t="shared" si="20"/>
        <v/>
      </c>
      <c r="Y36" s="10" t="str">
        <f t="shared" si="3"/>
        <v/>
      </c>
      <c r="Z36" s="10" t="str">
        <f t="shared" si="8"/>
        <v/>
      </c>
      <c r="AA36" s="10" t="str">
        <f t="shared" si="9"/>
        <v/>
      </c>
      <c r="AB36" s="10" t="str">
        <f t="shared" si="10"/>
        <v/>
      </c>
      <c r="AC36" s="10" t="str">
        <f t="shared" si="11"/>
        <v/>
      </c>
      <c r="AD36" s="10" t="str">
        <f t="shared" si="12"/>
        <v/>
      </c>
      <c r="AE36" s="10" t="str">
        <f t="shared" si="21"/>
        <v/>
      </c>
      <c r="AF36" s="10" t="str">
        <f t="shared" si="21"/>
        <v/>
      </c>
      <c r="AG36" s="10" t="str">
        <f t="shared" si="13"/>
        <v/>
      </c>
      <c r="AH36" s="10" t="str">
        <f t="shared" si="22"/>
        <v/>
      </c>
      <c r="AI36" s="10" t="str">
        <f t="shared" si="22"/>
        <v/>
      </c>
      <c r="AJ36" s="10" t="str">
        <f t="shared" si="14"/>
        <v/>
      </c>
      <c r="AK36" s="10" t="str">
        <f t="shared" si="6"/>
        <v/>
      </c>
      <c r="AL36" s="10" t="str">
        <f t="shared" si="15"/>
        <v/>
      </c>
      <c r="AM36" s="10" t="str">
        <f t="shared" si="16"/>
        <v/>
      </c>
      <c r="AN36" s="10" t="str">
        <f t="shared" si="17"/>
        <v/>
      </c>
      <c r="AO36" s="10" t="str">
        <f t="shared" si="18"/>
        <v/>
      </c>
      <c r="AP36" s="10" t="str">
        <f t="shared" si="19"/>
        <v/>
      </c>
    </row>
    <row r="37" spans="7:42" x14ac:dyDescent="0.45">
      <c r="G37" s="1"/>
      <c r="H37" s="7" t="str">
        <f>IF(G37="","",SUMIFS(Add_Contributions[[#All],[Amount ($)]],Add_Contributions[[#All],[Year]],G37))</f>
        <v/>
      </c>
      <c r="I37" s="7" t="str">
        <f t="shared" si="23"/>
        <v/>
      </c>
      <c r="J37" s="7" t="str">
        <f t="shared" si="23"/>
        <v/>
      </c>
      <c r="K37" s="7" t="str">
        <f t="shared" si="23"/>
        <v/>
      </c>
      <c r="L37" s="7" t="str">
        <f t="shared" si="23"/>
        <v/>
      </c>
      <c r="M37" s="7" t="str">
        <f t="shared" si="23"/>
        <v/>
      </c>
      <c r="N37" s="7" t="str">
        <f t="shared" si="23"/>
        <v/>
      </c>
      <c r="O37" s="7" t="str">
        <f t="shared" si="23"/>
        <v/>
      </c>
      <c r="P37" s="7" t="str">
        <f t="shared" si="23"/>
        <v/>
      </c>
      <c r="Q37" s="7" t="str">
        <f t="shared" si="23"/>
        <v/>
      </c>
      <c r="R37" s="7" t="str">
        <f t="shared" si="23"/>
        <v/>
      </c>
      <c r="S37" s="7" t="str">
        <f t="shared" si="23"/>
        <v/>
      </c>
      <c r="T37" s="7" t="str">
        <f t="shared" si="23"/>
        <v/>
      </c>
      <c r="U37" s="8" t="str">
        <f t="shared" si="7"/>
        <v/>
      </c>
      <c r="V37" s="8" t="str">
        <f t="shared" si="7"/>
        <v/>
      </c>
      <c r="W37" s="7" t="str">
        <f t="shared" si="20"/>
        <v/>
      </c>
      <c r="X37" s="7" t="str">
        <f t="shared" si="20"/>
        <v/>
      </c>
      <c r="Y37" s="10" t="str">
        <f t="shared" si="3"/>
        <v/>
      </c>
      <c r="Z37" s="10" t="str">
        <f t="shared" si="8"/>
        <v/>
      </c>
      <c r="AA37" s="10" t="str">
        <f t="shared" si="9"/>
        <v/>
      </c>
      <c r="AB37" s="10" t="str">
        <f t="shared" si="10"/>
        <v/>
      </c>
      <c r="AC37" s="10" t="str">
        <f t="shared" si="11"/>
        <v/>
      </c>
      <c r="AD37" s="10" t="str">
        <f t="shared" si="12"/>
        <v/>
      </c>
      <c r="AE37" s="10" t="str">
        <f t="shared" si="21"/>
        <v/>
      </c>
      <c r="AF37" s="10" t="str">
        <f t="shared" si="21"/>
        <v/>
      </c>
      <c r="AG37" s="10" t="str">
        <f t="shared" si="13"/>
        <v/>
      </c>
      <c r="AH37" s="10" t="str">
        <f t="shared" si="22"/>
        <v/>
      </c>
      <c r="AI37" s="10" t="str">
        <f t="shared" si="22"/>
        <v/>
      </c>
      <c r="AJ37" s="10" t="str">
        <f t="shared" si="14"/>
        <v/>
      </c>
      <c r="AK37" s="10" t="str">
        <f t="shared" si="6"/>
        <v/>
      </c>
      <c r="AL37" s="10" t="str">
        <f t="shared" si="15"/>
        <v/>
      </c>
      <c r="AM37" s="10" t="str">
        <f t="shared" si="16"/>
        <v/>
      </c>
      <c r="AN37" s="10" t="str">
        <f t="shared" si="17"/>
        <v/>
      </c>
      <c r="AO37" s="10" t="str">
        <f t="shared" si="18"/>
        <v/>
      </c>
      <c r="AP37" s="10" t="str">
        <f t="shared" si="19"/>
        <v/>
      </c>
    </row>
    <row r="38" spans="7:42" x14ac:dyDescent="0.45">
      <c r="G38" s="1"/>
      <c r="H38" s="7" t="str">
        <f>IF(G38="","",SUMIFS(Add_Contributions[[#All],[Amount ($)]],Add_Contributions[[#All],[Year]],G38))</f>
        <v/>
      </c>
      <c r="I38" s="7" t="str">
        <f t="shared" si="23"/>
        <v/>
      </c>
      <c r="J38" s="7" t="str">
        <f t="shared" si="23"/>
        <v/>
      </c>
      <c r="K38" s="7" t="str">
        <f t="shared" si="23"/>
        <v/>
      </c>
      <c r="L38" s="7" t="str">
        <f t="shared" si="23"/>
        <v/>
      </c>
      <c r="M38" s="7" t="str">
        <f t="shared" si="23"/>
        <v/>
      </c>
      <c r="N38" s="7" t="str">
        <f t="shared" si="23"/>
        <v/>
      </c>
      <c r="O38" s="7" t="str">
        <f t="shared" si="23"/>
        <v/>
      </c>
      <c r="P38" s="7" t="str">
        <f t="shared" si="23"/>
        <v/>
      </c>
      <c r="Q38" s="7" t="str">
        <f t="shared" si="23"/>
        <v/>
      </c>
      <c r="R38" s="7" t="str">
        <f t="shared" si="23"/>
        <v/>
      </c>
      <c r="S38" s="7" t="str">
        <f t="shared" si="23"/>
        <v/>
      </c>
      <c r="T38" s="7" t="str">
        <f t="shared" si="23"/>
        <v/>
      </c>
      <c r="U38" s="8" t="str">
        <f t="shared" si="7"/>
        <v/>
      </c>
      <c r="V38" s="8" t="str">
        <f t="shared" si="7"/>
        <v/>
      </c>
      <c r="W38" s="7" t="str">
        <f t="shared" si="20"/>
        <v/>
      </c>
      <c r="X38" s="7" t="str">
        <f t="shared" si="20"/>
        <v/>
      </c>
      <c r="Y38" s="10" t="str">
        <f t="shared" si="3"/>
        <v/>
      </c>
      <c r="Z38" s="10" t="str">
        <f t="shared" si="8"/>
        <v/>
      </c>
      <c r="AA38" s="10" t="str">
        <f t="shared" si="9"/>
        <v/>
      </c>
      <c r="AB38" s="10" t="str">
        <f t="shared" si="10"/>
        <v/>
      </c>
      <c r="AC38" s="10" t="str">
        <f t="shared" si="11"/>
        <v/>
      </c>
      <c r="AD38" s="10" t="str">
        <f t="shared" si="12"/>
        <v/>
      </c>
      <c r="AE38" s="10" t="str">
        <f t="shared" si="21"/>
        <v/>
      </c>
      <c r="AF38" s="10" t="str">
        <f t="shared" si="21"/>
        <v/>
      </c>
      <c r="AG38" s="10" t="str">
        <f t="shared" si="13"/>
        <v/>
      </c>
      <c r="AH38" s="10" t="str">
        <f t="shared" si="22"/>
        <v/>
      </c>
      <c r="AI38" s="10" t="str">
        <f t="shared" si="22"/>
        <v/>
      </c>
      <c r="AJ38" s="10" t="str">
        <f t="shared" si="14"/>
        <v/>
      </c>
      <c r="AK38" s="10" t="str">
        <f t="shared" si="6"/>
        <v/>
      </c>
      <c r="AL38" s="10" t="str">
        <f t="shared" si="15"/>
        <v/>
      </c>
      <c r="AM38" s="10" t="str">
        <f t="shared" si="16"/>
        <v/>
      </c>
      <c r="AN38" s="10" t="str">
        <f t="shared" si="17"/>
        <v/>
      </c>
      <c r="AO38" s="10" t="str">
        <f t="shared" si="18"/>
        <v/>
      </c>
      <c r="AP38" s="10" t="str">
        <f t="shared" si="19"/>
        <v/>
      </c>
    </row>
    <row r="39" spans="7:42" x14ac:dyDescent="0.45">
      <c r="G39" s="1"/>
      <c r="H39" s="7" t="str">
        <f>IF(G39="","",SUMIFS(Add_Contributions[[#All],[Amount ($)]],Add_Contributions[[#All],[Year]],G39))</f>
        <v/>
      </c>
      <c r="I39" s="7" t="str">
        <f t="shared" si="23"/>
        <v/>
      </c>
      <c r="J39" s="7" t="str">
        <f t="shared" si="23"/>
        <v/>
      </c>
      <c r="K39" s="7" t="str">
        <f t="shared" si="23"/>
        <v/>
      </c>
      <c r="L39" s="7" t="str">
        <f t="shared" si="23"/>
        <v/>
      </c>
      <c r="M39" s="7" t="str">
        <f t="shared" si="23"/>
        <v/>
      </c>
      <c r="N39" s="7" t="str">
        <f t="shared" si="23"/>
        <v/>
      </c>
      <c r="O39" s="7" t="str">
        <f t="shared" si="23"/>
        <v/>
      </c>
      <c r="P39" s="7" t="str">
        <f t="shared" si="23"/>
        <v/>
      </c>
      <c r="Q39" s="7" t="str">
        <f t="shared" si="23"/>
        <v/>
      </c>
      <c r="R39" s="7" t="str">
        <f t="shared" si="23"/>
        <v/>
      </c>
      <c r="S39" s="7" t="str">
        <f t="shared" si="23"/>
        <v/>
      </c>
      <c r="T39" s="7" t="str">
        <f t="shared" si="23"/>
        <v/>
      </c>
      <c r="U39" s="8" t="str">
        <f t="shared" si="7"/>
        <v/>
      </c>
      <c r="V39" s="8" t="str">
        <f t="shared" si="7"/>
        <v/>
      </c>
      <c r="W39" s="7" t="str">
        <f t="shared" si="20"/>
        <v/>
      </c>
      <c r="X39" s="7" t="str">
        <f t="shared" si="20"/>
        <v/>
      </c>
      <c r="Y39" s="10" t="str">
        <f t="shared" si="3"/>
        <v/>
      </c>
      <c r="Z39" s="10" t="str">
        <f t="shared" si="8"/>
        <v/>
      </c>
      <c r="AA39" s="10" t="str">
        <f t="shared" si="9"/>
        <v/>
      </c>
      <c r="AB39" s="10" t="str">
        <f t="shared" si="10"/>
        <v/>
      </c>
      <c r="AC39" s="10" t="str">
        <f t="shared" si="11"/>
        <v/>
      </c>
      <c r="AD39" s="10" t="str">
        <f t="shared" si="12"/>
        <v/>
      </c>
      <c r="AE39" s="10" t="str">
        <f t="shared" si="21"/>
        <v/>
      </c>
      <c r="AF39" s="10" t="str">
        <f t="shared" si="21"/>
        <v/>
      </c>
      <c r="AG39" s="10" t="str">
        <f t="shared" si="13"/>
        <v/>
      </c>
      <c r="AH39" s="10" t="str">
        <f t="shared" si="22"/>
        <v/>
      </c>
      <c r="AI39" s="10" t="str">
        <f t="shared" si="22"/>
        <v/>
      </c>
      <c r="AJ39" s="10" t="str">
        <f t="shared" si="14"/>
        <v/>
      </c>
      <c r="AK39" s="10" t="str">
        <f t="shared" si="6"/>
        <v/>
      </c>
      <c r="AL39" s="10" t="str">
        <f t="shared" si="15"/>
        <v/>
      </c>
      <c r="AM39" s="10" t="str">
        <f t="shared" si="16"/>
        <v/>
      </c>
      <c r="AN39" s="10" t="str">
        <f t="shared" si="17"/>
        <v/>
      </c>
      <c r="AO39" s="10" t="str">
        <f t="shared" si="18"/>
        <v/>
      </c>
      <c r="AP39" s="10" t="str">
        <f t="shared" si="19"/>
        <v/>
      </c>
    </row>
    <row r="40" spans="7:42" x14ac:dyDescent="0.45">
      <c r="G40" s="1"/>
      <c r="H40" s="7" t="str">
        <f>IF(G40="","",SUMIFS(Add_Contributions[[#All],[Amount ($)]],Add_Contributions[[#All],[Year]],G40))</f>
        <v/>
      </c>
      <c r="I40" s="7" t="str">
        <f t="shared" si="23"/>
        <v/>
      </c>
      <c r="J40" s="7" t="str">
        <f t="shared" si="23"/>
        <v/>
      </c>
      <c r="K40" s="7" t="str">
        <f t="shared" si="23"/>
        <v/>
      </c>
      <c r="L40" s="7" t="str">
        <f t="shared" si="23"/>
        <v/>
      </c>
      <c r="M40" s="7" t="str">
        <f t="shared" si="23"/>
        <v/>
      </c>
      <c r="N40" s="7" t="str">
        <f t="shared" si="23"/>
        <v/>
      </c>
      <c r="O40" s="7" t="str">
        <f t="shared" si="23"/>
        <v/>
      </c>
      <c r="P40" s="7" t="str">
        <f t="shared" si="23"/>
        <v/>
      </c>
      <c r="Q40" s="7" t="str">
        <f t="shared" si="23"/>
        <v/>
      </c>
      <c r="R40" s="7" t="str">
        <f t="shared" si="23"/>
        <v/>
      </c>
      <c r="S40" s="7" t="str">
        <f t="shared" si="23"/>
        <v/>
      </c>
      <c r="T40" s="7" t="str">
        <f t="shared" si="23"/>
        <v/>
      </c>
      <c r="U40" s="8" t="str">
        <f t="shared" si="7"/>
        <v/>
      </c>
      <c r="V40" s="8" t="str">
        <f t="shared" si="7"/>
        <v/>
      </c>
      <c r="W40" s="7" t="str">
        <f t="shared" si="20"/>
        <v/>
      </c>
      <c r="X40" s="7" t="str">
        <f t="shared" si="20"/>
        <v/>
      </c>
      <c r="Y40" s="10" t="str">
        <f t="shared" si="3"/>
        <v/>
      </c>
      <c r="Z40" s="10" t="str">
        <f t="shared" si="8"/>
        <v/>
      </c>
      <c r="AA40" s="10" t="str">
        <f t="shared" si="9"/>
        <v/>
      </c>
      <c r="AB40" s="10" t="str">
        <f t="shared" si="10"/>
        <v/>
      </c>
      <c r="AC40" s="10" t="str">
        <f t="shared" si="11"/>
        <v/>
      </c>
      <c r="AD40" s="10" t="str">
        <f t="shared" si="12"/>
        <v/>
      </c>
      <c r="AE40" s="10" t="str">
        <f t="shared" si="21"/>
        <v/>
      </c>
      <c r="AF40" s="10" t="str">
        <f t="shared" si="21"/>
        <v/>
      </c>
      <c r="AG40" s="10" t="str">
        <f t="shared" si="13"/>
        <v/>
      </c>
      <c r="AH40" s="10" t="str">
        <f t="shared" si="22"/>
        <v/>
      </c>
      <c r="AI40" s="10" t="str">
        <f t="shared" si="22"/>
        <v/>
      </c>
      <c r="AJ40" s="10" t="str">
        <f t="shared" si="14"/>
        <v/>
      </c>
      <c r="AK40" s="10" t="str">
        <f t="shared" si="6"/>
        <v/>
      </c>
      <c r="AL40" s="10" t="str">
        <f t="shared" si="15"/>
        <v/>
      </c>
      <c r="AM40" s="10" t="str">
        <f t="shared" si="16"/>
        <v/>
      </c>
      <c r="AN40" s="10" t="str">
        <f t="shared" si="17"/>
        <v/>
      </c>
      <c r="AO40" s="10" t="str">
        <f t="shared" si="18"/>
        <v/>
      </c>
      <c r="AP40" s="10" t="str">
        <f t="shared" si="19"/>
        <v/>
      </c>
    </row>
    <row r="41" spans="7:42" x14ac:dyDescent="0.45">
      <c r="G41" s="1"/>
      <c r="H41" s="7" t="str">
        <f>IF(G41="","",SUMIFS(Add_Contributions[[#All],[Amount ($)]],Add_Contributions[[#All],[Year]],G41))</f>
        <v/>
      </c>
      <c r="I41" s="7" t="str">
        <f t="shared" si="23"/>
        <v/>
      </c>
      <c r="J41" s="7" t="str">
        <f t="shared" si="23"/>
        <v/>
      </c>
      <c r="K41" s="7" t="str">
        <f t="shared" si="23"/>
        <v/>
      </c>
      <c r="L41" s="7" t="str">
        <f t="shared" si="23"/>
        <v/>
      </c>
      <c r="M41" s="7" t="str">
        <f t="shared" si="23"/>
        <v/>
      </c>
      <c r="N41" s="7" t="str">
        <f t="shared" si="23"/>
        <v/>
      </c>
      <c r="O41" s="7" t="str">
        <f t="shared" si="23"/>
        <v/>
      </c>
      <c r="P41" s="7" t="str">
        <f t="shared" si="23"/>
        <v/>
      </c>
      <c r="Q41" s="7" t="str">
        <f t="shared" si="23"/>
        <v/>
      </c>
      <c r="R41" s="7" t="str">
        <f t="shared" si="23"/>
        <v/>
      </c>
      <c r="S41" s="7" t="str">
        <f t="shared" si="23"/>
        <v/>
      </c>
      <c r="T41" s="7" t="str">
        <f t="shared" si="23"/>
        <v/>
      </c>
      <c r="U41" s="8" t="str">
        <f t="shared" si="7"/>
        <v/>
      </c>
      <c r="V41" s="8" t="str">
        <f t="shared" si="7"/>
        <v/>
      </c>
      <c r="W41" s="7" t="str">
        <f t="shared" si="20"/>
        <v/>
      </c>
      <c r="X41" s="7" t="str">
        <f t="shared" si="20"/>
        <v/>
      </c>
      <c r="Y41" s="10" t="str">
        <f t="shared" si="3"/>
        <v/>
      </c>
      <c r="Z41" s="10" t="str">
        <f t="shared" si="8"/>
        <v/>
      </c>
      <c r="AA41" s="10" t="str">
        <f t="shared" si="9"/>
        <v/>
      </c>
      <c r="AB41" s="10" t="str">
        <f t="shared" si="10"/>
        <v/>
      </c>
      <c r="AC41" s="10" t="str">
        <f t="shared" si="11"/>
        <v/>
      </c>
      <c r="AD41" s="10" t="str">
        <f t="shared" si="12"/>
        <v/>
      </c>
      <c r="AE41" s="10" t="str">
        <f t="shared" si="21"/>
        <v/>
      </c>
      <c r="AF41" s="10" t="str">
        <f t="shared" si="21"/>
        <v/>
      </c>
      <c r="AG41" s="10" t="str">
        <f t="shared" si="13"/>
        <v/>
      </c>
      <c r="AH41" s="10" t="str">
        <f t="shared" si="22"/>
        <v/>
      </c>
      <c r="AI41" s="10" t="str">
        <f t="shared" si="22"/>
        <v/>
      </c>
      <c r="AJ41" s="10" t="str">
        <f t="shared" si="14"/>
        <v/>
      </c>
      <c r="AK41" s="10" t="str">
        <f t="shared" si="6"/>
        <v/>
      </c>
      <c r="AL41" s="10" t="str">
        <f t="shared" si="15"/>
        <v/>
      </c>
      <c r="AM41" s="10" t="str">
        <f t="shared" si="16"/>
        <v/>
      </c>
      <c r="AN41" s="10" t="str">
        <f t="shared" si="17"/>
        <v/>
      </c>
      <c r="AO41" s="10" t="str">
        <f t="shared" si="18"/>
        <v/>
      </c>
      <c r="AP41" s="10" t="str">
        <f t="shared" si="19"/>
        <v/>
      </c>
    </row>
    <row r="42" spans="7:42" x14ac:dyDescent="0.45">
      <c r="G42" s="1"/>
      <c r="H42" s="7" t="str">
        <f>IF(G42="","",SUMIFS(Add_Contributions[[#All],[Amount ($)]],Add_Contributions[[#All],[Year]],G42))</f>
        <v/>
      </c>
      <c r="I42" s="7" t="str">
        <f t="shared" si="23"/>
        <v/>
      </c>
      <c r="J42" s="7" t="str">
        <f t="shared" si="23"/>
        <v/>
      </c>
      <c r="K42" s="7" t="str">
        <f t="shared" si="23"/>
        <v/>
      </c>
      <c r="L42" s="7" t="str">
        <f t="shared" si="23"/>
        <v/>
      </c>
      <c r="M42" s="7" t="str">
        <f t="shared" si="23"/>
        <v/>
      </c>
      <c r="N42" s="7" t="str">
        <f t="shared" si="23"/>
        <v/>
      </c>
      <c r="O42" s="7" t="str">
        <f t="shared" si="23"/>
        <v/>
      </c>
      <c r="P42" s="7" t="str">
        <f t="shared" si="23"/>
        <v/>
      </c>
      <c r="Q42" s="7" t="str">
        <f t="shared" si="23"/>
        <v/>
      </c>
      <c r="R42" s="7" t="str">
        <f t="shared" si="23"/>
        <v/>
      </c>
      <c r="S42" s="7" t="str">
        <f t="shared" si="23"/>
        <v/>
      </c>
      <c r="T42" s="7" t="str">
        <f t="shared" si="23"/>
        <v/>
      </c>
      <c r="U42" s="8" t="str">
        <f t="shared" si="7"/>
        <v/>
      </c>
      <c r="V42" s="8" t="str">
        <f t="shared" si="7"/>
        <v/>
      </c>
      <c r="W42" s="7" t="str">
        <f t="shared" ref="W42:X57" si="24">IF($G42="","",IF($G42=1,(($C$2+$H42)*W$3)*(1+(W$4-W$5)),((W41+($H42*W$3))*(1+(W$4-W$5)))))</f>
        <v/>
      </c>
      <c r="X42" s="7" t="str">
        <f t="shared" si="24"/>
        <v/>
      </c>
      <c r="Y42" s="10" t="str">
        <f t="shared" si="3"/>
        <v/>
      </c>
      <c r="Z42" s="10" t="str">
        <f t="shared" si="8"/>
        <v/>
      </c>
      <c r="AA42" s="10" t="str">
        <f t="shared" si="9"/>
        <v/>
      </c>
      <c r="AB42" s="10" t="str">
        <f t="shared" si="10"/>
        <v/>
      </c>
      <c r="AC42" s="10" t="str">
        <f t="shared" si="11"/>
        <v/>
      </c>
      <c r="AD42" s="10" t="str">
        <f t="shared" si="12"/>
        <v/>
      </c>
      <c r="AE42" s="10" t="str">
        <f t="shared" ref="AE42:AF57" si="25">IF($G42="","",IF($G42=1,Y42,(1+Y42)*(1+AE41)-1))</f>
        <v/>
      </c>
      <c r="AF42" s="10" t="str">
        <f t="shared" si="25"/>
        <v/>
      </c>
      <c r="AG42" s="10" t="str">
        <f t="shared" si="13"/>
        <v/>
      </c>
      <c r="AH42" s="10" t="str">
        <f t="shared" ref="AH42:AI57" si="26">IF($G42="","",IF($G42=1,AB42,(1+AB42)*(1+AH41)-1))</f>
        <v/>
      </c>
      <c r="AI42" s="10" t="str">
        <f t="shared" si="26"/>
        <v/>
      </c>
      <c r="AJ42" s="10" t="str">
        <f t="shared" si="14"/>
        <v/>
      </c>
      <c r="AK42" s="10" t="str">
        <f t="shared" si="6"/>
        <v/>
      </c>
      <c r="AL42" s="10" t="str">
        <f t="shared" si="15"/>
        <v/>
      </c>
      <c r="AM42" s="10" t="str">
        <f t="shared" si="16"/>
        <v/>
      </c>
      <c r="AN42" s="10" t="str">
        <f t="shared" si="17"/>
        <v/>
      </c>
      <c r="AO42" s="10" t="str">
        <f t="shared" si="18"/>
        <v/>
      </c>
      <c r="AP42" s="10" t="str">
        <f t="shared" si="19"/>
        <v/>
      </c>
    </row>
    <row r="43" spans="7:42" x14ac:dyDescent="0.45">
      <c r="G43" s="1"/>
      <c r="H43" s="7" t="str">
        <f>IF(G43="","",SUMIFS(Add_Contributions[[#All],[Amount ($)]],Add_Contributions[[#All],[Year]],G43))</f>
        <v/>
      </c>
      <c r="I43" s="7" t="str">
        <f t="shared" si="23"/>
        <v/>
      </c>
      <c r="J43" s="7" t="str">
        <f t="shared" si="23"/>
        <v/>
      </c>
      <c r="K43" s="7" t="str">
        <f t="shared" si="23"/>
        <v/>
      </c>
      <c r="L43" s="7" t="str">
        <f t="shared" si="23"/>
        <v/>
      </c>
      <c r="M43" s="7" t="str">
        <f t="shared" si="23"/>
        <v/>
      </c>
      <c r="N43" s="7" t="str">
        <f t="shared" si="23"/>
        <v/>
      </c>
      <c r="O43" s="7" t="str">
        <f t="shared" si="23"/>
        <v/>
      </c>
      <c r="P43" s="7" t="str">
        <f t="shared" si="23"/>
        <v/>
      </c>
      <c r="Q43" s="7" t="str">
        <f t="shared" si="23"/>
        <v/>
      </c>
      <c r="R43" s="7" t="str">
        <f t="shared" si="23"/>
        <v/>
      </c>
      <c r="S43" s="7" t="str">
        <f t="shared" si="23"/>
        <v/>
      </c>
      <c r="T43" s="7" t="str">
        <f t="shared" si="23"/>
        <v/>
      </c>
      <c r="U43" s="8" t="str">
        <f t="shared" si="7"/>
        <v/>
      </c>
      <c r="V43" s="8" t="str">
        <f t="shared" si="7"/>
        <v/>
      </c>
      <c r="W43" s="7" t="str">
        <f t="shared" si="24"/>
        <v/>
      </c>
      <c r="X43" s="7" t="str">
        <f t="shared" si="24"/>
        <v/>
      </c>
      <c r="Y43" s="10" t="str">
        <f t="shared" si="3"/>
        <v/>
      </c>
      <c r="Z43" s="10" t="str">
        <f t="shared" si="8"/>
        <v/>
      </c>
      <c r="AA43" s="10" t="str">
        <f t="shared" si="9"/>
        <v/>
      </c>
      <c r="AB43" s="10" t="str">
        <f t="shared" si="10"/>
        <v/>
      </c>
      <c r="AC43" s="10" t="str">
        <f t="shared" si="11"/>
        <v/>
      </c>
      <c r="AD43" s="10" t="str">
        <f t="shared" si="12"/>
        <v/>
      </c>
      <c r="AE43" s="10" t="str">
        <f t="shared" si="25"/>
        <v/>
      </c>
      <c r="AF43" s="10" t="str">
        <f t="shared" si="25"/>
        <v/>
      </c>
      <c r="AG43" s="10" t="str">
        <f t="shared" si="13"/>
        <v/>
      </c>
      <c r="AH43" s="10" t="str">
        <f t="shared" si="26"/>
        <v/>
      </c>
      <c r="AI43" s="10" t="str">
        <f t="shared" si="26"/>
        <v/>
      </c>
      <c r="AJ43" s="10" t="str">
        <f t="shared" si="14"/>
        <v/>
      </c>
      <c r="AK43" s="10" t="str">
        <f t="shared" si="6"/>
        <v/>
      </c>
      <c r="AL43" s="10" t="str">
        <f t="shared" si="15"/>
        <v/>
      </c>
      <c r="AM43" s="10" t="str">
        <f t="shared" si="16"/>
        <v/>
      </c>
      <c r="AN43" s="10" t="str">
        <f t="shared" si="17"/>
        <v/>
      </c>
      <c r="AO43" s="10" t="str">
        <f t="shared" si="18"/>
        <v/>
      </c>
      <c r="AP43" s="10" t="str">
        <f t="shared" si="19"/>
        <v/>
      </c>
    </row>
    <row r="44" spans="7:42" x14ac:dyDescent="0.45">
      <c r="G44" s="1"/>
      <c r="H44" s="7" t="str">
        <f>IF(G44="","",SUMIFS(Add_Contributions[[#All],[Amount ($)]],Add_Contributions[[#All],[Year]],G44))</f>
        <v/>
      </c>
      <c r="I44" s="7" t="str">
        <f t="shared" si="23"/>
        <v/>
      </c>
      <c r="J44" s="7" t="str">
        <f t="shared" si="23"/>
        <v/>
      </c>
      <c r="K44" s="7" t="str">
        <f t="shared" si="23"/>
        <v/>
      </c>
      <c r="L44" s="7" t="str">
        <f t="shared" si="23"/>
        <v/>
      </c>
      <c r="M44" s="7" t="str">
        <f t="shared" si="23"/>
        <v/>
      </c>
      <c r="N44" s="7" t="str">
        <f t="shared" si="23"/>
        <v/>
      </c>
      <c r="O44" s="7" t="str">
        <f t="shared" si="23"/>
        <v/>
      </c>
      <c r="P44" s="7" t="str">
        <f t="shared" si="23"/>
        <v/>
      </c>
      <c r="Q44" s="7" t="str">
        <f t="shared" si="23"/>
        <v/>
      </c>
      <c r="R44" s="7" t="str">
        <f t="shared" si="23"/>
        <v/>
      </c>
      <c r="S44" s="7" t="str">
        <f t="shared" si="23"/>
        <v/>
      </c>
      <c r="T44" s="7" t="str">
        <f t="shared" si="23"/>
        <v/>
      </c>
      <c r="U44" s="8" t="str">
        <f t="shared" si="7"/>
        <v/>
      </c>
      <c r="V44" s="8" t="str">
        <f t="shared" si="7"/>
        <v/>
      </c>
      <c r="W44" s="7" t="str">
        <f t="shared" si="24"/>
        <v/>
      </c>
      <c r="X44" s="7" t="str">
        <f t="shared" si="24"/>
        <v/>
      </c>
      <c r="Y44" s="10" t="str">
        <f t="shared" si="3"/>
        <v/>
      </c>
      <c r="Z44" s="10" t="str">
        <f t="shared" si="8"/>
        <v/>
      </c>
      <c r="AA44" s="10" t="str">
        <f t="shared" si="9"/>
        <v/>
      </c>
      <c r="AB44" s="10" t="str">
        <f t="shared" si="10"/>
        <v/>
      </c>
      <c r="AC44" s="10" t="str">
        <f t="shared" si="11"/>
        <v/>
      </c>
      <c r="AD44" s="10" t="str">
        <f t="shared" si="12"/>
        <v/>
      </c>
      <c r="AE44" s="10" t="str">
        <f t="shared" si="25"/>
        <v/>
      </c>
      <c r="AF44" s="10" t="str">
        <f t="shared" si="25"/>
        <v/>
      </c>
      <c r="AG44" s="10" t="str">
        <f t="shared" si="13"/>
        <v/>
      </c>
      <c r="AH44" s="10" t="str">
        <f t="shared" si="26"/>
        <v/>
      </c>
      <c r="AI44" s="10" t="str">
        <f t="shared" si="26"/>
        <v/>
      </c>
      <c r="AJ44" s="10" t="str">
        <f t="shared" si="14"/>
        <v/>
      </c>
      <c r="AK44" s="10" t="str">
        <f t="shared" si="6"/>
        <v/>
      </c>
      <c r="AL44" s="10" t="str">
        <f t="shared" si="15"/>
        <v/>
      </c>
      <c r="AM44" s="10" t="str">
        <f t="shared" si="16"/>
        <v/>
      </c>
      <c r="AN44" s="10" t="str">
        <f t="shared" si="17"/>
        <v/>
      </c>
      <c r="AO44" s="10" t="str">
        <f t="shared" si="18"/>
        <v/>
      </c>
      <c r="AP44" s="10" t="str">
        <f t="shared" si="19"/>
        <v/>
      </c>
    </row>
    <row r="45" spans="7:42" x14ac:dyDescent="0.45">
      <c r="G45" s="1"/>
      <c r="H45" s="7" t="str">
        <f>IF(G45="","",SUMIFS(Add_Contributions[[#All],[Amount ($)]],Add_Contributions[[#All],[Year]],G45))</f>
        <v/>
      </c>
      <c r="I45" s="7" t="str">
        <f t="shared" si="23"/>
        <v/>
      </c>
      <c r="J45" s="7" t="str">
        <f t="shared" si="23"/>
        <v/>
      </c>
      <c r="K45" s="7" t="str">
        <f t="shared" si="23"/>
        <v/>
      </c>
      <c r="L45" s="7" t="str">
        <f t="shared" si="23"/>
        <v/>
      </c>
      <c r="M45" s="7" t="str">
        <f t="shared" si="23"/>
        <v/>
      </c>
      <c r="N45" s="7" t="str">
        <f t="shared" si="23"/>
        <v/>
      </c>
      <c r="O45" s="7" t="str">
        <f t="shared" si="23"/>
        <v/>
      </c>
      <c r="P45" s="7" t="str">
        <f t="shared" si="23"/>
        <v/>
      </c>
      <c r="Q45" s="7" t="str">
        <f t="shared" si="23"/>
        <v/>
      </c>
      <c r="R45" s="7" t="str">
        <f t="shared" si="23"/>
        <v/>
      </c>
      <c r="S45" s="7" t="str">
        <f t="shared" si="23"/>
        <v/>
      </c>
      <c r="T45" s="7" t="str">
        <f t="shared" si="23"/>
        <v/>
      </c>
      <c r="U45" s="8" t="str">
        <f t="shared" si="7"/>
        <v/>
      </c>
      <c r="V45" s="8" t="str">
        <f t="shared" si="7"/>
        <v/>
      </c>
      <c r="W45" s="7" t="str">
        <f t="shared" si="24"/>
        <v/>
      </c>
      <c r="X45" s="7" t="str">
        <f t="shared" si="24"/>
        <v/>
      </c>
      <c r="Y45" s="10" t="str">
        <f t="shared" si="3"/>
        <v/>
      </c>
      <c r="Z45" s="10" t="str">
        <f t="shared" si="8"/>
        <v/>
      </c>
      <c r="AA45" s="10" t="str">
        <f t="shared" si="9"/>
        <v/>
      </c>
      <c r="AB45" s="10" t="str">
        <f t="shared" si="10"/>
        <v/>
      </c>
      <c r="AC45" s="10" t="str">
        <f t="shared" si="11"/>
        <v/>
      </c>
      <c r="AD45" s="10" t="str">
        <f t="shared" si="12"/>
        <v/>
      </c>
      <c r="AE45" s="10" t="str">
        <f t="shared" si="25"/>
        <v/>
      </c>
      <c r="AF45" s="10" t="str">
        <f t="shared" si="25"/>
        <v/>
      </c>
      <c r="AG45" s="10" t="str">
        <f t="shared" si="13"/>
        <v/>
      </c>
      <c r="AH45" s="10" t="str">
        <f t="shared" si="26"/>
        <v/>
      </c>
      <c r="AI45" s="10" t="str">
        <f t="shared" si="26"/>
        <v/>
      </c>
      <c r="AJ45" s="10" t="str">
        <f t="shared" si="14"/>
        <v/>
      </c>
      <c r="AK45" s="10" t="str">
        <f t="shared" si="6"/>
        <v/>
      </c>
      <c r="AL45" s="10" t="str">
        <f t="shared" si="15"/>
        <v/>
      </c>
      <c r="AM45" s="10" t="str">
        <f t="shared" si="16"/>
        <v/>
      </c>
      <c r="AN45" s="10" t="str">
        <f t="shared" si="17"/>
        <v/>
      </c>
      <c r="AO45" s="10" t="str">
        <f t="shared" si="18"/>
        <v/>
      </c>
      <c r="AP45" s="10" t="str">
        <f t="shared" si="19"/>
        <v/>
      </c>
    </row>
    <row r="46" spans="7:42" x14ac:dyDescent="0.45">
      <c r="G46" s="1"/>
      <c r="H46" s="7" t="str">
        <f>IF(G46="","",SUMIFS(Add_Contributions[[#All],[Amount ($)]],Add_Contributions[[#All],[Year]],G46))</f>
        <v/>
      </c>
      <c r="I46" s="7" t="str">
        <f t="shared" si="23"/>
        <v/>
      </c>
      <c r="J46" s="7" t="str">
        <f t="shared" si="23"/>
        <v/>
      </c>
      <c r="K46" s="7" t="str">
        <f t="shared" si="23"/>
        <v/>
      </c>
      <c r="L46" s="7" t="str">
        <f t="shared" si="23"/>
        <v/>
      </c>
      <c r="M46" s="7" t="str">
        <f t="shared" si="23"/>
        <v/>
      </c>
      <c r="N46" s="7" t="str">
        <f t="shared" si="23"/>
        <v/>
      </c>
      <c r="O46" s="7" t="str">
        <f t="shared" si="23"/>
        <v/>
      </c>
      <c r="P46" s="7" t="str">
        <f t="shared" si="23"/>
        <v/>
      </c>
      <c r="Q46" s="7" t="str">
        <f t="shared" si="23"/>
        <v/>
      </c>
      <c r="R46" s="7" t="str">
        <f t="shared" si="23"/>
        <v/>
      </c>
      <c r="S46" s="7" t="str">
        <f t="shared" si="23"/>
        <v/>
      </c>
      <c r="T46" s="7" t="str">
        <f t="shared" si="23"/>
        <v/>
      </c>
      <c r="U46" s="8" t="str">
        <f t="shared" si="7"/>
        <v/>
      </c>
      <c r="V46" s="8" t="str">
        <f t="shared" si="7"/>
        <v/>
      </c>
      <c r="W46" s="7" t="str">
        <f t="shared" si="24"/>
        <v/>
      </c>
      <c r="X46" s="7" t="str">
        <f t="shared" si="24"/>
        <v/>
      </c>
      <c r="Y46" s="10" t="str">
        <f t="shared" si="3"/>
        <v/>
      </c>
      <c r="Z46" s="10" t="str">
        <f t="shared" si="8"/>
        <v/>
      </c>
      <c r="AA46" s="10" t="str">
        <f t="shared" si="9"/>
        <v/>
      </c>
      <c r="AB46" s="10" t="str">
        <f t="shared" si="10"/>
        <v/>
      </c>
      <c r="AC46" s="10" t="str">
        <f t="shared" si="11"/>
        <v/>
      </c>
      <c r="AD46" s="10" t="str">
        <f t="shared" si="12"/>
        <v/>
      </c>
      <c r="AE46" s="10" t="str">
        <f t="shared" si="25"/>
        <v/>
      </c>
      <c r="AF46" s="10" t="str">
        <f t="shared" si="25"/>
        <v/>
      </c>
      <c r="AG46" s="10" t="str">
        <f t="shared" si="13"/>
        <v/>
      </c>
      <c r="AH46" s="10" t="str">
        <f t="shared" si="26"/>
        <v/>
      </c>
      <c r="AI46" s="10" t="str">
        <f t="shared" si="26"/>
        <v/>
      </c>
      <c r="AJ46" s="10" t="str">
        <f t="shared" si="14"/>
        <v/>
      </c>
      <c r="AK46" s="10" t="str">
        <f t="shared" si="6"/>
        <v/>
      </c>
      <c r="AL46" s="10" t="str">
        <f t="shared" si="15"/>
        <v/>
      </c>
      <c r="AM46" s="10" t="str">
        <f t="shared" si="16"/>
        <v/>
      </c>
      <c r="AN46" s="10" t="str">
        <f t="shared" si="17"/>
        <v/>
      </c>
      <c r="AO46" s="10" t="str">
        <f t="shared" si="18"/>
        <v/>
      </c>
      <c r="AP46" s="10" t="str">
        <f t="shared" si="19"/>
        <v/>
      </c>
    </row>
    <row r="47" spans="7:42" x14ac:dyDescent="0.45">
      <c r="G47" s="1"/>
      <c r="H47" s="7" t="str">
        <f>IF(G47="","",SUMIFS(Add_Contributions[[#All],[Amount ($)]],Add_Contributions[[#All],[Year]],G47))</f>
        <v/>
      </c>
      <c r="I47" s="7" t="str">
        <f t="shared" si="23"/>
        <v/>
      </c>
      <c r="J47" s="7" t="str">
        <f t="shared" si="23"/>
        <v/>
      </c>
      <c r="K47" s="7" t="str">
        <f t="shared" si="23"/>
        <v/>
      </c>
      <c r="L47" s="7" t="str">
        <f t="shared" si="23"/>
        <v/>
      </c>
      <c r="M47" s="7" t="str">
        <f t="shared" si="23"/>
        <v/>
      </c>
      <c r="N47" s="7" t="str">
        <f t="shared" si="23"/>
        <v/>
      </c>
      <c r="O47" s="7" t="str">
        <f t="shared" si="23"/>
        <v/>
      </c>
      <c r="P47" s="7" t="str">
        <f t="shared" si="23"/>
        <v/>
      </c>
      <c r="Q47" s="7" t="str">
        <f t="shared" si="23"/>
        <v/>
      </c>
      <c r="R47" s="7" t="str">
        <f t="shared" si="23"/>
        <v/>
      </c>
      <c r="S47" s="7" t="str">
        <f t="shared" si="23"/>
        <v/>
      </c>
      <c r="T47" s="7" t="str">
        <f t="shared" si="23"/>
        <v/>
      </c>
      <c r="U47" s="8" t="str">
        <f t="shared" si="7"/>
        <v/>
      </c>
      <c r="V47" s="8" t="str">
        <f t="shared" si="7"/>
        <v/>
      </c>
      <c r="W47" s="7" t="str">
        <f t="shared" si="24"/>
        <v/>
      </c>
      <c r="X47" s="7" t="str">
        <f t="shared" si="24"/>
        <v/>
      </c>
      <c r="Y47" s="10" t="str">
        <f t="shared" si="3"/>
        <v/>
      </c>
      <c r="Z47" s="10" t="str">
        <f t="shared" si="8"/>
        <v/>
      </c>
      <c r="AA47" s="10" t="str">
        <f t="shared" si="9"/>
        <v/>
      </c>
      <c r="AB47" s="10" t="str">
        <f t="shared" si="10"/>
        <v/>
      </c>
      <c r="AC47" s="10" t="str">
        <f t="shared" si="11"/>
        <v/>
      </c>
      <c r="AD47" s="10" t="str">
        <f t="shared" si="12"/>
        <v/>
      </c>
      <c r="AE47" s="10" t="str">
        <f t="shared" si="25"/>
        <v/>
      </c>
      <c r="AF47" s="10" t="str">
        <f t="shared" si="25"/>
        <v/>
      </c>
      <c r="AG47" s="10" t="str">
        <f t="shared" si="13"/>
        <v/>
      </c>
      <c r="AH47" s="10" t="str">
        <f t="shared" si="26"/>
        <v/>
      </c>
      <c r="AI47" s="10" t="str">
        <f t="shared" si="26"/>
        <v/>
      </c>
      <c r="AJ47" s="10" t="str">
        <f t="shared" si="14"/>
        <v/>
      </c>
      <c r="AK47" s="10" t="str">
        <f t="shared" si="6"/>
        <v/>
      </c>
      <c r="AL47" s="10" t="str">
        <f t="shared" si="15"/>
        <v/>
      </c>
      <c r="AM47" s="10" t="str">
        <f t="shared" si="16"/>
        <v/>
      </c>
      <c r="AN47" s="10" t="str">
        <f t="shared" si="17"/>
        <v/>
      </c>
      <c r="AO47" s="10" t="str">
        <f t="shared" si="18"/>
        <v/>
      </c>
      <c r="AP47" s="10" t="str">
        <f t="shared" si="19"/>
        <v/>
      </c>
    </row>
    <row r="48" spans="7:42" x14ac:dyDescent="0.45">
      <c r="G48" s="1"/>
      <c r="H48" s="7" t="str">
        <f>IF(G48="","",SUMIFS(Add_Contributions[[#All],[Amount ($)]],Add_Contributions[[#All],[Year]],G48))</f>
        <v/>
      </c>
      <c r="I48" s="7" t="str">
        <f t="shared" si="23"/>
        <v/>
      </c>
      <c r="J48" s="7" t="str">
        <f t="shared" si="23"/>
        <v/>
      </c>
      <c r="K48" s="7" t="str">
        <f t="shared" si="23"/>
        <v/>
      </c>
      <c r="L48" s="7" t="str">
        <f t="shared" si="23"/>
        <v/>
      </c>
      <c r="M48" s="7" t="str">
        <f t="shared" si="23"/>
        <v/>
      </c>
      <c r="N48" s="7" t="str">
        <f t="shared" si="23"/>
        <v/>
      </c>
      <c r="O48" s="7" t="str">
        <f t="shared" si="23"/>
        <v/>
      </c>
      <c r="P48" s="7" t="str">
        <f t="shared" si="23"/>
        <v/>
      </c>
      <c r="Q48" s="7" t="str">
        <f t="shared" si="23"/>
        <v/>
      </c>
      <c r="R48" s="7" t="str">
        <f t="shared" si="23"/>
        <v/>
      </c>
      <c r="S48" s="7" t="str">
        <f t="shared" si="23"/>
        <v/>
      </c>
      <c r="T48" s="7" t="str">
        <f t="shared" si="23"/>
        <v/>
      </c>
      <c r="U48" s="8" t="str">
        <f t="shared" si="7"/>
        <v/>
      </c>
      <c r="V48" s="8" t="str">
        <f t="shared" si="7"/>
        <v/>
      </c>
      <c r="W48" s="7" t="str">
        <f t="shared" si="24"/>
        <v/>
      </c>
      <c r="X48" s="7" t="str">
        <f t="shared" si="24"/>
        <v/>
      </c>
      <c r="Y48" s="10" t="str">
        <f t="shared" si="3"/>
        <v/>
      </c>
      <c r="Z48" s="10" t="str">
        <f t="shared" si="8"/>
        <v/>
      </c>
      <c r="AA48" s="10" t="str">
        <f t="shared" si="9"/>
        <v/>
      </c>
      <c r="AB48" s="10" t="str">
        <f t="shared" si="10"/>
        <v/>
      </c>
      <c r="AC48" s="10" t="str">
        <f t="shared" si="11"/>
        <v/>
      </c>
      <c r="AD48" s="10" t="str">
        <f t="shared" si="12"/>
        <v/>
      </c>
      <c r="AE48" s="10" t="str">
        <f t="shared" si="25"/>
        <v/>
      </c>
      <c r="AF48" s="10" t="str">
        <f t="shared" si="25"/>
        <v/>
      </c>
      <c r="AG48" s="10" t="str">
        <f t="shared" si="13"/>
        <v/>
      </c>
      <c r="AH48" s="10" t="str">
        <f t="shared" si="26"/>
        <v/>
      </c>
      <c r="AI48" s="10" t="str">
        <f t="shared" si="26"/>
        <v/>
      </c>
      <c r="AJ48" s="10" t="str">
        <f t="shared" si="14"/>
        <v/>
      </c>
      <c r="AK48" s="10" t="str">
        <f t="shared" si="6"/>
        <v/>
      </c>
      <c r="AL48" s="10" t="str">
        <f t="shared" si="15"/>
        <v/>
      </c>
      <c r="AM48" s="10" t="str">
        <f t="shared" si="16"/>
        <v/>
      </c>
      <c r="AN48" s="10" t="str">
        <f t="shared" si="17"/>
        <v/>
      </c>
      <c r="AO48" s="10" t="str">
        <f t="shared" si="18"/>
        <v/>
      </c>
      <c r="AP48" s="10" t="str">
        <f t="shared" si="19"/>
        <v/>
      </c>
    </row>
    <row r="49" spans="7:42" x14ac:dyDescent="0.45">
      <c r="G49" s="1"/>
      <c r="H49" s="7" t="str">
        <f>IF(G49="","",SUMIFS(Add_Contributions[[#All],[Amount ($)]],Add_Contributions[[#All],[Year]],G49))</f>
        <v/>
      </c>
      <c r="I49" s="7" t="str">
        <f t="shared" si="23"/>
        <v/>
      </c>
      <c r="J49" s="7" t="str">
        <f t="shared" si="23"/>
        <v/>
      </c>
      <c r="K49" s="7" t="str">
        <f t="shared" si="23"/>
        <v/>
      </c>
      <c r="L49" s="7" t="str">
        <f t="shared" si="23"/>
        <v/>
      </c>
      <c r="M49" s="7" t="str">
        <f t="shared" si="23"/>
        <v/>
      </c>
      <c r="N49" s="7" t="str">
        <f t="shared" si="23"/>
        <v/>
      </c>
      <c r="O49" s="7" t="str">
        <f t="shared" si="23"/>
        <v/>
      </c>
      <c r="P49" s="7" t="str">
        <f t="shared" si="23"/>
        <v/>
      </c>
      <c r="Q49" s="7" t="str">
        <f t="shared" si="23"/>
        <v/>
      </c>
      <c r="R49" s="7" t="str">
        <f t="shared" si="23"/>
        <v/>
      </c>
      <c r="S49" s="7" t="str">
        <f t="shared" si="23"/>
        <v/>
      </c>
      <c r="T49" s="7" t="str">
        <f t="shared" si="23"/>
        <v/>
      </c>
      <c r="U49" s="8" t="str">
        <f t="shared" si="7"/>
        <v/>
      </c>
      <c r="V49" s="8" t="str">
        <f t="shared" si="7"/>
        <v/>
      </c>
      <c r="W49" s="7" t="str">
        <f t="shared" si="24"/>
        <v/>
      </c>
      <c r="X49" s="7" t="str">
        <f t="shared" si="24"/>
        <v/>
      </c>
      <c r="Y49" s="10" t="str">
        <f t="shared" si="3"/>
        <v/>
      </c>
      <c r="Z49" s="10" t="str">
        <f t="shared" si="8"/>
        <v/>
      </c>
      <c r="AA49" s="10" t="str">
        <f t="shared" si="9"/>
        <v/>
      </c>
      <c r="AB49" s="10" t="str">
        <f t="shared" si="10"/>
        <v/>
      </c>
      <c r="AC49" s="10" t="str">
        <f t="shared" si="11"/>
        <v/>
      </c>
      <c r="AD49" s="10" t="str">
        <f t="shared" si="12"/>
        <v/>
      </c>
      <c r="AE49" s="10" t="str">
        <f t="shared" si="25"/>
        <v/>
      </c>
      <c r="AF49" s="10" t="str">
        <f t="shared" si="25"/>
        <v/>
      </c>
      <c r="AG49" s="10" t="str">
        <f t="shared" si="13"/>
        <v/>
      </c>
      <c r="AH49" s="10" t="str">
        <f t="shared" si="26"/>
        <v/>
      </c>
      <c r="AI49" s="10" t="str">
        <f t="shared" si="26"/>
        <v/>
      </c>
      <c r="AJ49" s="10" t="str">
        <f t="shared" si="14"/>
        <v/>
      </c>
      <c r="AK49" s="10" t="str">
        <f t="shared" si="6"/>
        <v/>
      </c>
      <c r="AL49" s="10" t="str">
        <f t="shared" si="15"/>
        <v/>
      </c>
      <c r="AM49" s="10" t="str">
        <f t="shared" si="16"/>
        <v/>
      </c>
      <c r="AN49" s="10" t="str">
        <f t="shared" si="17"/>
        <v/>
      </c>
      <c r="AO49" s="10" t="str">
        <f t="shared" si="18"/>
        <v/>
      </c>
      <c r="AP49" s="10" t="str">
        <f t="shared" si="19"/>
        <v/>
      </c>
    </row>
    <row r="50" spans="7:42" x14ac:dyDescent="0.45">
      <c r="G50" s="1"/>
      <c r="H50" s="7" t="str">
        <f>IF(G50="","",SUMIFS(Add_Contributions[[#All],[Amount ($)]],Add_Contributions[[#All],[Year]],G50))</f>
        <v/>
      </c>
      <c r="I50" s="7" t="str">
        <f t="shared" si="23"/>
        <v/>
      </c>
      <c r="J50" s="7" t="str">
        <f t="shared" si="23"/>
        <v/>
      </c>
      <c r="K50" s="7" t="str">
        <f t="shared" si="23"/>
        <v/>
      </c>
      <c r="L50" s="7" t="str">
        <f t="shared" si="23"/>
        <v/>
      </c>
      <c r="M50" s="7" t="str">
        <f t="shared" si="23"/>
        <v/>
      </c>
      <c r="N50" s="7" t="str">
        <f t="shared" si="23"/>
        <v/>
      </c>
      <c r="O50" s="7" t="str">
        <f t="shared" si="23"/>
        <v/>
      </c>
      <c r="P50" s="7" t="str">
        <f t="shared" si="23"/>
        <v/>
      </c>
      <c r="Q50" s="7" t="str">
        <f t="shared" si="23"/>
        <v/>
      </c>
      <c r="R50" s="7" t="str">
        <f t="shared" si="23"/>
        <v/>
      </c>
      <c r="S50" s="7" t="str">
        <f t="shared" si="23"/>
        <v/>
      </c>
      <c r="T50" s="7" t="str">
        <f t="shared" si="23"/>
        <v/>
      </c>
      <c r="U50" s="8" t="str">
        <f t="shared" si="7"/>
        <v/>
      </c>
      <c r="V50" s="8" t="str">
        <f t="shared" si="7"/>
        <v/>
      </c>
      <c r="W50" s="7" t="str">
        <f t="shared" si="24"/>
        <v/>
      </c>
      <c r="X50" s="7" t="str">
        <f t="shared" si="24"/>
        <v/>
      </c>
      <c r="Y50" s="10" t="str">
        <f t="shared" si="3"/>
        <v/>
      </c>
      <c r="Z50" s="10" t="str">
        <f t="shared" si="8"/>
        <v/>
      </c>
      <c r="AA50" s="10" t="str">
        <f t="shared" si="9"/>
        <v/>
      </c>
      <c r="AB50" s="10" t="str">
        <f t="shared" si="10"/>
        <v/>
      </c>
      <c r="AC50" s="10" t="str">
        <f t="shared" si="11"/>
        <v/>
      </c>
      <c r="AD50" s="10" t="str">
        <f t="shared" si="12"/>
        <v/>
      </c>
      <c r="AE50" s="10" t="str">
        <f t="shared" si="25"/>
        <v/>
      </c>
      <c r="AF50" s="10" t="str">
        <f t="shared" si="25"/>
        <v/>
      </c>
      <c r="AG50" s="10" t="str">
        <f t="shared" si="13"/>
        <v/>
      </c>
      <c r="AH50" s="10" t="str">
        <f t="shared" si="26"/>
        <v/>
      </c>
      <c r="AI50" s="10" t="str">
        <f t="shared" si="26"/>
        <v/>
      </c>
      <c r="AJ50" s="10" t="str">
        <f t="shared" si="14"/>
        <v/>
      </c>
      <c r="AK50" s="10" t="str">
        <f t="shared" si="6"/>
        <v/>
      </c>
      <c r="AL50" s="10" t="str">
        <f t="shared" si="15"/>
        <v/>
      </c>
      <c r="AM50" s="10" t="str">
        <f t="shared" si="16"/>
        <v/>
      </c>
      <c r="AN50" s="10" t="str">
        <f t="shared" si="17"/>
        <v/>
      </c>
      <c r="AO50" s="10" t="str">
        <f t="shared" si="18"/>
        <v/>
      </c>
      <c r="AP50" s="10" t="str">
        <f t="shared" si="19"/>
        <v/>
      </c>
    </row>
    <row r="51" spans="7:42" x14ac:dyDescent="0.45">
      <c r="G51" s="1"/>
      <c r="H51" s="7" t="str">
        <f>IF(G51="","",SUMIFS(Add_Contributions[[#All],[Amount ($)]],Add_Contributions[[#All],[Year]],G51))</f>
        <v/>
      </c>
      <c r="I51" s="7" t="str">
        <f t="shared" si="23"/>
        <v/>
      </c>
      <c r="J51" s="7" t="str">
        <f t="shared" si="23"/>
        <v/>
      </c>
      <c r="K51" s="7" t="str">
        <f t="shared" si="23"/>
        <v/>
      </c>
      <c r="L51" s="7" t="str">
        <f t="shared" si="23"/>
        <v/>
      </c>
      <c r="M51" s="7" t="str">
        <f t="shared" si="23"/>
        <v/>
      </c>
      <c r="N51" s="7" t="str">
        <f t="shared" si="23"/>
        <v/>
      </c>
      <c r="O51" s="7" t="str">
        <f t="shared" si="23"/>
        <v/>
      </c>
      <c r="P51" s="7" t="str">
        <f t="shared" si="23"/>
        <v/>
      </c>
      <c r="Q51" s="7" t="str">
        <f t="shared" si="23"/>
        <v/>
      </c>
      <c r="R51" s="7" t="str">
        <f t="shared" si="23"/>
        <v/>
      </c>
      <c r="S51" s="7" t="str">
        <f t="shared" si="23"/>
        <v/>
      </c>
      <c r="T51" s="7" t="str">
        <f t="shared" si="23"/>
        <v/>
      </c>
      <c r="U51" s="8" t="str">
        <f t="shared" si="7"/>
        <v/>
      </c>
      <c r="V51" s="8" t="str">
        <f t="shared" si="7"/>
        <v/>
      </c>
      <c r="W51" s="7" t="str">
        <f t="shared" si="24"/>
        <v/>
      </c>
      <c r="X51" s="7" t="str">
        <f t="shared" si="24"/>
        <v/>
      </c>
      <c r="Y51" s="10" t="str">
        <f t="shared" si="3"/>
        <v/>
      </c>
      <c r="Z51" s="10" t="str">
        <f t="shared" si="8"/>
        <v/>
      </c>
      <c r="AA51" s="10" t="str">
        <f t="shared" si="9"/>
        <v/>
      </c>
      <c r="AB51" s="10" t="str">
        <f t="shared" si="10"/>
        <v/>
      </c>
      <c r="AC51" s="10" t="str">
        <f t="shared" si="11"/>
        <v/>
      </c>
      <c r="AD51" s="10" t="str">
        <f t="shared" si="12"/>
        <v/>
      </c>
      <c r="AE51" s="10" t="str">
        <f t="shared" si="25"/>
        <v/>
      </c>
      <c r="AF51" s="10" t="str">
        <f t="shared" si="25"/>
        <v/>
      </c>
      <c r="AG51" s="10" t="str">
        <f t="shared" si="13"/>
        <v/>
      </c>
      <c r="AH51" s="10" t="str">
        <f t="shared" si="26"/>
        <v/>
      </c>
      <c r="AI51" s="10" t="str">
        <f t="shared" si="26"/>
        <v/>
      </c>
      <c r="AJ51" s="10" t="str">
        <f t="shared" si="14"/>
        <v/>
      </c>
      <c r="AK51" s="10" t="str">
        <f t="shared" si="6"/>
        <v/>
      </c>
      <c r="AL51" s="10" t="str">
        <f t="shared" si="15"/>
        <v/>
      </c>
      <c r="AM51" s="10" t="str">
        <f t="shared" si="16"/>
        <v/>
      </c>
      <c r="AN51" s="10" t="str">
        <f t="shared" si="17"/>
        <v/>
      </c>
      <c r="AO51" s="10" t="str">
        <f t="shared" si="18"/>
        <v/>
      </c>
      <c r="AP51" s="10" t="str">
        <f t="shared" si="19"/>
        <v/>
      </c>
    </row>
    <row r="52" spans="7:42" x14ac:dyDescent="0.45">
      <c r="G52" s="1"/>
      <c r="H52" s="7" t="str">
        <f>IF(G52="","",SUMIFS(Add_Contributions[[#All],[Amount ($)]],Add_Contributions[[#All],[Year]],G52))</f>
        <v/>
      </c>
      <c r="I52" s="7" t="str">
        <f t="shared" si="23"/>
        <v/>
      </c>
      <c r="J52" s="7" t="str">
        <f t="shared" si="23"/>
        <v/>
      </c>
      <c r="K52" s="7" t="str">
        <f t="shared" si="23"/>
        <v/>
      </c>
      <c r="L52" s="7" t="str">
        <f t="shared" si="23"/>
        <v/>
      </c>
      <c r="M52" s="7" t="str">
        <f t="shared" si="23"/>
        <v/>
      </c>
      <c r="N52" s="7" t="str">
        <f t="shared" si="23"/>
        <v/>
      </c>
      <c r="O52" s="7" t="str">
        <f t="shared" ref="I52:T73" si="27">IF($G52="","",IF($G52=1,(($C$2+$H52)*O$3)*(1+(O$4-O$5)),((O51+($H52*O$3))*(1+(O$4-O$5)))))</f>
        <v/>
      </c>
      <c r="P52" s="7" t="str">
        <f t="shared" si="27"/>
        <v/>
      </c>
      <c r="Q52" s="7" t="str">
        <f t="shared" si="27"/>
        <v/>
      </c>
      <c r="R52" s="7" t="str">
        <f t="shared" si="27"/>
        <v/>
      </c>
      <c r="S52" s="7" t="str">
        <f t="shared" si="27"/>
        <v/>
      </c>
      <c r="T52" s="7" t="str">
        <f t="shared" si="27"/>
        <v/>
      </c>
      <c r="U52" s="8" t="str">
        <f t="shared" si="7"/>
        <v/>
      </c>
      <c r="V52" s="8" t="str">
        <f t="shared" si="7"/>
        <v/>
      </c>
      <c r="W52" s="7" t="str">
        <f t="shared" si="24"/>
        <v/>
      </c>
      <c r="X52" s="7" t="str">
        <f t="shared" si="24"/>
        <v/>
      </c>
      <c r="Y52" s="10" t="str">
        <f t="shared" si="3"/>
        <v/>
      </c>
      <c r="Z52" s="10" t="str">
        <f t="shared" si="8"/>
        <v/>
      </c>
      <c r="AA52" s="10" t="str">
        <f t="shared" si="9"/>
        <v/>
      </c>
      <c r="AB52" s="10" t="str">
        <f t="shared" si="10"/>
        <v/>
      </c>
      <c r="AC52" s="10" t="str">
        <f t="shared" si="11"/>
        <v/>
      </c>
      <c r="AD52" s="10" t="str">
        <f t="shared" si="12"/>
        <v/>
      </c>
      <c r="AE52" s="10" t="str">
        <f t="shared" si="25"/>
        <v/>
      </c>
      <c r="AF52" s="10" t="str">
        <f t="shared" si="25"/>
        <v/>
      </c>
      <c r="AG52" s="10" t="str">
        <f t="shared" si="13"/>
        <v/>
      </c>
      <c r="AH52" s="10" t="str">
        <f t="shared" si="26"/>
        <v/>
      </c>
      <c r="AI52" s="10" t="str">
        <f t="shared" si="26"/>
        <v/>
      </c>
      <c r="AJ52" s="10" t="str">
        <f t="shared" si="14"/>
        <v/>
      </c>
      <c r="AK52" s="10" t="str">
        <f t="shared" si="6"/>
        <v/>
      </c>
      <c r="AL52" s="10" t="str">
        <f t="shared" si="15"/>
        <v/>
      </c>
      <c r="AM52" s="10" t="str">
        <f t="shared" si="16"/>
        <v/>
      </c>
      <c r="AN52" s="10" t="str">
        <f t="shared" si="17"/>
        <v/>
      </c>
      <c r="AO52" s="10" t="str">
        <f t="shared" si="18"/>
        <v/>
      </c>
      <c r="AP52" s="10" t="str">
        <f t="shared" si="19"/>
        <v/>
      </c>
    </row>
    <row r="53" spans="7:42" x14ac:dyDescent="0.45">
      <c r="G53" s="1"/>
      <c r="H53" s="7" t="str">
        <f>IF(G53="","",SUMIFS(Add_Contributions[[#All],[Amount ($)]],Add_Contributions[[#All],[Year]],G53))</f>
        <v/>
      </c>
      <c r="I53" s="7" t="str">
        <f t="shared" si="27"/>
        <v/>
      </c>
      <c r="J53" s="7" t="str">
        <f t="shared" si="27"/>
        <v/>
      </c>
      <c r="K53" s="7" t="str">
        <f t="shared" si="27"/>
        <v/>
      </c>
      <c r="L53" s="7" t="str">
        <f t="shared" si="27"/>
        <v/>
      </c>
      <c r="M53" s="7" t="str">
        <f t="shared" si="27"/>
        <v/>
      </c>
      <c r="N53" s="7" t="str">
        <f t="shared" si="27"/>
        <v/>
      </c>
      <c r="O53" s="7" t="str">
        <f t="shared" si="27"/>
        <v/>
      </c>
      <c r="P53" s="7" t="str">
        <f t="shared" si="27"/>
        <v/>
      </c>
      <c r="Q53" s="7" t="str">
        <f t="shared" si="27"/>
        <v/>
      </c>
      <c r="R53" s="7" t="str">
        <f t="shared" si="27"/>
        <v/>
      </c>
      <c r="S53" s="7" t="str">
        <f t="shared" si="27"/>
        <v/>
      </c>
      <c r="T53" s="7" t="str">
        <f t="shared" si="27"/>
        <v/>
      </c>
      <c r="U53" s="8" t="str">
        <f t="shared" si="7"/>
        <v/>
      </c>
      <c r="V53" s="8" t="str">
        <f t="shared" si="7"/>
        <v/>
      </c>
      <c r="W53" s="7" t="str">
        <f t="shared" si="24"/>
        <v/>
      </c>
      <c r="X53" s="7" t="str">
        <f t="shared" si="24"/>
        <v/>
      </c>
      <c r="Y53" s="10" t="str">
        <f t="shared" si="3"/>
        <v/>
      </c>
      <c r="Z53" s="10" t="str">
        <f t="shared" si="8"/>
        <v/>
      </c>
      <c r="AA53" s="10" t="str">
        <f t="shared" si="9"/>
        <v/>
      </c>
      <c r="AB53" s="10" t="str">
        <f t="shared" si="10"/>
        <v/>
      </c>
      <c r="AC53" s="10" t="str">
        <f t="shared" si="11"/>
        <v/>
      </c>
      <c r="AD53" s="10" t="str">
        <f t="shared" si="12"/>
        <v/>
      </c>
      <c r="AE53" s="10" t="str">
        <f t="shared" si="25"/>
        <v/>
      </c>
      <c r="AF53" s="10" t="str">
        <f t="shared" si="25"/>
        <v/>
      </c>
      <c r="AG53" s="10" t="str">
        <f t="shared" si="13"/>
        <v/>
      </c>
      <c r="AH53" s="10" t="str">
        <f t="shared" si="26"/>
        <v/>
      </c>
      <c r="AI53" s="10" t="str">
        <f t="shared" si="26"/>
        <v/>
      </c>
      <c r="AJ53" s="10" t="str">
        <f t="shared" si="14"/>
        <v/>
      </c>
      <c r="AK53" s="10" t="str">
        <f t="shared" si="6"/>
        <v/>
      </c>
      <c r="AL53" s="10" t="str">
        <f t="shared" si="15"/>
        <v/>
      </c>
      <c r="AM53" s="10" t="str">
        <f t="shared" si="16"/>
        <v/>
      </c>
      <c r="AN53" s="10" t="str">
        <f t="shared" si="17"/>
        <v/>
      </c>
      <c r="AO53" s="10" t="str">
        <f t="shared" si="18"/>
        <v/>
      </c>
      <c r="AP53" s="10" t="str">
        <f t="shared" si="19"/>
        <v/>
      </c>
    </row>
    <row r="54" spans="7:42" x14ac:dyDescent="0.45">
      <c r="G54" s="1"/>
      <c r="H54" s="7" t="str">
        <f>IF(G54="","",SUMIFS(Add_Contributions[[#All],[Amount ($)]],Add_Contributions[[#All],[Year]],G54))</f>
        <v/>
      </c>
      <c r="I54" s="7" t="str">
        <f t="shared" si="27"/>
        <v/>
      </c>
      <c r="J54" s="7" t="str">
        <f t="shared" si="27"/>
        <v/>
      </c>
      <c r="K54" s="7" t="str">
        <f t="shared" si="27"/>
        <v/>
      </c>
      <c r="L54" s="7" t="str">
        <f t="shared" si="27"/>
        <v/>
      </c>
      <c r="M54" s="7" t="str">
        <f t="shared" si="27"/>
        <v/>
      </c>
      <c r="N54" s="7" t="str">
        <f t="shared" si="27"/>
        <v/>
      </c>
      <c r="O54" s="7" t="str">
        <f t="shared" si="27"/>
        <v/>
      </c>
      <c r="P54" s="7" t="str">
        <f t="shared" si="27"/>
        <v/>
      </c>
      <c r="Q54" s="7" t="str">
        <f t="shared" si="27"/>
        <v/>
      </c>
      <c r="R54" s="7" t="str">
        <f t="shared" si="27"/>
        <v/>
      </c>
      <c r="S54" s="7" t="str">
        <f t="shared" si="27"/>
        <v/>
      </c>
      <c r="T54" s="7" t="str">
        <f t="shared" si="27"/>
        <v/>
      </c>
      <c r="U54" s="8" t="str">
        <f t="shared" si="7"/>
        <v/>
      </c>
      <c r="V54" s="8" t="str">
        <f t="shared" si="7"/>
        <v/>
      </c>
      <c r="W54" s="7" t="str">
        <f t="shared" si="24"/>
        <v/>
      </c>
      <c r="X54" s="7" t="str">
        <f t="shared" si="24"/>
        <v/>
      </c>
      <c r="Y54" s="10" t="str">
        <f t="shared" si="3"/>
        <v/>
      </c>
      <c r="Z54" s="10" t="str">
        <f t="shared" si="8"/>
        <v/>
      </c>
      <c r="AA54" s="10" t="str">
        <f t="shared" si="9"/>
        <v/>
      </c>
      <c r="AB54" s="10" t="str">
        <f t="shared" si="10"/>
        <v/>
      </c>
      <c r="AC54" s="10" t="str">
        <f t="shared" si="11"/>
        <v/>
      </c>
      <c r="AD54" s="10" t="str">
        <f t="shared" si="12"/>
        <v/>
      </c>
      <c r="AE54" s="10" t="str">
        <f t="shared" si="25"/>
        <v/>
      </c>
      <c r="AF54" s="10" t="str">
        <f t="shared" si="25"/>
        <v/>
      </c>
      <c r="AG54" s="10" t="str">
        <f t="shared" si="13"/>
        <v/>
      </c>
      <c r="AH54" s="10" t="str">
        <f t="shared" si="26"/>
        <v/>
      </c>
      <c r="AI54" s="10" t="str">
        <f t="shared" si="26"/>
        <v/>
      </c>
      <c r="AJ54" s="10" t="str">
        <f t="shared" si="14"/>
        <v/>
      </c>
      <c r="AK54" s="10" t="str">
        <f t="shared" si="6"/>
        <v/>
      </c>
      <c r="AL54" s="10" t="str">
        <f t="shared" si="15"/>
        <v/>
      </c>
      <c r="AM54" s="10" t="str">
        <f t="shared" si="16"/>
        <v/>
      </c>
      <c r="AN54" s="10" t="str">
        <f t="shared" si="17"/>
        <v/>
      </c>
      <c r="AO54" s="10" t="str">
        <f t="shared" si="18"/>
        <v/>
      </c>
      <c r="AP54" s="10" t="str">
        <f t="shared" si="19"/>
        <v/>
      </c>
    </row>
    <row r="55" spans="7:42" x14ac:dyDescent="0.45">
      <c r="G55" s="1"/>
      <c r="H55" s="7" t="str">
        <f>IF(G55="","",SUMIFS(Add_Contributions[[#All],[Amount ($)]],Add_Contributions[[#All],[Year]],G55))</f>
        <v/>
      </c>
      <c r="I55" s="7" t="str">
        <f t="shared" si="27"/>
        <v/>
      </c>
      <c r="J55" s="7" t="str">
        <f t="shared" si="27"/>
        <v/>
      </c>
      <c r="K55" s="7" t="str">
        <f t="shared" si="27"/>
        <v/>
      </c>
      <c r="L55" s="7" t="str">
        <f t="shared" si="27"/>
        <v/>
      </c>
      <c r="M55" s="7" t="str">
        <f t="shared" si="27"/>
        <v/>
      </c>
      <c r="N55" s="7" t="str">
        <f t="shared" si="27"/>
        <v/>
      </c>
      <c r="O55" s="7" t="str">
        <f t="shared" si="27"/>
        <v/>
      </c>
      <c r="P55" s="7" t="str">
        <f t="shared" si="27"/>
        <v/>
      </c>
      <c r="Q55" s="7" t="str">
        <f t="shared" si="27"/>
        <v/>
      </c>
      <c r="R55" s="7" t="str">
        <f t="shared" si="27"/>
        <v/>
      </c>
      <c r="S55" s="7" t="str">
        <f t="shared" si="27"/>
        <v/>
      </c>
      <c r="T55" s="7" t="str">
        <f t="shared" si="27"/>
        <v/>
      </c>
      <c r="U55" s="8" t="str">
        <f t="shared" si="7"/>
        <v/>
      </c>
      <c r="V55" s="8" t="str">
        <f t="shared" si="7"/>
        <v/>
      </c>
      <c r="W55" s="7" t="str">
        <f t="shared" si="24"/>
        <v/>
      </c>
      <c r="X55" s="7" t="str">
        <f t="shared" si="24"/>
        <v/>
      </c>
      <c r="Y55" s="10" t="str">
        <f t="shared" si="3"/>
        <v/>
      </c>
      <c r="Z55" s="10" t="str">
        <f t="shared" si="8"/>
        <v/>
      </c>
      <c r="AA55" s="10" t="str">
        <f t="shared" si="9"/>
        <v/>
      </c>
      <c r="AB55" s="10" t="str">
        <f t="shared" si="10"/>
        <v/>
      </c>
      <c r="AC55" s="10" t="str">
        <f t="shared" si="11"/>
        <v/>
      </c>
      <c r="AD55" s="10" t="str">
        <f t="shared" si="12"/>
        <v/>
      </c>
      <c r="AE55" s="10" t="str">
        <f t="shared" si="25"/>
        <v/>
      </c>
      <c r="AF55" s="10" t="str">
        <f t="shared" si="25"/>
        <v/>
      </c>
      <c r="AG55" s="10" t="str">
        <f t="shared" si="13"/>
        <v/>
      </c>
      <c r="AH55" s="10" t="str">
        <f t="shared" si="26"/>
        <v/>
      </c>
      <c r="AI55" s="10" t="str">
        <f t="shared" si="26"/>
        <v/>
      </c>
      <c r="AJ55" s="10" t="str">
        <f t="shared" si="14"/>
        <v/>
      </c>
      <c r="AK55" s="10" t="str">
        <f t="shared" si="6"/>
        <v/>
      </c>
      <c r="AL55" s="10" t="str">
        <f t="shared" si="15"/>
        <v/>
      </c>
      <c r="AM55" s="10" t="str">
        <f t="shared" si="16"/>
        <v/>
      </c>
      <c r="AN55" s="10" t="str">
        <f t="shared" si="17"/>
        <v/>
      </c>
      <c r="AO55" s="10" t="str">
        <f t="shared" si="18"/>
        <v/>
      </c>
      <c r="AP55" s="10" t="str">
        <f t="shared" si="19"/>
        <v/>
      </c>
    </row>
    <row r="56" spans="7:42" x14ac:dyDescent="0.45">
      <c r="G56" s="1"/>
      <c r="H56" s="7" t="str">
        <f>IF(G56="","",SUMIFS(Add_Contributions[[#All],[Amount ($)]],Add_Contributions[[#All],[Year]],G56))</f>
        <v/>
      </c>
      <c r="I56" s="7" t="str">
        <f t="shared" si="27"/>
        <v/>
      </c>
      <c r="J56" s="7" t="str">
        <f t="shared" si="27"/>
        <v/>
      </c>
      <c r="K56" s="7" t="str">
        <f t="shared" si="27"/>
        <v/>
      </c>
      <c r="L56" s="7" t="str">
        <f t="shared" si="27"/>
        <v/>
      </c>
      <c r="M56" s="7" t="str">
        <f t="shared" si="27"/>
        <v/>
      </c>
      <c r="N56" s="7" t="str">
        <f t="shared" si="27"/>
        <v/>
      </c>
      <c r="O56" s="7" t="str">
        <f t="shared" si="27"/>
        <v/>
      </c>
      <c r="P56" s="7" t="str">
        <f t="shared" si="27"/>
        <v/>
      </c>
      <c r="Q56" s="7" t="str">
        <f t="shared" si="27"/>
        <v/>
      </c>
      <c r="R56" s="7" t="str">
        <f t="shared" si="27"/>
        <v/>
      </c>
      <c r="S56" s="7" t="str">
        <f t="shared" si="27"/>
        <v/>
      </c>
      <c r="T56" s="7" t="str">
        <f t="shared" si="27"/>
        <v/>
      </c>
      <c r="U56" s="8" t="str">
        <f t="shared" si="7"/>
        <v/>
      </c>
      <c r="V56" s="8" t="str">
        <f t="shared" si="7"/>
        <v/>
      </c>
      <c r="W56" s="7" t="str">
        <f t="shared" si="24"/>
        <v/>
      </c>
      <c r="X56" s="7" t="str">
        <f t="shared" si="24"/>
        <v/>
      </c>
      <c r="Y56" s="10" t="str">
        <f t="shared" si="3"/>
        <v/>
      </c>
      <c r="Z56" s="10" t="str">
        <f t="shared" si="8"/>
        <v/>
      </c>
      <c r="AA56" s="10" t="str">
        <f t="shared" si="9"/>
        <v/>
      </c>
      <c r="AB56" s="10" t="str">
        <f t="shared" si="10"/>
        <v/>
      </c>
      <c r="AC56" s="10" t="str">
        <f t="shared" si="11"/>
        <v/>
      </c>
      <c r="AD56" s="10" t="str">
        <f t="shared" si="12"/>
        <v/>
      </c>
      <c r="AE56" s="10" t="str">
        <f t="shared" si="25"/>
        <v/>
      </c>
      <c r="AF56" s="10" t="str">
        <f t="shared" si="25"/>
        <v/>
      </c>
      <c r="AG56" s="10" t="str">
        <f t="shared" si="13"/>
        <v/>
      </c>
      <c r="AH56" s="10" t="str">
        <f t="shared" si="26"/>
        <v/>
      </c>
      <c r="AI56" s="10" t="str">
        <f t="shared" si="26"/>
        <v/>
      </c>
      <c r="AJ56" s="10" t="str">
        <f t="shared" si="14"/>
        <v/>
      </c>
      <c r="AK56" s="10" t="str">
        <f t="shared" si="6"/>
        <v/>
      </c>
      <c r="AL56" s="10" t="str">
        <f t="shared" si="15"/>
        <v/>
      </c>
      <c r="AM56" s="10" t="str">
        <f t="shared" si="16"/>
        <v/>
      </c>
      <c r="AN56" s="10" t="str">
        <f t="shared" si="17"/>
        <v/>
      </c>
      <c r="AO56" s="10" t="str">
        <f t="shared" si="18"/>
        <v/>
      </c>
      <c r="AP56" s="10" t="str">
        <f t="shared" si="19"/>
        <v/>
      </c>
    </row>
    <row r="57" spans="7:42" x14ac:dyDescent="0.45">
      <c r="G57" s="1"/>
      <c r="H57" s="7" t="str">
        <f>IF(G57="","",SUMIFS(Add_Contributions[[#All],[Amount ($)]],Add_Contributions[[#All],[Year]],G57))</f>
        <v/>
      </c>
      <c r="I57" s="7" t="str">
        <f t="shared" si="27"/>
        <v/>
      </c>
      <c r="J57" s="7" t="str">
        <f t="shared" si="27"/>
        <v/>
      </c>
      <c r="K57" s="7" t="str">
        <f t="shared" si="27"/>
        <v/>
      </c>
      <c r="L57" s="7" t="str">
        <f t="shared" si="27"/>
        <v/>
      </c>
      <c r="M57" s="7" t="str">
        <f t="shared" si="27"/>
        <v/>
      </c>
      <c r="N57" s="7" t="str">
        <f t="shared" si="27"/>
        <v/>
      </c>
      <c r="O57" s="7" t="str">
        <f t="shared" si="27"/>
        <v/>
      </c>
      <c r="P57" s="7" t="str">
        <f t="shared" si="27"/>
        <v/>
      </c>
      <c r="Q57" s="7" t="str">
        <f t="shared" si="27"/>
        <v/>
      </c>
      <c r="R57" s="7" t="str">
        <f t="shared" si="27"/>
        <v/>
      </c>
      <c r="S57" s="7" t="str">
        <f t="shared" si="27"/>
        <v/>
      </c>
      <c r="T57" s="7" t="str">
        <f t="shared" si="27"/>
        <v/>
      </c>
      <c r="U57" s="8" t="str">
        <f t="shared" si="7"/>
        <v/>
      </c>
      <c r="V57" s="8" t="str">
        <f t="shared" si="7"/>
        <v/>
      </c>
      <c r="W57" s="7" t="str">
        <f t="shared" si="24"/>
        <v/>
      </c>
      <c r="X57" s="7" t="str">
        <f t="shared" si="24"/>
        <v/>
      </c>
      <c r="Y57" s="10" t="str">
        <f t="shared" si="3"/>
        <v/>
      </c>
      <c r="Z57" s="10" t="str">
        <f t="shared" si="8"/>
        <v/>
      </c>
      <c r="AA57" s="10" t="str">
        <f t="shared" si="9"/>
        <v/>
      </c>
      <c r="AB57" s="10" t="str">
        <f t="shared" si="10"/>
        <v/>
      </c>
      <c r="AC57" s="10" t="str">
        <f t="shared" si="11"/>
        <v/>
      </c>
      <c r="AD57" s="10" t="str">
        <f t="shared" si="12"/>
        <v/>
      </c>
      <c r="AE57" s="10" t="str">
        <f t="shared" si="25"/>
        <v/>
      </c>
      <c r="AF57" s="10" t="str">
        <f t="shared" si="25"/>
        <v/>
      </c>
      <c r="AG57" s="10" t="str">
        <f t="shared" si="13"/>
        <v/>
      </c>
      <c r="AH57" s="10" t="str">
        <f t="shared" si="26"/>
        <v/>
      </c>
      <c r="AI57" s="10" t="str">
        <f t="shared" si="26"/>
        <v/>
      </c>
      <c r="AJ57" s="10" t="str">
        <f t="shared" si="14"/>
        <v/>
      </c>
      <c r="AK57" s="10" t="str">
        <f t="shared" si="6"/>
        <v/>
      </c>
      <c r="AL57" s="10" t="str">
        <f t="shared" si="15"/>
        <v/>
      </c>
      <c r="AM57" s="10" t="str">
        <f t="shared" si="16"/>
        <v/>
      </c>
      <c r="AN57" s="10" t="str">
        <f t="shared" si="17"/>
        <v/>
      </c>
      <c r="AO57" s="10" t="str">
        <f t="shared" si="18"/>
        <v/>
      </c>
      <c r="AP57" s="10" t="str">
        <f t="shared" si="19"/>
        <v/>
      </c>
    </row>
    <row r="58" spans="7:42" x14ac:dyDescent="0.45">
      <c r="G58" s="1"/>
      <c r="H58" s="7" t="str">
        <f>IF(G58="","",SUMIFS(Add_Contributions[[#All],[Amount ($)]],Add_Contributions[[#All],[Year]],G58))</f>
        <v/>
      </c>
      <c r="I58" s="7" t="str">
        <f t="shared" si="27"/>
        <v/>
      </c>
      <c r="J58" s="7" t="str">
        <f t="shared" si="27"/>
        <v/>
      </c>
      <c r="K58" s="7" t="str">
        <f t="shared" si="27"/>
        <v/>
      </c>
      <c r="L58" s="7" t="str">
        <f t="shared" si="27"/>
        <v/>
      </c>
      <c r="M58" s="7" t="str">
        <f t="shared" si="27"/>
        <v/>
      </c>
      <c r="N58" s="7" t="str">
        <f t="shared" si="27"/>
        <v/>
      </c>
      <c r="O58" s="7" t="str">
        <f t="shared" si="27"/>
        <v/>
      </c>
      <c r="P58" s="7" t="str">
        <f t="shared" si="27"/>
        <v/>
      </c>
      <c r="Q58" s="7" t="str">
        <f t="shared" si="27"/>
        <v/>
      </c>
      <c r="R58" s="7" t="str">
        <f t="shared" si="27"/>
        <v/>
      </c>
      <c r="S58" s="7" t="str">
        <f t="shared" si="27"/>
        <v/>
      </c>
      <c r="T58" s="7" t="str">
        <f t="shared" si="27"/>
        <v/>
      </c>
      <c r="U58" s="8" t="str">
        <f t="shared" si="7"/>
        <v/>
      </c>
      <c r="V58" s="8" t="str">
        <f t="shared" si="7"/>
        <v/>
      </c>
      <c r="W58" s="7" t="str">
        <f t="shared" ref="W58:X73" si="28">IF($G58="","",IF($G58=1,(($C$2+$H58)*W$3)*(1+(W$4-W$5)),((W57+($H58*W$3))*(1+(W$4-W$5)))))</f>
        <v/>
      </c>
      <c r="X58" s="7" t="str">
        <f t="shared" si="28"/>
        <v/>
      </c>
      <c r="Y58" s="10" t="str">
        <f t="shared" si="3"/>
        <v/>
      </c>
      <c r="Z58" s="10" t="str">
        <f t="shared" si="8"/>
        <v/>
      </c>
      <c r="AA58" s="10" t="str">
        <f t="shared" si="9"/>
        <v/>
      </c>
      <c r="AB58" s="10" t="str">
        <f t="shared" si="10"/>
        <v/>
      </c>
      <c r="AC58" s="10" t="str">
        <f t="shared" si="11"/>
        <v/>
      </c>
      <c r="AD58" s="10" t="str">
        <f t="shared" si="12"/>
        <v/>
      </c>
      <c r="AE58" s="10" t="str">
        <f t="shared" ref="AE58:AF73" si="29">IF($G58="","",IF($G58=1,Y58,(1+Y58)*(1+AE57)-1))</f>
        <v/>
      </c>
      <c r="AF58" s="10" t="str">
        <f t="shared" si="29"/>
        <v/>
      </c>
      <c r="AG58" s="10" t="str">
        <f t="shared" si="13"/>
        <v/>
      </c>
      <c r="AH58" s="10" t="str">
        <f t="shared" ref="AH58:AI73" si="30">IF($G58="","",IF($G58=1,AB58,(1+AB58)*(1+AH57)-1))</f>
        <v/>
      </c>
      <c r="AI58" s="10" t="str">
        <f t="shared" si="30"/>
        <v/>
      </c>
      <c r="AJ58" s="10" t="str">
        <f t="shared" si="14"/>
        <v/>
      </c>
      <c r="AK58" s="10" t="str">
        <f t="shared" si="6"/>
        <v/>
      </c>
      <c r="AL58" s="10" t="str">
        <f t="shared" si="15"/>
        <v/>
      </c>
      <c r="AM58" s="10" t="str">
        <f t="shared" si="16"/>
        <v/>
      </c>
      <c r="AN58" s="10" t="str">
        <f t="shared" si="17"/>
        <v/>
      </c>
      <c r="AO58" s="10" t="str">
        <f t="shared" si="18"/>
        <v/>
      </c>
      <c r="AP58" s="10" t="str">
        <f t="shared" si="19"/>
        <v/>
      </c>
    </row>
    <row r="59" spans="7:42" x14ac:dyDescent="0.45">
      <c r="G59" s="1"/>
      <c r="H59" s="7" t="str">
        <f>IF(G59="","",SUMIFS(Add_Contributions[[#All],[Amount ($)]],Add_Contributions[[#All],[Year]],G59))</f>
        <v/>
      </c>
      <c r="I59" s="7" t="str">
        <f t="shared" si="27"/>
        <v/>
      </c>
      <c r="J59" s="7" t="str">
        <f t="shared" si="27"/>
        <v/>
      </c>
      <c r="K59" s="7" t="str">
        <f t="shared" si="27"/>
        <v/>
      </c>
      <c r="L59" s="7" t="str">
        <f t="shared" si="27"/>
        <v/>
      </c>
      <c r="M59" s="7" t="str">
        <f t="shared" si="27"/>
        <v/>
      </c>
      <c r="N59" s="7" t="str">
        <f t="shared" si="27"/>
        <v/>
      </c>
      <c r="O59" s="7" t="str">
        <f t="shared" si="27"/>
        <v/>
      </c>
      <c r="P59" s="7" t="str">
        <f t="shared" si="27"/>
        <v/>
      </c>
      <c r="Q59" s="7" t="str">
        <f t="shared" si="27"/>
        <v/>
      </c>
      <c r="R59" s="7" t="str">
        <f t="shared" si="27"/>
        <v/>
      </c>
      <c r="S59" s="7" t="str">
        <f t="shared" si="27"/>
        <v/>
      </c>
      <c r="T59" s="7" t="str">
        <f t="shared" si="27"/>
        <v/>
      </c>
      <c r="U59" s="8" t="str">
        <f t="shared" si="7"/>
        <v/>
      </c>
      <c r="V59" s="8" t="str">
        <f t="shared" si="7"/>
        <v/>
      </c>
      <c r="W59" s="7" t="str">
        <f t="shared" si="28"/>
        <v/>
      </c>
      <c r="X59" s="7" t="str">
        <f t="shared" si="28"/>
        <v/>
      </c>
      <c r="Y59" s="10" t="str">
        <f t="shared" si="3"/>
        <v/>
      </c>
      <c r="Z59" s="10" t="str">
        <f t="shared" si="8"/>
        <v/>
      </c>
      <c r="AA59" s="10" t="str">
        <f t="shared" si="9"/>
        <v/>
      </c>
      <c r="AB59" s="10" t="str">
        <f t="shared" si="10"/>
        <v/>
      </c>
      <c r="AC59" s="10" t="str">
        <f t="shared" si="11"/>
        <v/>
      </c>
      <c r="AD59" s="10" t="str">
        <f t="shared" si="12"/>
        <v/>
      </c>
      <c r="AE59" s="10" t="str">
        <f t="shared" si="29"/>
        <v/>
      </c>
      <c r="AF59" s="10" t="str">
        <f t="shared" si="29"/>
        <v/>
      </c>
      <c r="AG59" s="10" t="str">
        <f t="shared" si="13"/>
        <v/>
      </c>
      <c r="AH59" s="10" t="str">
        <f t="shared" si="30"/>
        <v/>
      </c>
      <c r="AI59" s="10" t="str">
        <f t="shared" si="30"/>
        <v/>
      </c>
      <c r="AJ59" s="10" t="str">
        <f t="shared" si="14"/>
        <v/>
      </c>
      <c r="AK59" s="10" t="str">
        <f t="shared" si="6"/>
        <v/>
      </c>
      <c r="AL59" s="10" t="str">
        <f t="shared" si="15"/>
        <v/>
      </c>
      <c r="AM59" s="10" t="str">
        <f t="shared" si="16"/>
        <v/>
      </c>
      <c r="AN59" s="10" t="str">
        <f t="shared" si="17"/>
        <v/>
      </c>
      <c r="AO59" s="10" t="str">
        <f t="shared" si="18"/>
        <v/>
      </c>
      <c r="AP59" s="10" t="str">
        <f t="shared" si="19"/>
        <v/>
      </c>
    </row>
    <row r="60" spans="7:42" x14ac:dyDescent="0.45">
      <c r="G60" s="1"/>
      <c r="H60" s="7" t="str">
        <f>IF(G60="","",SUMIFS(Add_Contributions[[#All],[Amount ($)]],Add_Contributions[[#All],[Year]],G60))</f>
        <v/>
      </c>
      <c r="I60" s="7" t="str">
        <f t="shared" si="27"/>
        <v/>
      </c>
      <c r="J60" s="7" t="str">
        <f t="shared" si="27"/>
        <v/>
      </c>
      <c r="K60" s="7" t="str">
        <f t="shared" si="27"/>
        <v/>
      </c>
      <c r="L60" s="7" t="str">
        <f t="shared" si="27"/>
        <v/>
      </c>
      <c r="M60" s="7" t="str">
        <f t="shared" si="27"/>
        <v/>
      </c>
      <c r="N60" s="7" t="str">
        <f t="shared" si="27"/>
        <v/>
      </c>
      <c r="O60" s="7" t="str">
        <f t="shared" si="27"/>
        <v/>
      </c>
      <c r="P60" s="7" t="str">
        <f t="shared" si="27"/>
        <v/>
      </c>
      <c r="Q60" s="7" t="str">
        <f t="shared" si="27"/>
        <v/>
      </c>
      <c r="R60" s="7" t="str">
        <f t="shared" si="27"/>
        <v/>
      </c>
      <c r="S60" s="7" t="str">
        <f t="shared" si="27"/>
        <v/>
      </c>
      <c r="T60" s="7" t="str">
        <f t="shared" si="27"/>
        <v/>
      </c>
      <c r="U60" s="8" t="str">
        <f t="shared" si="7"/>
        <v/>
      </c>
      <c r="V60" s="8" t="str">
        <f t="shared" si="7"/>
        <v/>
      </c>
      <c r="W60" s="7" t="str">
        <f t="shared" si="28"/>
        <v/>
      </c>
      <c r="X60" s="7" t="str">
        <f t="shared" si="28"/>
        <v/>
      </c>
      <c r="Y60" s="10" t="str">
        <f t="shared" si="3"/>
        <v/>
      </c>
      <c r="Z60" s="10" t="str">
        <f t="shared" si="8"/>
        <v/>
      </c>
      <c r="AA60" s="10" t="str">
        <f t="shared" si="9"/>
        <v/>
      </c>
      <c r="AB60" s="10" t="str">
        <f t="shared" si="10"/>
        <v/>
      </c>
      <c r="AC60" s="10" t="str">
        <f t="shared" si="11"/>
        <v/>
      </c>
      <c r="AD60" s="10" t="str">
        <f t="shared" si="12"/>
        <v/>
      </c>
      <c r="AE60" s="10" t="str">
        <f t="shared" si="29"/>
        <v/>
      </c>
      <c r="AF60" s="10" t="str">
        <f t="shared" si="29"/>
        <v/>
      </c>
      <c r="AG60" s="10" t="str">
        <f t="shared" si="13"/>
        <v/>
      </c>
      <c r="AH60" s="10" t="str">
        <f t="shared" si="30"/>
        <v/>
      </c>
      <c r="AI60" s="10" t="str">
        <f t="shared" si="30"/>
        <v/>
      </c>
      <c r="AJ60" s="10" t="str">
        <f t="shared" si="14"/>
        <v/>
      </c>
      <c r="AK60" s="10" t="str">
        <f t="shared" si="6"/>
        <v/>
      </c>
      <c r="AL60" s="10" t="str">
        <f t="shared" si="15"/>
        <v/>
      </c>
      <c r="AM60" s="10" t="str">
        <f t="shared" si="16"/>
        <v/>
      </c>
      <c r="AN60" s="10" t="str">
        <f t="shared" si="17"/>
        <v/>
      </c>
      <c r="AO60" s="10" t="str">
        <f t="shared" si="18"/>
        <v/>
      </c>
      <c r="AP60" s="10" t="str">
        <f t="shared" si="19"/>
        <v/>
      </c>
    </row>
    <row r="61" spans="7:42" x14ac:dyDescent="0.45">
      <c r="G61" s="1"/>
      <c r="H61" s="7" t="str">
        <f>IF(G61="","",SUMIFS(Add_Contributions[[#All],[Amount ($)]],Add_Contributions[[#All],[Year]],G61))</f>
        <v/>
      </c>
      <c r="I61" s="7" t="str">
        <f t="shared" si="27"/>
        <v/>
      </c>
      <c r="J61" s="7" t="str">
        <f t="shared" si="27"/>
        <v/>
      </c>
      <c r="K61" s="7" t="str">
        <f t="shared" si="27"/>
        <v/>
      </c>
      <c r="L61" s="7" t="str">
        <f t="shared" si="27"/>
        <v/>
      </c>
      <c r="M61" s="7" t="str">
        <f t="shared" si="27"/>
        <v/>
      </c>
      <c r="N61" s="7" t="str">
        <f t="shared" si="27"/>
        <v/>
      </c>
      <c r="O61" s="7" t="str">
        <f t="shared" si="27"/>
        <v/>
      </c>
      <c r="P61" s="7" t="str">
        <f t="shared" si="27"/>
        <v/>
      </c>
      <c r="Q61" s="7" t="str">
        <f t="shared" si="27"/>
        <v/>
      </c>
      <c r="R61" s="7" t="str">
        <f t="shared" si="27"/>
        <v/>
      </c>
      <c r="S61" s="7" t="str">
        <f t="shared" si="27"/>
        <v/>
      </c>
      <c r="T61" s="7" t="str">
        <f t="shared" si="27"/>
        <v/>
      </c>
      <c r="U61" s="8" t="str">
        <f t="shared" si="7"/>
        <v/>
      </c>
      <c r="V61" s="8" t="str">
        <f t="shared" si="7"/>
        <v/>
      </c>
      <c r="W61" s="7" t="str">
        <f t="shared" si="28"/>
        <v/>
      </c>
      <c r="X61" s="7" t="str">
        <f t="shared" si="28"/>
        <v/>
      </c>
      <c r="Y61" s="10" t="str">
        <f t="shared" si="3"/>
        <v/>
      </c>
      <c r="Z61" s="10" t="str">
        <f t="shared" si="8"/>
        <v/>
      </c>
      <c r="AA61" s="10" t="str">
        <f t="shared" si="9"/>
        <v/>
      </c>
      <c r="AB61" s="10" t="str">
        <f t="shared" si="10"/>
        <v/>
      </c>
      <c r="AC61" s="10" t="str">
        <f t="shared" si="11"/>
        <v/>
      </c>
      <c r="AD61" s="10" t="str">
        <f t="shared" si="12"/>
        <v/>
      </c>
      <c r="AE61" s="10" t="str">
        <f t="shared" si="29"/>
        <v/>
      </c>
      <c r="AF61" s="10" t="str">
        <f t="shared" si="29"/>
        <v/>
      </c>
      <c r="AG61" s="10" t="str">
        <f t="shared" si="13"/>
        <v/>
      </c>
      <c r="AH61" s="10" t="str">
        <f t="shared" si="30"/>
        <v/>
      </c>
      <c r="AI61" s="10" t="str">
        <f t="shared" si="30"/>
        <v/>
      </c>
      <c r="AJ61" s="10" t="str">
        <f t="shared" si="14"/>
        <v/>
      </c>
      <c r="AK61" s="10" t="str">
        <f t="shared" si="6"/>
        <v/>
      </c>
      <c r="AL61" s="10" t="str">
        <f t="shared" si="15"/>
        <v/>
      </c>
      <c r="AM61" s="10" t="str">
        <f t="shared" si="16"/>
        <v/>
      </c>
      <c r="AN61" s="10" t="str">
        <f t="shared" si="17"/>
        <v/>
      </c>
      <c r="AO61" s="10" t="str">
        <f t="shared" si="18"/>
        <v/>
      </c>
      <c r="AP61" s="10" t="str">
        <f t="shared" si="19"/>
        <v/>
      </c>
    </row>
    <row r="62" spans="7:42" x14ac:dyDescent="0.45">
      <c r="G62" s="1"/>
      <c r="H62" s="7" t="str">
        <f>IF(G62="","",SUMIFS(Add_Contributions[[#All],[Amount ($)]],Add_Contributions[[#All],[Year]],G62))</f>
        <v/>
      </c>
      <c r="I62" s="7" t="str">
        <f t="shared" si="27"/>
        <v/>
      </c>
      <c r="J62" s="7" t="str">
        <f t="shared" si="27"/>
        <v/>
      </c>
      <c r="K62" s="7" t="str">
        <f t="shared" si="27"/>
        <v/>
      </c>
      <c r="L62" s="7" t="str">
        <f t="shared" si="27"/>
        <v/>
      </c>
      <c r="M62" s="7" t="str">
        <f t="shared" si="27"/>
        <v/>
      </c>
      <c r="N62" s="7" t="str">
        <f t="shared" si="27"/>
        <v/>
      </c>
      <c r="O62" s="7" t="str">
        <f t="shared" si="27"/>
        <v/>
      </c>
      <c r="P62" s="7" t="str">
        <f t="shared" si="27"/>
        <v/>
      </c>
      <c r="Q62" s="7" t="str">
        <f t="shared" si="27"/>
        <v/>
      </c>
      <c r="R62" s="7" t="str">
        <f t="shared" si="27"/>
        <v/>
      </c>
      <c r="S62" s="7" t="str">
        <f t="shared" si="27"/>
        <v/>
      </c>
      <c r="T62" s="7" t="str">
        <f t="shared" si="27"/>
        <v/>
      </c>
      <c r="U62" s="8" t="str">
        <f t="shared" si="7"/>
        <v/>
      </c>
      <c r="V62" s="8" t="str">
        <f t="shared" si="7"/>
        <v/>
      </c>
      <c r="W62" s="7" t="str">
        <f t="shared" si="28"/>
        <v/>
      </c>
      <c r="X62" s="7" t="str">
        <f t="shared" si="28"/>
        <v/>
      </c>
      <c r="Y62" s="10" t="str">
        <f t="shared" si="3"/>
        <v/>
      </c>
      <c r="Z62" s="10" t="str">
        <f t="shared" si="8"/>
        <v/>
      </c>
      <c r="AA62" s="10" t="str">
        <f t="shared" si="9"/>
        <v/>
      </c>
      <c r="AB62" s="10" t="str">
        <f t="shared" si="10"/>
        <v/>
      </c>
      <c r="AC62" s="10" t="str">
        <f t="shared" si="11"/>
        <v/>
      </c>
      <c r="AD62" s="10" t="str">
        <f t="shared" si="12"/>
        <v/>
      </c>
      <c r="AE62" s="10" t="str">
        <f t="shared" si="29"/>
        <v/>
      </c>
      <c r="AF62" s="10" t="str">
        <f t="shared" si="29"/>
        <v/>
      </c>
      <c r="AG62" s="10" t="str">
        <f t="shared" si="13"/>
        <v/>
      </c>
      <c r="AH62" s="10" t="str">
        <f t="shared" si="30"/>
        <v/>
      </c>
      <c r="AI62" s="10" t="str">
        <f t="shared" si="30"/>
        <v/>
      </c>
      <c r="AJ62" s="10" t="str">
        <f t="shared" si="14"/>
        <v/>
      </c>
      <c r="AK62" s="10" t="str">
        <f t="shared" si="6"/>
        <v/>
      </c>
      <c r="AL62" s="10" t="str">
        <f t="shared" si="15"/>
        <v/>
      </c>
      <c r="AM62" s="10" t="str">
        <f t="shared" si="16"/>
        <v/>
      </c>
      <c r="AN62" s="10" t="str">
        <f t="shared" si="17"/>
        <v/>
      </c>
      <c r="AO62" s="10" t="str">
        <f t="shared" si="18"/>
        <v/>
      </c>
      <c r="AP62" s="10" t="str">
        <f t="shared" si="19"/>
        <v/>
      </c>
    </row>
    <row r="63" spans="7:42" x14ac:dyDescent="0.45">
      <c r="G63" s="1"/>
      <c r="H63" s="7" t="str">
        <f>IF(G63="","",SUMIFS(Add_Contributions[[#All],[Amount ($)]],Add_Contributions[[#All],[Year]],G63))</f>
        <v/>
      </c>
      <c r="I63" s="7" t="str">
        <f t="shared" si="27"/>
        <v/>
      </c>
      <c r="J63" s="7" t="str">
        <f t="shared" si="27"/>
        <v/>
      </c>
      <c r="K63" s="7" t="str">
        <f t="shared" si="27"/>
        <v/>
      </c>
      <c r="L63" s="7" t="str">
        <f t="shared" si="27"/>
        <v/>
      </c>
      <c r="M63" s="7" t="str">
        <f t="shared" si="27"/>
        <v/>
      </c>
      <c r="N63" s="7" t="str">
        <f t="shared" si="27"/>
        <v/>
      </c>
      <c r="O63" s="7" t="str">
        <f t="shared" si="27"/>
        <v/>
      </c>
      <c r="P63" s="7" t="str">
        <f t="shared" si="27"/>
        <v/>
      </c>
      <c r="Q63" s="7" t="str">
        <f t="shared" si="27"/>
        <v/>
      </c>
      <c r="R63" s="7" t="str">
        <f t="shared" si="27"/>
        <v/>
      </c>
      <c r="S63" s="7" t="str">
        <f t="shared" si="27"/>
        <v/>
      </c>
      <c r="T63" s="7" t="str">
        <f t="shared" si="27"/>
        <v/>
      </c>
      <c r="U63" s="8" t="str">
        <f t="shared" si="7"/>
        <v/>
      </c>
      <c r="V63" s="8" t="str">
        <f t="shared" si="7"/>
        <v/>
      </c>
      <c r="W63" s="7" t="str">
        <f t="shared" si="28"/>
        <v/>
      </c>
      <c r="X63" s="7" t="str">
        <f t="shared" si="28"/>
        <v/>
      </c>
      <c r="Y63" s="10" t="str">
        <f t="shared" si="3"/>
        <v/>
      </c>
      <c r="Z63" s="10" t="str">
        <f t="shared" si="8"/>
        <v/>
      </c>
      <c r="AA63" s="10" t="str">
        <f t="shared" si="9"/>
        <v/>
      </c>
      <c r="AB63" s="10" t="str">
        <f t="shared" si="10"/>
        <v/>
      </c>
      <c r="AC63" s="10" t="str">
        <f t="shared" si="11"/>
        <v/>
      </c>
      <c r="AD63" s="10" t="str">
        <f t="shared" si="12"/>
        <v/>
      </c>
      <c r="AE63" s="10" t="str">
        <f t="shared" si="29"/>
        <v/>
      </c>
      <c r="AF63" s="10" t="str">
        <f t="shared" si="29"/>
        <v/>
      </c>
      <c r="AG63" s="10" t="str">
        <f t="shared" si="13"/>
        <v/>
      </c>
      <c r="AH63" s="10" t="str">
        <f t="shared" si="30"/>
        <v/>
      </c>
      <c r="AI63" s="10" t="str">
        <f t="shared" si="30"/>
        <v/>
      </c>
      <c r="AJ63" s="10" t="str">
        <f t="shared" si="14"/>
        <v/>
      </c>
      <c r="AK63" s="10" t="str">
        <f t="shared" si="6"/>
        <v/>
      </c>
      <c r="AL63" s="10" t="str">
        <f t="shared" si="15"/>
        <v/>
      </c>
      <c r="AM63" s="10" t="str">
        <f t="shared" si="16"/>
        <v/>
      </c>
      <c r="AN63" s="10" t="str">
        <f t="shared" si="17"/>
        <v/>
      </c>
      <c r="AO63" s="10" t="str">
        <f t="shared" si="18"/>
        <v/>
      </c>
      <c r="AP63" s="10" t="str">
        <f t="shared" si="19"/>
        <v/>
      </c>
    </row>
    <row r="64" spans="7:42" x14ac:dyDescent="0.45">
      <c r="G64" s="1"/>
      <c r="H64" s="7" t="str">
        <f>IF(G64="","",SUMIFS(Add_Contributions[[#All],[Amount ($)]],Add_Contributions[[#All],[Year]],G64))</f>
        <v/>
      </c>
      <c r="I64" s="7" t="str">
        <f t="shared" si="27"/>
        <v/>
      </c>
      <c r="J64" s="7" t="str">
        <f t="shared" si="27"/>
        <v/>
      </c>
      <c r="K64" s="7" t="str">
        <f t="shared" si="27"/>
        <v/>
      </c>
      <c r="L64" s="7" t="str">
        <f t="shared" si="27"/>
        <v/>
      </c>
      <c r="M64" s="7" t="str">
        <f t="shared" si="27"/>
        <v/>
      </c>
      <c r="N64" s="7" t="str">
        <f t="shared" si="27"/>
        <v/>
      </c>
      <c r="O64" s="7" t="str">
        <f t="shared" si="27"/>
        <v/>
      </c>
      <c r="P64" s="7" t="str">
        <f t="shared" si="27"/>
        <v/>
      </c>
      <c r="Q64" s="7" t="str">
        <f t="shared" si="27"/>
        <v/>
      </c>
      <c r="R64" s="7" t="str">
        <f t="shared" si="27"/>
        <v/>
      </c>
      <c r="S64" s="7" t="str">
        <f t="shared" si="27"/>
        <v/>
      </c>
      <c r="T64" s="7" t="str">
        <f t="shared" si="27"/>
        <v/>
      </c>
      <c r="U64" s="8" t="str">
        <f t="shared" si="7"/>
        <v/>
      </c>
      <c r="V64" s="8" t="str">
        <f t="shared" si="7"/>
        <v/>
      </c>
      <c r="W64" s="7" t="str">
        <f t="shared" si="28"/>
        <v/>
      </c>
      <c r="X64" s="7" t="str">
        <f t="shared" si="28"/>
        <v/>
      </c>
      <c r="Y64" s="10" t="str">
        <f t="shared" si="3"/>
        <v/>
      </c>
      <c r="Z64" s="10" t="str">
        <f t="shared" si="8"/>
        <v/>
      </c>
      <c r="AA64" s="10" t="str">
        <f t="shared" si="9"/>
        <v/>
      </c>
      <c r="AB64" s="10" t="str">
        <f t="shared" si="10"/>
        <v/>
      </c>
      <c r="AC64" s="10" t="str">
        <f t="shared" si="11"/>
        <v/>
      </c>
      <c r="AD64" s="10" t="str">
        <f t="shared" si="12"/>
        <v/>
      </c>
      <c r="AE64" s="10" t="str">
        <f t="shared" si="29"/>
        <v/>
      </c>
      <c r="AF64" s="10" t="str">
        <f t="shared" si="29"/>
        <v/>
      </c>
      <c r="AG64" s="10" t="str">
        <f t="shared" si="13"/>
        <v/>
      </c>
      <c r="AH64" s="10" t="str">
        <f t="shared" si="30"/>
        <v/>
      </c>
      <c r="AI64" s="10" t="str">
        <f t="shared" si="30"/>
        <v/>
      </c>
      <c r="AJ64" s="10" t="str">
        <f t="shared" si="14"/>
        <v/>
      </c>
      <c r="AK64" s="10" t="str">
        <f t="shared" si="6"/>
        <v/>
      </c>
      <c r="AL64" s="10" t="str">
        <f t="shared" si="15"/>
        <v/>
      </c>
      <c r="AM64" s="10" t="str">
        <f t="shared" si="16"/>
        <v/>
      </c>
      <c r="AN64" s="10" t="str">
        <f t="shared" si="17"/>
        <v/>
      </c>
      <c r="AO64" s="10" t="str">
        <f t="shared" si="18"/>
        <v/>
      </c>
      <c r="AP64" s="10" t="str">
        <f t="shared" si="19"/>
        <v/>
      </c>
    </row>
    <row r="65" spans="7:42" x14ac:dyDescent="0.45">
      <c r="G65" s="1"/>
      <c r="H65" s="7" t="str">
        <f>IF(G65="","",SUMIFS(Add_Contributions[[#All],[Amount ($)]],Add_Contributions[[#All],[Year]],G65))</f>
        <v/>
      </c>
      <c r="I65" s="7" t="str">
        <f t="shared" si="27"/>
        <v/>
      </c>
      <c r="J65" s="7" t="str">
        <f t="shared" si="27"/>
        <v/>
      </c>
      <c r="K65" s="7" t="str">
        <f t="shared" si="27"/>
        <v/>
      </c>
      <c r="L65" s="7" t="str">
        <f t="shared" si="27"/>
        <v/>
      </c>
      <c r="M65" s="7" t="str">
        <f t="shared" si="27"/>
        <v/>
      </c>
      <c r="N65" s="7" t="str">
        <f t="shared" si="27"/>
        <v/>
      </c>
      <c r="O65" s="7" t="str">
        <f t="shared" si="27"/>
        <v/>
      </c>
      <c r="P65" s="7" t="str">
        <f t="shared" si="27"/>
        <v/>
      </c>
      <c r="Q65" s="7" t="str">
        <f t="shared" si="27"/>
        <v/>
      </c>
      <c r="R65" s="7" t="str">
        <f t="shared" si="27"/>
        <v/>
      </c>
      <c r="S65" s="7" t="str">
        <f t="shared" si="27"/>
        <v/>
      </c>
      <c r="T65" s="7" t="str">
        <f t="shared" si="27"/>
        <v/>
      </c>
      <c r="U65" s="8" t="str">
        <f t="shared" si="7"/>
        <v/>
      </c>
      <c r="V65" s="8" t="str">
        <f t="shared" si="7"/>
        <v/>
      </c>
      <c r="W65" s="7" t="str">
        <f t="shared" si="28"/>
        <v/>
      </c>
      <c r="X65" s="7" t="str">
        <f t="shared" si="28"/>
        <v/>
      </c>
      <c r="Y65" s="10" t="str">
        <f t="shared" si="3"/>
        <v/>
      </c>
      <c r="Z65" s="10" t="str">
        <f t="shared" si="8"/>
        <v/>
      </c>
      <c r="AA65" s="10" t="str">
        <f t="shared" si="9"/>
        <v/>
      </c>
      <c r="AB65" s="10" t="str">
        <f t="shared" si="10"/>
        <v/>
      </c>
      <c r="AC65" s="10" t="str">
        <f t="shared" si="11"/>
        <v/>
      </c>
      <c r="AD65" s="10" t="str">
        <f t="shared" si="12"/>
        <v/>
      </c>
      <c r="AE65" s="10" t="str">
        <f t="shared" si="29"/>
        <v/>
      </c>
      <c r="AF65" s="10" t="str">
        <f t="shared" si="29"/>
        <v/>
      </c>
      <c r="AG65" s="10" t="str">
        <f t="shared" si="13"/>
        <v/>
      </c>
      <c r="AH65" s="10" t="str">
        <f t="shared" si="30"/>
        <v/>
      </c>
      <c r="AI65" s="10" t="str">
        <f t="shared" si="30"/>
        <v/>
      </c>
      <c r="AJ65" s="10" t="str">
        <f t="shared" si="14"/>
        <v/>
      </c>
      <c r="AK65" s="10" t="str">
        <f t="shared" si="6"/>
        <v/>
      </c>
      <c r="AL65" s="10" t="str">
        <f t="shared" si="15"/>
        <v/>
      </c>
      <c r="AM65" s="10" t="str">
        <f t="shared" si="16"/>
        <v/>
      </c>
      <c r="AN65" s="10" t="str">
        <f t="shared" si="17"/>
        <v/>
      </c>
      <c r="AO65" s="10" t="str">
        <f t="shared" si="18"/>
        <v/>
      </c>
      <c r="AP65" s="10" t="str">
        <f t="shared" si="19"/>
        <v/>
      </c>
    </row>
    <row r="66" spans="7:42" x14ac:dyDescent="0.45">
      <c r="G66" s="1"/>
      <c r="H66" s="7" t="str">
        <f>IF(G66="","",SUMIFS(Add_Contributions[[#All],[Amount ($)]],Add_Contributions[[#All],[Year]],G66))</f>
        <v/>
      </c>
      <c r="I66" s="7" t="str">
        <f t="shared" si="27"/>
        <v/>
      </c>
      <c r="J66" s="7" t="str">
        <f t="shared" si="27"/>
        <v/>
      </c>
      <c r="K66" s="7" t="str">
        <f t="shared" si="27"/>
        <v/>
      </c>
      <c r="L66" s="7" t="str">
        <f t="shared" si="27"/>
        <v/>
      </c>
      <c r="M66" s="7" t="str">
        <f t="shared" si="27"/>
        <v/>
      </c>
      <c r="N66" s="7" t="str">
        <f t="shared" si="27"/>
        <v/>
      </c>
      <c r="O66" s="7" t="str">
        <f t="shared" si="27"/>
        <v/>
      </c>
      <c r="P66" s="7" t="str">
        <f t="shared" si="27"/>
        <v/>
      </c>
      <c r="Q66" s="7" t="str">
        <f t="shared" si="27"/>
        <v/>
      </c>
      <c r="R66" s="7" t="str">
        <f t="shared" si="27"/>
        <v/>
      </c>
      <c r="S66" s="7" t="str">
        <f t="shared" si="27"/>
        <v/>
      </c>
      <c r="T66" s="7" t="str">
        <f t="shared" si="27"/>
        <v/>
      </c>
      <c r="U66" s="8" t="str">
        <f t="shared" si="7"/>
        <v/>
      </c>
      <c r="V66" s="8" t="str">
        <f t="shared" si="7"/>
        <v/>
      </c>
      <c r="W66" s="7" t="str">
        <f t="shared" si="28"/>
        <v/>
      </c>
      <c r="X66" s="7" t="str">
        <f t="shared" si="28"/>
        <v/>
      </c>
      <c r="Y66" s="10" t="str">
        <f t="shared" si="3"/>
        <v/>
      </c>
      <c r="Z66" s="10" t="str">
        <f t="shared" si="8"/>
        <v/>
      </c>
      <c r="AA66" s="10" t="str">
        <f t="shared" si="9"/>
        <v/>
      </c>
      <c r="AB66" s="10" t="str">
        <f t="shared" si="10"/>
        <v/>
      </c>
      <c r="AC66" s="10" t="str">
        <f t="shared" si="11"/>
        <v/>
      </c>
      <c r="AD66" s="10" t="str">
        <f t="shared" si="12"/>
        <v/>
      </c>
      <c r="AE66" s="10" t="str">
        <f t="shared" si="29"/>
        <v/>
      </c>
      <c r="AF66" s="10" t="str">
        <f t="shared" si="29"/>
        <v/>
      </c>
      <c r="AG66" s="10" t="str">
        <f t="shared" si="13"/>
        <v/>
      </c>
      <c r="AH66" s="10" t="str">
        <f t="shared" si="30"/>
        <v/>
      </c>
      <c r="AI66" s="10" t="str">
        <f t="shared" si="30"/>
        <v/>
      </c>
      <c r="AJ66" s="10" t="str">
        <f t="shared" si="14"/>
        <v/>
      </c>
      <c r="AK66" s="10" t="str">
        <f t="shared" si="6"/>
        <v/>
      </c>
      <c r="AL66" s="10" t="str">
        <f t="shared" si="15"/>
        <v/>
      </c>
      <c r="AM66" s="10" t="str">
        <f t="shared" si="16"/>
        <v/>
      </c>
      <c r="AN66" s="10" t="str">
        <f t="shared" si="17"/>
        <v/>
      </c>
      <c r="AO66" s="10" t="str">
        <f t="shared" si="18"/>
        <v/>
      </c>
      <c r="AP66" s="10" t="str">
        <f t="shared" si="19"/>
        <v/>
      </c>
    </row>
    <row r="67" spans="7:42" x14ac:dyDescent="0.45">
      <c r="G67" s="1"/>
      <c r="H67" s="7" t="str">
        <f>IF(G67="","",SUMIFS(Add_Contributions[[#All],[Amount ($)]],Add_Contributions[[#All],[Year]],G67))</f>
        <v/>
      </c>
      <c r="I67" s="7" t="str">
        <f t="shared" si="27"/>
        <v/>
      </c>
      <c r="J67" s="7" t="str">
        <f t="shared" si="27"/>
        <v/>
      </c>
      <c r="K67" s="7" t="str">
        <f t="shared" si="27"/>
        <v/>
      </c>
      <c r="L67" s="7" t="str">
        <f t="shared" si="27"/>
        <v/>
      </c>
      <c r="M67" s="7" t="str">
        <f t="shared" si="27"/>
        <v/>
      </c>
      <c r="N67" s="7" t="str">
        <f t="shared" si="27"/>
        <v/>
      </c>
      <c r="O67" s="7" t="str">
        <f t="shared" si="27"/>
        <v/>
      </c>
      <c r="P67" s="7" t="str">
        <f t="shared" si="27"/>
        <v/>
      </c>
      <c r="Q67" s="7" t="str">
        <f t="shared" si="27"/>
        <v/>
      </c>
      <c r="R67" s="7" t="str">
        <f t="shared" si="27"/>
        <v/>
      </c>
      <c r="S67" s="7" t="str">
        <f t="shared" si="27"/>
        <v/>
      </c>
      <c r="T67" s="7" t="str">
        <f t="shared" si="27"/>
        <v/>
      </c>
      <c r="U67" s="8" t="str">
        <f t="shared" si="7"/>
        <v/>
      </c>
      <c r="V67" s="8" t="str">
        <f t="shared" si="7"/>
        <v/>
      </c>
      <c r="W67" s="7" t="str">
        <f t="shared" si="28"/>
        <v/>
      </c>
      <c r="X67" s="7" t="str">
        <f t="shared" si="28"/>
        <v/>
      </c>
      <c r="Y67" s="10" t="str">
        <f t="shared" si="3"/>
        <v/>
      </c>
      <c r="Z67" s="10" t="str">
        <f t="shared" si="8"/>
        <v/>
      </c>
      <c r="AA67" s="10" t="str">
        <f t="shared" si="9"/>
        <v/>
      </c>
      <c r="AB67" s="10" t="str">
        <f t="shared" si="10"/>
        <v/>
      </c>
      <c r="AC67" s="10" t="str">
        <f t="shared" si="11"/>
        <v/>
      </c>
      <c r="AD67" s="10" t="str">
        <f t="shared" si="12"/>
        <v/>
      </c>
      <c r="AE67" s="10" t="str">
        <f t="shared" si="29"/>
        <v/>
      </c>
      <c r="AF67" s="10" t="str">
        <f t="shared" si="29"/>
        <v/>
      </c>
      <c r="AG67" s="10" t="str">
        <f t="shared" si="13"/>
        <v/>
      </c>
      <c r="AH67" s="10" t="str">
        <f t="shared" si="30"/>
        <v/>
      </c>
      <c r="AI67" s="10" t="str">
        <f t="shared" si="30"/>
        <v/>
      </c>
      <c r="AJ67" s="10" t="str">
        <f t="shared" si="14"/>
        <v/>
      </c>
      <c r="AK67" s="10" t="str">
        <f t="shared" si="6"/>
        <v/>
      </c>
      <c r="AL67" s="10" t="str">
        <f t="shared" si="15"/>
        <v/>
      </c>
      <c r="AM67" s="10" t="str">
        <f t="shared" si="16"/>
        <v/>
      </c>
      <c r="AN67" s="10" t="str">
        <f t="shared" si="17"/>
        <v/>
      </c>
      <c r="AO67" s="10" t="str">
        <f t="shared" si="18"/>
        <v/>
      </c>
      <c r="AP67" s="10" t="str">
        <f t="shared" si="19"/>
        <v/>
      </c>
    </row>
    <row r="68" spans="7:42" x14ac:dyDescent="0.45">
      <c r="G68" s="1"/>
      <c r="H68" s="7" t="str">
        <f>IF(G68="","",SUMIFS(Add_Contributions[[#All],[Amount ($)]],Add_Contributions[[#All],[Year]],G68))</f>
        <v/>
      </c>
      <c r="I68" s="7" t="str">
        <f t="shared" si="27"/>
        <v/>
      </c>
      <c r="J68" s="7" t="str">
        <f t="shared" si="27"/>
        <v/>
      </c>
      <c r="K68" s="7" t="str">
        <f t="shared" si="27"/>
        <v/>
      </c>
      <c r="L68" s="7" t="str">
        <f t="shared" si="27"/>
        <v/>
      </c>
      <c r="M68" s="7" t="str">
        <f t="shared" si="27"/>
        <v/>
      </c>
      <c r="N68" s="7" t="str">
        <f t="shared" si="27"/>
        <v/>
      </c>
      <c r="O68" s="7" t="str">
        <f t="shared" si="27"/>
        <v/>
      </c>
      <c r="P68" s="7" t="str">
        <f t="shared" si="27"/>
        <v/>
      </c>
      <c r="Q68" s="7" t="str">
        <f t="shared" si="27"/>
        <v/>
      </c>
      <c r="R68" s="7" t="str">
        <f t="shared" si="27"/>
        <v/>
      </c>
      <c r="S68" s="7" t="str">
        <f t="shared" si="27"/>
        <v/>
      </c>
      <c r="T68" s="7" t="str">
        <f t="shared" si="27"/>
        <v/>
      </c>
      <c r="U68" s="8" t="str">
        <f t="shared" si="7"/>
        <v/>
      </c>
      <c r="V68" s="8" t="str">
        <f t="shared" si="7"/>
        <v/>
      </c>
      <c r="W68" s="7" t="str">
        <f t="shared" si="28"/>
        <v/>
      </c>
      <c r="X68" s="7" t="str">
        <f t="shared" si="28"/>
        <v/>
      </c>
      <c r="Y68" s="10" t="str">
        <f t="shared" si="3"/>
        <v/>
      </c>
      <c r="Z68" s="10" t="str">
        <f t="shared" si="8"/>
        <v/>
      </c>
      <c r="AA68" s="10" t="str">
        <f t="shared" si="9"/>
        <v/>
      </c>
      <c r="AB68" s="10" t="str">
        <f t="shared" si="10"/>
        <v/>
      </c>
      <c r="AC68" s="10" t="str">
        <f t="shared" si="11"/>
        <v/>
      </c>
      <c r="AD68" s="10" t="str">
        <f t="shared" si="12"/>
        <v/>
      </c>
      <c r="AE68" s="10" t="str">
        <f t="shared" si="29"/>
        <v/>
      </c>
      <c r="AF68" s="10" t="str">
        <f t="shared" si="29"/>
        <v/>
      </c>
      <c r="AG68" s="10" t="str">
        <f t="shared" si="13"/>
        <v/>
      </c>
      <c r="AH68" s="10" t="str">
        <f t="shared" si="30"/>
        <v/>
      </c>
      <c r="AI68" s="10" t="str">
        <f t="shared" si="30"/>
        <v/>
      </c>
      <c r="AJ68" s="10" t="str">
        <f t="shared" si="14"/>
        <v/>
      </c>
      <c r="AK68" s="10" t="str">
        <f t="shared" si="6"/>
        <v/>
      </c>
      <c r="AL68" s="10" t="str">
        <f t="shared" si="15"/>
        <v/>
      </c>
      <c r="AM68" s="10" t="str">
        <f t="shared" si="16"/>
        <v/>
      </c>
      <c r="AN68" s="10" t="str">
        <f t="shared" si="17"/>
        <v/>
      </c>
      <c r="AO68" s="10" t="str">
        <f t="shared" si="18"/>
        <v/>
      </c>
      <c r="AP68" s="10" t="str">
        <f t="shared" si="19"/>
        <v/>
      </c>
    </row>
    <row r="69" spans="7:42" x14ac:dyDescent="0.45">
      <c r="G69" s="1"/>
      <c r="H69" s="7" t="str">
        <f>IF(G69="","",SUMIFS(Add_Contributions[[#All],[Amount ($)]],Add_Contributions[[#All],[Year]],G69))</f>
        <v/>
      </c>
      <c r="I69" s="7" t="str">
        <f t="shared" si="27"/>
        <v/>
      </c>
      <c r="J69" s="7" t="str">
        <f t="shared" si="27"/>
        <v/>
      </c>
      <c r="K69" s="7" t="str">
        <f t="shared" si="27"/>
        <v/>
      </c>
      <c r="L69" s="7" t="str">
        <f t="shared" si="27"/>
        <v/>
      </c>
      <c r="M69" s="7" t="str">
        <f t="shared" si="27"/>
        <v/>
      </c>
      <c r="N69" s="7" t="str">
        <f t="shared" si="27"/>
        <v/>
      </c>
      <c r="O69" s="7" t="str">
        <f t="shared" si="27"/>
        <v/>
      </c>
      <c r="P69" s="7" t="str">
        <f t="shared" si="27"/>
        <v/>
      </c>
      <c r="Q69" s="7" t="str">
        <f t="shared" si="27"/>
        <v/>
      </c>
      <c r="R69" s="7" t="str">
        <f t="shared" si="27"/>
        <v/>
      </c>
      <c r="S69" s="7" t="str">
        <f t="shared" si="27"/>
        <v/>
      </c>
      <c r="T69" s="7" t="str">
        <f t="shared" si="27"/>
        <v/>
      </c>
      <c r="U69" s="8" t="str">
        <f t="shared" si="7"/>
        <v/>
      </c>
      <c r="V69" s="8" t="str">
        <f t="shared" si="7"/>
        <v/>
      </c>
      <c r="W69" s="7" t="str">
        <f t="shared" si="28"/>
        <v/>
      </c>
      <c r="X69" s="7" t="str">
        <f t="shared" si="28"/>
        <v/>
      </c>
      <c r="Y69" s="10" t="str">
        <f t="shared" si="3"/>
        <v/>
      </c>
      <c r="Z69" s="10" t="str">
        <f t="shared" si="8"/>
        <v/>
      </c>
      <c r="AA69" s="10" t="str">
        <f t="shared" si="9"/>
        <v/>
      </c>
      <c r="AB69" s="10" t="str">
        <f t="shared" si="10"/>
        <v/>
      </c>
      <c r="AC69" s="10" t="str">
        <f t="shared" si="11"/>
        <v/>
      </c>
      <c r="AD69" s="10" t="str">
        <f t="shared" si="12"/>
        <v/>
      </c>
      <c r="AE69" s="10" t="str">
        <f t="shared" si="29"/>
        <v/>
      </c>
      <c r="AF69" s="10" t="str">
        <f t="shared" si="29"/>
        <v/>
      </c>
      <c r="AG69" s="10" t="str">
        <f t="shared" si="13"/>
        <v/>
      </c>
      <c r="AH69" s="10" t="str">
        <f t="shared" si="30"/>
        <v/>
      </c>
      <c r="AI69" s="10" t="str">
        <f t="shared" si="30"/>
        <v/>
      </c>
      <c r="AJ69" s="10" t="str">
        <f t="shared" si="14"/>
        <v/>
      </c>
      <c r="AK69" s="10" t="str">
        <f t="shared" si="6"/>
        <v/>
      </c>
      <c r="AL69" s="10" t="str">
        <f t="shared" si="15"/>
        <v/>
      </c>
      <c r="AM69" s="10" t="str">
        <f t="shared" si="16"/>
        <v/>
      </c>
      <c r="AN69" s="10" t="str">
        <f t="shared" si="17"/>
        <v/>
      </c>
      <c r="AO69" s="10" t="str">
        <f t="shared" si="18"/>
        <v/>
      </c>
      <c r="AP69" s="10" t="str">
        <f t="shared" si="19"/>
        <v/>
      </c>
    </row>
    <row r="70" spans="7:42" x14ac:dyDescent="0.45">
      <c r="G70" s="1"/>
      <c r="H70" s="7" t="str">
        <f>IF(G70="","",SUMIFS(Add_Contributions[[#All],[Amount ($)]],Add_Contributions[[#All],[Year]],G70))</f>
        <v/>
      </c>
      <c r="I70" s="7" t="str">
        <f t="shared" si="27"/>
        <v/>
      </c>
      <c r="J70" s="7" t="str">
        <f t="shared" si="27"/>
        <v/>
      </c>
      <c r="K70" s="7" t="str">
        <f t="shared" si="27"/>
        <v/>
      </c>
      <c r="L70" s="7" t="str">
        <f t="shared" si="27"/>
        <v/>
      </c>
      <c r="M70" s="7" t="str">
        <f t="shared" si="27"/>
        <v/>
      </c>
      <c r="N70" s="7" t="str">
        <f t="shared" si="27"/>
        <v/>
      </c>
      <c r="O70" s="7" t="str">
        <f t="shared" si="27"/>
        <v/>
      </c>
      <c r="P70" s="7" t="str">
        <f t="shared" si="27"/>
        <v/>
      </c>
      <c r="Q70" s="7" t="str">
        <f t="shared" si="27"/>
        <v/>
      </c>
      <c r="R70" s="7" t="str">
        <f t="shared" si="27"/>
        <v/>
      </c>
      <c r="S70" s="7" t="str">
        <f t="shared" si="27"/>
        <v/>
      </c>
      <c r="T70" s="7" t="str">
        <f t="shared" si="27"/>
        <v/>
      </c>
      <c r="U70" s="8" t="str">
        <f t="shared" si="7"/>
        <v/>
      </c>
      <c r="V70" s="8" t="str">
        <f t="shared" si="7"/>
        <v/>
      </c>
      <c r="W70" s="7" t="str">
        <f t="shared" si="28"/>
        <v/>
      </c>
      <c r="X70" s="7" t="str">
        <f t="shared" si="28"/>
        <v/>
      </c>
      <c r="Y70" s="10" t="str">
        <f t="shared" si="3"/>
        <v/>
      </c>
      <c r="Z70" s="10" t="str">
        <f t="shared" si="8"/>
        <v/>
      </c>
      <c r="AA70" s="10" t="str">
        <f t="shared" si="9"/>
        <v/>
      </c>
      <c r="AB70" s="10" t="str">
        <f t="shared" si="10"/>
        <v/>
      </c>
      <c r="AC70" s="10" t="str">
        <f t="shared" si="11"/>
        <v/>
      </c>
      <c r="AD70" s="10" t="str">
        <f t="shared" si="12"/>
        <v/>
      </c>
      <c r="AE70" s="10" t="str">
        <f t="shared" si="29"/>
        <v/>
      </c>
      <c r="AF70" s="10" t="str">
        <f t="shared" si="29"/>
        <v/>
      </c>
      <c r="AG70" s="10" t="str">
        <f t="shared" si="13"/>
        <v/>
      </c>
      <c r="AH70" s="10" t="str">
        <f t="shared" si="30"/>
        <v/>
      </c>
      <c r="AI70" s="10" t="str">
        <f t="shared" si="30"/>
        <v/>
      </c>
      <c r="AJ70" s="10" t="str">
        <f t="shared" si="14"/>
        <v/>
      </c>
      <c r="AK70" s="10" t="str">
        <f t="shared" si="6"/>
        <v/>
      </c>
      <c r="AL70" s="10" t="str">
        <f t="shared" si="15"/>
        <v/>
      </c>
      <c r="AM70" s="10" t="str">
        <f t="shared" si="16"/>
        <v/>
      </c>
      <c r="AN70" s="10" t="str">
        <f t="shared" si="17"/>
        <v/>
      </c>
      <c r="AO70" s="10" t="str">
        <f t="shared" si="18"/>
        <v/>
      </c>
      <c r="AP70" s="10" t="str">
        <f t="shared" si="19"/>
        <v/>
      </c>
    </row>
    <row r="71" spans="7:42" x14ac:dyDescent="0.45">
      <c r="G71" s="1"/>
      <c r="H71" s="7" t="str">
        <f>IF(G71="","",SUMIFS(Add_Contributions[[#All],[Amount ($)]],Add_Contributions[[#All],[Year]],G71))</f>
        <v/>
      </c>
      <c r="I71" s="7" t="str">
        <f t="shared" si="27"/>
        <v/>
      </c>
      <c r="J71" s="7" t="str">
        <f t="shared" si="27"/>
        <v/>
      </c>
      <c r="K71" s="7" t="str">
        <f t="shared" si="27"/>
        <v/>
      </c>
      <c r="L71" s="7" t="str">
        <f t="shared" si="27"/>
        <v/>
      </c>
      <c r="M71" s="7" t="str">
        <f t="shared" si="27"/>
        <v/>
      </c>
      <c r="N71" s="7" t="str">
        <f t="shared" si="27"/>
        <v/>
      </c>
      <c r="O71" s="7" t="str">
        <f t="shared" si="27"/>
        <v/>
      </c>
      <c r="P71" s="7" t="str">
        <f t="shared" si="27"/>
        <v/>
      </c>
      <c r="Q71" s="7" t="str">
        <f t="shared" si="27"/>
        <v/>
      </c>
      <c r="R71" s="7" t="str">
        <f t="shared" si="27"/>
        <v/>
      </c>
      <c r="S71" s="7" t="str">
        <f t="shared" si="27"/>
        <v/>
      </c>
      <c r="T71" s="7" t="str">
        <f t="shared" si="27"/>
        <v/>
      </c>
      <c r="U71" s="8" t="str">
        <f t="shared" si="7"/>
        <v/>
      </c>
      <c r="V71" s="8" t="str">
        <f t="shared" si="7"/>
        <v/>
      </c>
      <c r="W71" s="7" t="str">
        <f t="shared" si="28"/>
        <v/>
      </c>
      <c r="X71" s="7" t="str">
        <f t="shared" si="28"/>
        <v/>
      </c>
      <c r="Y71" s="10" t="str">
        <f t="shared" si="3"/>
        <v/>
      </c>
      <c r="Z71" s="10" t="str">
        <f t="shared" si="8"/>
        <v/>
      </c>
      <c r="AA71" s="10" t="str">
        <f t="shared" si="9"/>
        <v/>
      </c>
      <c r="AB71" s="10" t="str">
        <f t="shared" si="10"/>
        <v/>
      </c>
      <c r="AC71" s="10" t="str">
        <f t="shared" si="11"/>
        <v/>
      </c>
      <c r="AD71" s="10" t="str">
        <f t="shared" si="12"/>
        <v/>
      </c>
      <c r="AE71" s="10" t="str">
        <f t="shared" si="29"/>
        <v/>
      </c>
      <c r="AF71" s="10" t="str">
        <f t="shared" si="29"/>
        <v/>
      </c>
      <c r="AG71" s="10" t="str">
        <f t="shared" si="13"/>
        <v/>
      </c>
      <c r="AH71" s="10" t="str">
        <f t="shared" si="30"/>
        <v/>
      </c>
      <c r="AI71" s="10" t="str">
        <f t="shared" si="30"/>
        <v/>
      </c>
      <c r="AJ71" s="10" t="str">
        <f t="shared" si="14"/>
        <v/>
      </c>
      <c r="AK71" s="10" t="str">
        <f t="shared" si="6"/>
        <v/>
      </c>
      <c r="AL71" s="10" t="str">
        <f t="shared" si="15"/>
        <v/>
      </c>
      <c r="AM71" s="10" t="str">
        <f t="shared" si="16"/>
        <v/>
      </c>
      <c r="AN71" s="10" t="str">
        <f t="shared" si="17"/>
        <v/>
      </c>
      <c r="AO71" s="10" t="str">
        <f t="shared" si="18"/>
        <v/>
      </c>
      <c r="AP71" s="10" t="str">
        <f t="shared" si="19"/>
        <v/>
      </c>
    </row>
    <row r="72" spans="7:42" x14ac:dyDescent="0.45">
      <c r="G72" s="1"/>
      <c r="H72" s="7" t="str">
        <f>IF(G72="","",SUMIFS(Add_Contributions[[#All],[Amount ($)]],Add_Contributions[[#All],[Year]],G72))</f>
        <v/>
      </c>
      <c r="I72" s="7" t="str">
        <f t="shared" si="27"/>
        <v/>
      </c>
      <c r="J72" s="7" t="str">
        <f t="shared" si="27"/>
        <v/>
      </c>
      <c r="K72" s="7" t="str">
        <f t="shared" si="27"/>
        <v/>
      </c>
      <c r="L72" s="7" t="str">
        <f t="shared" si="27"/>
        <v/>
      </c>
      <c r="M72" s="7" t="str">
        <f t="shared" si="27"/>
        <v/>
      </c>
      <c r="N72" s="7" t="str">
        <f t="shared" si="27"/>
        <v/>
      </c>
      <c r="O72" s="7" t="str">
        <f t="shared" si="27"/>
        <v/>
      </c>
      <c r="P72" s="7" t="str">
        <f t="shared" si="27"/>
        <v/>
      </c>
      <c r="Q72" s="7" t="str">
        <f t="shared" si="27"/>
        <v/>
      </c>
      <c r="R72" s="7" t="str">
        <f t="shared" si="27"/>
        <v/>
      </c>
      <c r="S72" s="7" t="str">
        <f t="shared" si="27"/>
        <v/>
      </c>
      <c r="T72" s="7" t="str">
        <f t="shared" si="27"/>
        <v/>
      </c>
      <c r="U72" s="8" t="str">
        <f t="shared" si="7"/>
        <v/>
      </c>
      <c r="V72" s="8" t="str">
        <f t="shared" si="7"/>
        <v/>
      </c>
      <c r="W72" s="7" t="str">
        <f t="shared" si="28"/>
        <v/>
      </c>
      <c r="X72" s="7" t="str">
        <f t="shared" si="28"/>
        <v/>
      </c>
      <c r="Y72" s="10" t="str">
        <f t="shared" si="3"/>
        <v/>
      </c>
      <c r="Z72" s="10" t="str">
        <f t="shared" si="8"/>
        <v/>
      </c>
      <c r="AA72" s="10" t="str">
        <f t="shared" si="9"/>
        <v/>
      </c>
      <c r="AB72" s="10" t="str">
        <f t="shared" si="10"/>
        <v/>
      </c>
      <c r="AC72" s="10" t="str">
        <f t="shared" si="11"/>
        <v/>
      </c>
      <c r="AD72" s="10" t="str">
        <f t="shared" si="12"/>
        <v/>
      </c>
      <c r="AE72" s="10" t="str">
        <f t="shared" si="29"/>
        <v/>
      </c>
      <c r="AF72" s="10" t="str">
        <f t="shared" si="29"/>
        <v/>
      </c>
      <c r="AG72" s="10" t="str">
        <f t="shared" si="13"/>
        <v/>
      </c>
      <c r="AH72" s="10" t="str">
        <f t="shared" si="30"/>
        <v/>
      </c>
      <c r="AI72" s="10" t="str">
        <f t="shared" si="30"/>
        <v/>
      </c>
      <c r="AJ72" s="10" t="str">
        <f t="shared" si="14"/>
        <v/>
      </c>
      <c r="AK72" s="10" t="str">
        <f t="shared" si="6"/>
        <v/>
      </c>
      <c r="AL72" s="10" t="str">
        <f t="shared" si="15"/>
        <v/>
      </c>
      <c r="AM72" s="10" t="str">
        <f t="shared" si="16"/>
        <v/>
      </c>
      <c r="AN72" s="10" t="str">
        <f t="shared" si="17"/>
        <v/>
      </c>
      <c r="AO72" s="10" t="str">
        <f t="shared" si="18"/>
        <v/>
      </c>
      <c r="AP72" s="10" t="str">
        <f t="shared" si="19"/>
        <v/>
      </c>
    </row>
    <row r="73" spans="7:42" x14ac:dyDescent="0.45">
      <c r="G73" s="1"/>
      <c r="H73" s="7" t="str">
        <f>IF(G73="","",SUMIFS(Add_Contributions[[#All],[Amount ($)]],Add_Contributions[[#All],[Year]],G73))</f>
        <v/>
      </c>
      <c r="I73" s="7" t="str">
        <f t="shared" si="27"/>
        <v/>
      </c>
      <c r="J73" s="7" t="str">
        <f t="shared" si="27"/>
        <v/>
      </c>
      <c r="K73" s="7" t="str">
        <f t="shared" si="27"/>
        <v/>
      </c>
      <c r="L73" s="7" t="str">
        <f t="shared" si="27"/>
        <v/>
      </c>
      <c r="M73" s="7" t="str">
        <f t="shared" si="27"/>
        <v/>
      </c>
      <c r="N73" s="7" t="str">
        <f t="shared" si="27"/>
        <v/>
      </c>
      <c r="O73" s="7" t="str">
        <f t="shared" si="27"/>
        <v/>
      </c>
      <c r="P73" s="7" t="str">
        <f t="shared" si="27"/>
        <v/>
      </c>
      <c r="Q73" s="7" t="str">
        <f t="shared" si="27"/>
        <v/>
      </c>
      <c r="R73" s="7" t="str">
        <f t="shared" ref="R73:T109" si="31">IF($G73="","",IF($G73=1,(($C$2+$H73)*R$3)*(1+(R$4-R$5)),((R72+($H73*R$3))*(1+(R$4-R$5)))))</f>
        <v/>
      </c>
      <c r="S73" s="7" t="str">
        <f t="shared" si="31"/>
        <v/>
      </c>
      <c r="T73" s="7" t="str">
        <f t="shared" si="31"/>
        <v/>
      </c>
      <c r="U73" s="8" t="str">
        <f t="shared" si="7"/>
        <v/>
      </c>
      <c r="V73" s="8" t="str">
        <f t="shared" si="7"/>
        <v/>
      </c>
      <c r="W73" s="7" t="str">
        <f t="shared" si="28"/>
        <v/>
      </c>
      <c r="X73" s="7" t="str">
        <f t="shared" si="28"/>
        <v/>
      </c>
      <c r="Y73" s="10" t="str">
        <f t="shared" si="3"/>
        <v/>
      </c>
      <c r="Z73" s="10" t="str">
        <f t="shared" si="8"/>
        <v/>
      </c>
      <c r="AA73" s="10" t="str">
        <f t="shared" si="9"/>
        <v/>
      </c>
      <c r="AB73" s="10" t="str">
        <f t="shared" si="10"/>
        <v/>
      </c>
      <c r="AC73" s="10" t="str">
        <f t="shared" si="11"/>
        <v/>
      </c>
      <c r="AD73" s="10" t="str">
        <f t="shared" si="12"/>
        <v/>
      </c>
      <c r="AE73" s="10" t="str">
        <f t="shared" si="29"/>
        <v/>
      </c>
      <c r="AF73" s="10" t="str">
        <f t="shared" si="29"/>
        <v/>
      </c>
      <c r="AG73" s="10" t="str">
        <f t="shared" si="13"/>
        <v/>
      </c>
      <c r="AH73" s="10" t="str">
        <f t="shared" si="30"/>
        <v/>
      </c>
      <c r="AI73" s="10" t="str">
        <f t="shared" si="30"/>
        <v/>
      </c>
      <c r="AJ73" s="10" t="str">
        <f t="shared" si="14"/>
        <v/>
      </c>
      <c r="AK73" s="10" t="str">
        <f t="shared" si="6"/>
        <v/>
      </c>
      <c r="AL73" s="10" t="str">
        <f t="shared" si="15"/>
        <v/>
      </c>
      <c r="AM73" s="10" t="str">
        <f t="shared" si="16"/>
        <v/>
      </c>
      <c r="AN73" s="10" t="str">
        <f t="shared" si="17"/>
        <v/>
      </c>
      <c r="AO73" s="10" t="str">
        <f t="shared" si="18"/>
        <v/>
      </c>
      <c r="AP73" s="10" t="str">
        <f t="shared" si="19"/>
        <v/>
      </c>
    </row>
    <row r="74" spans="7:42" x14ac:dyDescent="0.45">
      <c r="G74" s="1"/>
      <c r="H74" s="7" t="str">
        <f>IF(G74="","",SUMIFS(Add_Contributions[[#All],[Amount ($)]],Add_Contributions[[#All],[Year]],G74))</f>
        <v/>
      </c>
      <c r="I74" s="7" t="str">
        <f t="shared" ref="I74:S99" si="32">IF($G74="","",IF($G74=1,(($C$2+$H74)*I$3)*(1+(I$4-I$5)),((I73+($H74*I$3))*(1+(I$4-I$5)))))</f>
        <v/>
      </c>
      <c r="J74" s="7" t="str">
        <f t="shared" si="32"/>
        <v/>
      </c>
      <c r="K74" s="7" t="str">
        <f t="shared" si="32"/>
        <v/>
      </c>
      <c r="L74" s="7" t="str">
        <f t="shared" si="32"/>
        <v/>
      </c>
      <c r="M74" s="7" t="str">
        <f t="shared" si="32"/>
        <v/>
      </c>
      <c r="N74" s="7" t="str">
        <f t="shared" si="32"/>
        <v/>
      </c>
      <c r="O74" s="7" t="str">
        <f t="shared" si="32"/>
        <v/>
      </c>
      <c r="P74" s="7" t="str">
        <f t="shared" si="32"/>
        <v/>
      </c>
      <c r="Q74" s="7" t="str">
        <f t="shared" si="32"/>
        <v/>
      </c>
      <c r="R74" s="7" t="str">
        <f t="shared" si="31"/>
        <v/>
      </c>
      <c r="S74" s="7" t="str">
        <f t="shared" si="32"/>
        <v/>
      </c>
      <c r="T74" s="7" t="str">
        <f t="shared" si="31"/>
        <v/>
      </c>
      <c r="U74" s="8" t="str">
        <f t="shared" si="7"/>
        <v/>
      </c>
      <c r="V74" s="8" t="str">
        <f t="shared" si="7"/>
        <v/>
      </c>
      <c r="W74" s="7" t="str">
        <f t="shared" ref="W74:X89" si="33">IF($G74="","",IF($G74=1,(($C$2+$H74)*W$3)*(1+(W$4-W$5)),((W73+($H74*W$3))*(1+(W$4-W$5)))))</f>
        <v/>
      </c>
      <c r="X74" s="7" t="str">
        <f t="shared" si="33"/>
        <v/>
      </c>
      <c r="Y74" s="10" t="str">
        <f t="shared" ref="Y74:Y109" si="34">IF($G74="","",IF($G74=1,(U74-$C$2-H74)/($C$2+H74),(U74-U73-H74)/(U73+H74)))</f>
        <v/>
      </c>
      <c r="Z74" s="10" t="str">
        <f t="shared" si="8"/>
        <v/>
      </c>
      <c r="AA74" s="10" t="str">
        <f t="shared" si="9"/>
        <v/>
      </c>
      <c r="AB74" s="10" t="str">
        <f t="shared" si="10"/>
        <v/>
      </c>
      <c r="AC74" s="10" t="str">
        <f t="shared" si="11"/>
        <v/>
      </c>
      <c r="AD74" s="10" t="str">
        <f t="shared" si="12"/>
        <v/>
      </c>
      <c r="AE74" s="10" t="str">
        <f t="shared" ref="AE74:AF89" si="35">IF($G74="","",IF($G74=1,Y74,(1+Y74)*(1+AE73)-1))</f>
        <v/>
      </c>
      <c r="AF74" s="10" t="str">
        <f t="shared" si="35"/>
        <v/>
      </c>
      <c r="AG74" s="10" t="str">
        <f t="shared" si="13"/>
        <v/>
      </c>
      <c r="AH74" s="10" t="str">
        <f t="shared" ref="AH74:AI89" si="36">IF($G74="","",IF($G74=1,AB74,(1+AB74)*(1+AH73)-1))</f>
        <v/>
      </c>
      <c r="AI74" s="10" t="str">
        <f t="shared" si="36"/>
        <v/>
      </c>
      <c r="AJ74" s="10" t="str">
        <f t="shared" si="14"/>
        <v/>
      </c>
      <c r="AK74" s="10" t="str">
        <f t="shared" ref="AK74:AK109" si="37">IF($G74="","",(1+AE74)^(1/G74)-1)</f>
        <v/>
      </c>
      <c r="AL74" s="10" t="str">
        <f t="shared" si="15"/>
        <v/>
      </c>
      <c r="AM74" s="10" t="str">
        <f t="shared" si="16"/>
        <v/>
      </c>
      <c r="AN74" s="10" t="str">
        <f t="shared" si="17"/>
        <v/>
      </c>
      <c r="AO74" s="10" t="str">
        <f t="shared" si="18"/>
        <v/>
      </c>
      <c r="AP74" s="10" t="str">
        <f t="shared" si="19"/>
        <v/>
      </c>
    </row>
    <row r="75" spans="7:42" x14ac:dyDescent="0.45">
      <c r="G75" s="1"/>
      <c r="H75" s="7" t="str">
        <f>IF(G75="","",SUMIFS(Add_Contributions[[#All],[Amount ($)]],Add_Contributions[[#All],[Year]],G75))</f>
        <v/>
      </c>
      <c r="I75" s="7" t="str">
        <f t="shared" si="32"/>
        <v/>
      </c>
      <c r="J75" s="7" t="str">
        <f t="shared" si="32"/>
        <v/>
      </c>
      <c r="K75" s="7" t="str">
        <f t="shared" si="32"/>
        <v/>
      </c>
      <c r="L75" s="7" t="str">
        <f t="shared" si="32"/>
        <v/>
      </c>
      <c r="M75" s="7" t="str">
        <f t="shared" si="32"/>
        <v/>
      </c>
      <c r="N75" s="7" t="str">
        <f t="shared" si="32"/>
        <v/>
      </c>
      <c r="O75" s="7" t="str">
        <f t="shared" si="32"/>
        <v/>
      </c>
      <c r="P75" s="7" t="str">
        <f t="shared" si="32"/>
        <v/>
      </c>
      <c r="Q75" s="7" t="str">
        <f t="shared" si="32"/>
        <v/>
      </c>
      <c r="R75" s="7" t="str">
        <f t="shared" si="31"/>
        <v/>
      </c>
      <c r="S75" s="7" t="str">
        <f t="shared" si="32"/>
        <v/>
      </c>
      <c r="T75" s="7" t="str">
        <f t="shared" si="31"/>
        <v/>
      </c>
      <c r="U75" s="8" t="str">
        <f t="shared" ref="U75:V109" si="38">IF(G75="","",SUM(I75,K75,M75,O75,Q75,S75))</f>
        <v/>
      </c>
      <c r="V75" s="8" t="str">
        <f t="shared" si="38"/>
        <v/>
      </c>
      <c r="W75" s="7" t="str">
        <f t="shared" si="33"/>
        <v/>
      </c>
      <c r="X75" s="7" t="str">
        <f t="shared" si="33"/>
        <v/>
      </c>
      <c r="Y75" s="10" t="str">
        <f t="shared" si="34"/>
        <v/>
      </c>
      <c r="Z75" s="10" t="str">
        <f t="shared" ref="Z75:Z109" si="39">IF($G75="","",IF($G75=1,(V75-$C$2-H75)/($C$2+H75),(V75-V74-H75)/(V74+H75)))</f>
        <v/>
      </c>
      <c r="AA75" s="10" t="str">
        <f t="shared" ref="AA75:AA109" si="40">IF($G75="","",Z75-Y75)</f>
        <v/>
      </c>
      <c r="AB75" s="10" t="str">
        <f t="shared" ref="AB75:AB109" si="41">IF($G75="","",IF($G75=1,(W75-$C$2-H75)/($C$2+H75),(W75-W74-H75)/(W74+H75)))</f>
        <v/>
      </c>
      <c r="AC75" s="10" t="str">
        <f t="shared" ref="AC75:AC109" si="42">IF($G75="","",IF($G75=1,(X75-$C$2-H75)/($C$2+H75),(X75-X74-H75)/(X74+H75)))</f>
        <v/>
      </c>
      <c r="AD75" s="10" t="str">
        <f t="shared" ref="AD75:AD109" si="43">IF($G75="","",AC75-AB75)</f>
        <v/>
      </c>
      <c r="AE75" s="10" t="str">
        <f t="shared" si="35"/>
        <v/>
      </c>
      <c r="AF75" s="10" t="str">
        <f t="shared" si="35"/>
        <v/>
      </c>
      <c r="AG75" s="10" t="str">
        <f t="shared" ref="AG75:AG109" si="44">IF($G75="","",AF75-AE75)</f>
        <v/>
      </c>
      <c r="AH75" s="10" t="str">
        <f t="shared" si="36"/>
        <v/>
      </c>
      <c r="AI75" s="10" t="str">
        <f t="shared" si="36"/>
        <v/>
      </c>
      <c r="AJ75" s="10" t="str">
        <f t="shared" ref="AJ75:AJ109" si="45">IF($G75="","",AI75-AH75)</f>
        <v/>
      </c>
      <c r="AK75" s="10" t="str">
        <f t="shared" si="37"/>
        <v/>
      </c>
      <c r="AL75" s="10" t="str">
        <f t="shared" ref="AL75:AL109" si="46">IF($G75="","",(1+AF75)^(1/G75)-1)</f>
        <v/>
      </c>
      <c r="AM75" s="10" t="str">
        <f t="shared" ref="AM75:AM109" si="47">IF($G75="","",AL75-AK75)</f>
        <v/>
      </c>
      <c r="AN75" s="10" t="str">
        <f t="shared" ref="AN75:AN109" si="48">IF($G75="","",(1+AH75)^(1/G75)-1)</f>
        <v/>
      </c>
      <c r="AO75" s="10" t="str">
        <f t="shared" ref="AO75:AO109" si="49">IF($G75="","",(1+AI75)^(1/G75)-1)</f>
        <v/>
      </c>
      <c r="AP75" s="10" t="str">
        <f t="shared" ref="AP75:AP109" si="50">IF($G75="","",AO75-AN75)</f>
        <v/>
      </c>
    </row>
    <row r="76" spans="7:42" x14ac:dyDescent="0.45">
      <c r="G76" s="1"/>
      <c r="H76" s="7" t="str">
        <f>IF(G76="","",SUMIFS(Add_Contributions[[#All],[Amount ($)]],Add_Contributions[[#All],[Year]],G76))</f>
        <v/>
      </c>
      <c r="I76" s="7" t="str">
        <f t="shared" si="32"/>
        <v/>
      </c>
      <c r="J76" s="7" t="str">
        <f t="shared" si="32"/>
        <v/>
      </c>
      <c r="K76" s="7" t="str">
        <f t="shared" si="32"/>
        <v/>
      </c>
      <c r="L76" s="7" t="str">
        <f t="shared" si="32"/>
        <v/>
      </c>
      <c r="M76" s="7" t="str">
        <f t="shared" si="32"/>
        <v/>
      </c>
      <c r="N76" s="7" t="str">
        <f t="shared" si="32"/>
        <v/>
      </c>
      <c r="O76" s="7" t="str">
        <f t="shared" si="32"/>
        <v/>
      </c>
      <c r="P76" s="7" t="str">
        <f t="shared" si="32"/>
        <v/>
      </c>
      <c r="Q76" s="7" t="str">
        <f t="shared" si="32"/>
        <v/>
      </c>
      <c r="R76" s="7" t="str">
        <f t="shared" si="31"/>
        <v/>
      </c>
      <c r="S76" s="7" t="str">
        <f t="shared" si="32"/>
        <v/>
      </c>
      <c r="T76" s="7" t="str">
        <f t="shared" si="31"/>
        <v/>
      </c>
      <c r="U76" s="8" t="str">
        <f t="shared" si="38"/>
        <v/>
      </c>
      <c r="V76" s="8" t="str">
        <f t="shared" si="38"/>
        <v/>
      </c>
      <c r="W76" s="7" t="str">
        <f t="shared" si="33"/>
        <v/>
      </c>
      <c r="X76" s="7" t="str">
        <f t="shared" si="33"/>
        <v/>
      </c>
      <c r="Y76" s="10" t="str">
        <f t="shared" si="34"/>
        <v/>
      </c>
      <c r="Z76" s="10" t="str">
        <f t="shared" si="39"/>
        <v/>
      </c>
      <c r="AA76" s="10" t="str">
        <f t="shared" si="40"/>
        <v/>
      </c>
      <c r="AB76" s="10" t="str">
        <f t="shared" si="41"/>
        <v/>
      </c>
      <c r="AC76" s="10" t="str">
        <f t="shared" si="42"/>
        <v/>
      </c>
      <c r="AD76" s="10" t="str">
        <f t="shared" si="43"/>
        <v/>
      </c>
      <c r="AE76" s="10" t="str">
        <f t="shared" si="35"/>
        <v/>
      </c>
      <c r="AF76" s="10" t="str">
        <f t="shared" si="35"/>
        <v/>
      </c>
      <c r="AG76" s="10" t="str">
        <f t="shared" si="44"/>
        <v/>
      </c>
      <c r="AH76" s="10" t="str">
        <f t="shared" si="36"/>
        <v/>
      </c>
      <c r="AI76" s="10" t="str">
        <f t="shared" si="36"/>
        <v/>
      </c>
      <c r="AJ76" s="10" t="str">
        <f t="shared" si="45"/>
        <v/>
      </c>
      <c r="AK76" s="10" t="str">
        <f t="shared" si="37"/>
        <v/>
      </c>
      <c r="AL76" s="10" t="str">
        <f t="shared" si="46"/>
        <v/>
      </c>
      <c r="AM76" s="10" t="str">
        <f t="shared" si="47"/>
        <v/>
      </c>
      <c r="AN76" s="10" t="str">
        <f t="shared" si="48"/>
        <v/>
      </c>
      <c r="AO76" s="10" t="str">
        <f t="shared" si="49"/>
        <v/>
      </c>
      <c r="AP76" s="10" t="str">
        <f t="shared" si="50"/>
        <v/>
      </c>
    </row>
    <row r="77" spans="7:42" x14ac:dyDescent="0.45">
      <c r="G77" s="1"/>
      <c r="H77" s="7" t="str">
        <f>IF(G77="","",SUMIFS(Add_Contributions[[#All],[Amount ($)]],Add_Contributions[[#All],[Year]],G77))</f>
        <v/>
      </c>
      <c r="I77" s="7" t="str">
        <f t="shared" si="32"/>
        <v/>
      </c>
      <c r="J77" s="7" t="str">
        <f t="shared" si="32"/>
        <v/>
      </c>
      <c r="K77" s="7" t="str">
        <f t="shared" si="32"/>
        <v/>
      </c>
      <c r="L77" s="7" t="str">
        <f t="shared" si="32"/>
        <v/>
      </c>
      <c r="M77" s="7" t="str">
        <f t="shared" si="32"/>
        <v/>
      </c>
      <c r="N77" s="7" t="str">
        <f t="shared" si="32"/>
        <v/>
      </c>
      <c r="O77" s="7" t="str">
        <f t="shared" si="32"/>
        <v/>
      </c>
      <c r="P77" s="7" t="str">
        <f t="shared" si="32"/>
        <v/>
      </c>
      <c r="Q77" s="7" t="str">
        <f t="shared" si="32"/>
        <v/>
      </c>
      <c r="R77" s="7" t="str">
        <f t="shared" si="31"/>
        <v/>
      </c>
      <c r="S77" s="7" t="str">
        <f t="shared" si="32"/>
        <v/>
      </c>
      <c r="T77" s="7" t="str">
        <f t="shared" si="31"/>
        <v/>
      </c>
      <c r="U77" s="8" t="str">
        <f t="shared" si="38"/>
        <v/>
      </c>
      <c r="V77" s="8" t="str">
        <f t="shared" si="38"/>
        <v/>
      </c>
      <c r="W77" s="7" t="str">
        <f t="shared" si="33"/>
        <v/>
      </c>
      <c r="X77" s="7" t="str">
        <f t="shared" si="33"/>
        <v/>
      </c>
      <c r="Y77" s="10" t="str">
        <f t="shared" si="34"/>
        <v/>
      </c>
      <c r="Z77" s="10" t="str">
        <f t="shared" si="39"/>
        <v/>
      </c>
      <c r="AA77" s="10" t="str">
        <f t="shared" si="40"/>
        <v/>
      </c>
      <c r="AB77" s="10" t="str">
        <f t="shared" si="41"/>
        <v/>
      </c>
      <c r="AC77" s="10" t="str">
        <f t="shared" si="42"/>
        <v/>
      </c>
      <c r="AD77" s="10" t="str">
        <f t="shared" si="43"/>
        <v/>
      </c>
      <c r="AE77" s="10" t="str">
        <f t="shared" si="35"/>
        <v/>
      </c>
      <c r="AF77" s="10" t="str">
        <f t="shared" si="35"/>
        <v/>
      </c>
      <c r="AG77" s="10" t="str">
        <f t="shared" si="44"/>
        <v/>
      </c>
      <c r="AH77" s="10" t="str">
        <f t="shared" si="36"/>
        <v/>
      </c>
      <c r="AI77" s="10" t="str">
        <f t="shared" si="36"/>
        <v/>
      </c>
      <c r="AJ77" s="10" t="str">
        <f t="shared" si="45"/>
        <v/>
      </c>
      <c r="AK77" s="10" t="str">
        <f t="shared" si="37"/>
        <v/>
      </c>
      <c r="AL77" s="10" t="str">
        <f t="shared" si="46"/>
        <v/>
      </c>
      <c r="AM77" s="10" t="str">
        <f t="shared" si="47"/>
        <v/>
      </c>
      <c r="AN77" s="10" t="str">
        <f t="shared" si="48"/>
        <v/>
      </c>
      <c r="AO77" s="10" t="str">
        <f t="shared" si="49"/>
        <v/>
      </c>
      <c r="AP77" s="10" t="str">
        <f t="shared" si="50"/>
        <v/>
      </c>
    </row>
    <row r="78" spans="7:42" x14ac:dyDescent="0.45">
      <c r="G78" s="1"/>
      <c r="H78" s="7" t="str">
        <f>IF(G78="","",SUMIFS(Add_Contributions[[#All],[Amount ($)]],Add_Contributions[[#All],[Year]],G78))</f>
        <v/>
      </c>
      <c r="I78" s="7" t="str">
        <f t="shared" si="32"/>
        <v/>
      </c>
      <c r="J78" s="7" t="str">
        <f t="shared" si="32"/>
        <v/>
      </c>
      <c r="K78" s="7" t="str">
        <f t="shared" si="32"/>
        <v/>
      </c>
      <c r="L78" s="7" t="str">
        <f t="shared" si="32"/>
        <v/>
      </c>
      <c r="M78" s="7" t="str">
        <f t="shared" si="32"/>
        <v/>
      </c>
      <c r="N78" s="7" t="str">
        <f t="shared" si="32"/>
        <v/>
      </c>
      <c r="O78" s="7" t="str">
        <f t="shared" si="32"/>
        <v/>
      </c>
      <c r="P78" s="7" t="str">
        <f t="shared" si="32"/>
        <v/>
      </c>
      <c r="Q78" s="7" t="str">
        <f t="shared" si="32"/>
        <v/>
      </c>
      <c r="R78" s="7" t="str">
        <f t="shared" si="31"/>
        <v/>
      </c>
      <c r="S78" s="7" t="str">
        <f t="shared" si="32"/>
        <v/>
      </c>
      <c r="T78" s="7" t="str">
        <f t="shared" si="31"/>
        <v/>
      </c>
      <c r="U78" s="8" t="str">
        <f t="shared" si="38"/>
        <v/>
      </c>
      <c r="V78" s="8" t="str">
        <f t="shared" si="38"/>
        <v/>
      </c>
      <c r="W78" s="7" t="str">
        <f t="shared" si="33"/>
        <v/>
      </c>
      <c r="X78" s="7" t="str">
        <f t="shared" si="33"/>
        <v/>
      </c>
      <c r="Y78" s="10" t="str">
        <f t="shared" si="34"/>
        <v/>
      </c>
      <c r="Z78" s="10" t="str">
        <f t="shared" si="39"/>
        <v/>
      </c>
      <c r="AA78" s="10" t="str">
        <f t="shared" si="40"/>
        <v/>
      </c>
      <c r="AB78" s="10" t="str">
        <f t="shared" si="41"/>
        <v/>
      </c>
      <c r="AC78" s="10" t="str">
        <f t="shared" si="42"/>
        <v/>
      </c>
      <c r="AD78" s="10" t="str">
        <f t="shared" si="43"/>
        <v/>
      </c>
      <c r="AE78" s="10" t="str">
        <f t="shared" si="35"/>
        <v/>
      </c>
      <c r="AF78" s="10" t="str">
        <f t="shared" si="35"/>
        <v/>
      </c>
      <c r="AG78" s="10" t="str">
        <f t="shared" si="44"/>
        <v/>
      </c>
      <c r="AH78" s="10" t="str">
        <f t="shared" si="36"/>
        <v/>
      </c>
      <c r="AI78" s="10" t="str">
        <f t="shared" si="36"/>
        <v/>
      </c>
      <c r="AJ78" s="10" t="str">
        <f t="shared" si="45"/>
        <v/>
      </c>
      <c r="AK78" s="10" t="str">
        <f t="shared" si="37"/>
        <v/>
      </c>
      <c r="AL78" s="10" t="str">
        <f t="shared" si="46"/>
        <v/>
      </c>
      <c r="AM78" s="10" t="str">
        <f t="shared" si="47"/>
        <v/>
      </c>
      <c r="AN78" s="10" t="str">
        <f t="shared" si="48"/>
        <v/>
      </c>
      <c r="AO78" s="10" t="str">
        <f t="shared" si="49"/>
        <v/>
      </c>
      <c r="AP78" s="10" t="str">
        <f t="shared" si="50"/>
        <v/>
      </c>
    </row>
    <row r="79" spans="7:42" x14ac:dyDescent="0.45">
      <c r="G79" s="1"/>
      <c r="H79" s="7" t="str">
        <f>IF(G79="","",SUMIFS(Add_Contributions[[#All],[Amount ($)]],Add_Contributions[[#All],[Year]],G79))</f>
        <v/>
      </c>
      <c r="I79" s="7" t="str">
        <f t="shared" si="32"/>
        <v/>
      </c>
      <c r="J79" s="7" t="str">
        <f t="shared" si="32"/>
        <v/>
      </c>
      <c r="K79" s="7" t="str">
        <f t="shared" si="32"/>
        <v/>
      </c>
      <c r="L79" s="7" t="str">
        <f t="shared" si="32"/>
        <v/>
      </c>
      <c r="M79" s="7" t="str">
        <f t="shared" si="32"/>
        <v/>
      </c>
      <c r="N79" s="7" t="str">
        <f t="shared" si="32"/>
        <v/>
      </c>
      <c r="O79" s="7" t="str">
        <f t="shared" si="32"/>
        <v/>
      </c>
      <c r="P79" s="7" t="str">
        <f t="shared" si="32"/>
        <v/>
      </c>
      <c r="Q79" s="7" t="str">
        <f t="shared" si="32"/>
        <v/>
      </c>
      <c r="R79" s="7" t="str">
        <f t="shared" si="31"/>
        <v/>
      </c>
      <c r="S79" s="7" t="str">
        <f t="shared" si="32"/>
        <v/>
      </c>
      <c r="T79" s="7" t="str">
        <f t="shared" si="31"/>
        <v/>
      </c>
      <c r="U79" s="8" t="str">
        <f t="shared" si="38"/>
        <v/>
      </c>
      <c r="V79" s="8" t="str">
        <f t="shared" si="38"/>
        <v/>
      </c>
      <c r="W79" s="7" t="str">
        <f t="shared" si="33"/>
        <v/>
      </c>
      <c r="X79" s="7" t="str">
        <f t="shared" si="33"/>
        <v/>
      </c>
      <c r="Y79" s="10" t="str">
        <f t="shared" si="34"/>
        <v/>
      </c>
      <c r="Z79" s="10" t="str">
        <f t="shared" si="39"/>
        <v/>
      </c>
      <c r="AA79" s="10" t="str">
        <f t="shared" si="40"/>
        <v/>
      </c>
      <c r="AB79" s="10" t="str">
        <f t="shared" si="41"/>
        <v/>
      </c>
      <c r="AC79" s="10" t="str">
        <f t="shared" si="42"/>
        <v/>
      </c>
      <c r="AD79" s="10" t="str">
        <f t="shared" si="43"/>
        <v/>
      </c>
      <c r="AE79" s="10" t="str">
        <f t="shared" si="35"/>
        <v/>
      </c>
      <c r="AF79" s="10" t="str">
        <f t="shared" si="35"/>
        <v/>
      </c>
      <c r="AG79" s="10" t="str">
        <f t="shared" si="44"/>
        <v/>
      </c>
      <c r="AH79" s="10" t="str">
        <f t="shared" si="36"/>
        <v/>
      </c>
      <c r="AI79" s="10" t="str">
        <f t="shared" si="36"/>
        <v/>
      </c>
      <c r="AJ79" s="10" t="str">
        <f t="shared" si="45"/>
        <v/>
      </c>
      <c r="AK79" s="10" t="str">
        <f t="shared" si="37"/>
        <v/>
      </c>
      <c r="AL79" s="10" t="str">
        <f t="shared" si="46"/>
        <v/>
      </c>
      <c r="AM79" s="10" t="str">
        <f t="shared" si="47"/>
        <v/>
      </c>
      <c r="AN79" s="10" t="str">
        <f t="shared" si="48"/>
        <v/>
      </c>
      <c r="AO79" s="10" t="str">
        <f t="shared" si="49"/>
        <v/>
      </c>
      <c r="AP79" s="10" t="str">
        <f t="shared" si="50"/>
        <v/>
      </c>
    </row>
    <row r="80" spans="7:42" x14ac:dyDescent="0.45">
      <c r="G80" s="1"/>
      <c r="H80" s="7" t="str">
        <f>IF(G80="","",SUMIFS(Add_Contributions[[#All],[Amount ($)]],Add_Contributions[[#All],[Year]],G80))</f>
        <v/>
      </c>
      <c r="I80" s="7" t="str">
        <f t="shared" si="32"/>
        <v/>
      </c>
      <c r="J80" s="7" t="str">
        <f t="shared" si="32"/>
        <v/>
      </c>
      <c r="K80" s="7" t="str">
        <f t="shared" si="32"/>
        <v/>
      </c>
      <c r="L80" s="7" t="str">
        <f t="shared" si="32"/>
        <v/>
      </c>
      <c r="M80" s="7" t="str">
        <f t="shared" si="32"/>
        <v/>
      </c>
      <c r="N80" s="7" t="str">
        <f t="shared" si="32"/>
        <v/>
      </c>
      <c r="O80" s="7" t="str">
        <f t="shared" si="32"/>
        <v/>
      </c>
      <c r="P80" s="7" t="str">
        <f t="shared" si="32"/>
        <v/>
      </c>
      <c r="Q80" s="7" t="str">
        <f t="shared" si="32"/>
        <v/>
      </c>
      <c r="R80" s="7" t="str">
        <f t="shared" si="31"/>
        <v/>
      </c>
      <c r="S80" s="7" t="str">
        <f t="shared" si="32"/>
        <v/>
      </c>
      <c r="T80" s="7" t="str">
        <f t="shared" si="31"/>
        <v/>
      </c>
      <c r="U80" s="8" t="str">
        <f t="shared" si="38"/>
        <v/>
      </c>
      <c r="V80" s="8" t="str">
        <f t="shared" si="38"/>
        <v/>
      </c>
      <c r="W80" s="7" t="str">
        <f t="shared" si="33"/>
        <v/>
      </c>
      <c r="X80" s="7" t="str">
        <f t="shared" si="33"/>
        <v/>
      </c>
      <c r="Y80" s="10" t="str">
        <f t="shared" si="34"/>
        <v/>
      </c>
      <c r="Z80" s="10" t="str">
        <f t="shared" si="39"/>
        <v/>
      </c>
      <c r="AA80" s="10" t="str">
        <f t="shared" si="40"/>
        <v/>
      </c>
      <c r="AB80" s="10" t="str">
        <f t="shared" si="41"/>
        <v/>
      </c>
      <c r="AC80" s="10" t="str">
        <f t="shared" si="42"/>
        <v/>
      </c>
      <c r="AD80" s="10" t="str">
        <f t="shared" si="43"/>
        <v/>
      </c>
      <c r="AE80" s="10" t="str">
        <f t="shared" si="35"/>
        <v/>
      </c>
      <c r="AF80" s="10" t="str">
        <f t="shared" si="35"/>
        <v/>
      </c>
      <c r="AG80" s="10" t="str">
        <f t="shared" si="44"/>
        <v/>
      </c>
      <c r="AH80" s="10" t="str">
        <f t="shared" si="36"/>
        <v/>
      </c>
      <c r="AI80" s="10" t="str">
        <f t="shared" si="36"/>
        <v/>
      </c>
      <c r="AJ80" s="10" t="str">
        <f t="shared" si="45"/>
        <v/>
      </c>
      <c r="AK80" s="10" t="str">
        <f t="shared" si="37"/>
        <v/>
      </c>
      <c r="AL80" s="10" t="str">
        <f t="shared" si="46"/>
        <v/>
      </c>
      <c r="AM80" s="10" t="str">
        <f t="shared" si="47"/>
        <v/>
      </c>
      <c r="AN80" s="10" t="str">
        <f t="shared" si="48"/>
        <v/>
      </c>
      <c r="AO80" s="10" t="str">
        <f t="shared" si="49"/>
        <v/>
      </c>
      <c r="AP80" s="10" t="str">
        <f t="shared" si="50"/>
        <v/>
      </c>
    </row>
    <row r="81" spans="7:42" x14ac:dyDescent="0.45">
      <c r="G81" s="1"/>
      <c r="H81" s="7" t="str">
        <f>IF(G81="","",SUMIFS(Add_Contributions[[#All],[Amount ($)]],Add_Contributions[[#All],[Year]],G81))</f>
        <v/>
      </c>
      <c r="I81" s="7" t="str">
        <f t="shared" si="32"/>
        <v/>
      </c>
      <c r="J81" s="7" t="str">
        <f t="shared" si="32"/>
        <v/>
      </c>
      <c r="K81" s="7" t="str">
        <f t="shared" si="32"/>
        <v/>
      </c>
      <c r="L81" s="7" t="str">
        <f t="shared" si="32"/>
        <v/>
      </c>
      <c r="M81" s="7" t="str">
        <f t="shared" si="32"/>
        <v/>
      </c>
      <c r="N81" s="7" t="str">
        <f t="shared" si="32"/>
        <v/>
      </c>
      <c r="O81" s="7" t="str">
        <f t="shared" si="32"/>
        <v/>
      </c>
      <c r="P81" s="7" t="str">
        <f t="shared" si="32"/>
        <v/>
      </c>
      <c r="Q81" s="7" t="str">
        <f t="shared" si="32"/>
        <v/>
      </c>
      <c r="R81" s="7" t="str">
        <f t="shared" si="31"/>
        <v/>
      </c>
      <c r="S81" s="7" t="str">
        <f t="shared" si="32"/>
        <v/>
      </c>
      <c r="T81" s="7" t="str">
        <f t="shared" si="31"/>
        <v/>
      </c>
      <c r="U81" s="8" t="str">
        <f t="shared" si="38"/>
        <v/>
      </c>
      <c r="V81" s="8" t="str">
        <f t="shared" si="38"/>
        <v/>
      </c>
      <c r="W81" s="7" t="str">
        <f t="shared" si="33"/>
        <v/>
      </c>
      <c r="X81" s="7" t="str">
        <f t="shared" si="33"/>
        <v/>
      </c>
      <c r="Y81" s="10" t="str">
        <f t="shared" si="34"/>
        <v/>
      </c>
      <c r="Z81" s="10" t="str">
        <f t="shared" si="39"/>
        <v/>
      </c>
      <c r="AA81" s="10" t="str">
        <f t="shared" si="40"/>
        <v/>
      </c>
      <c r="AB81" s="10" t="str">
        <f t="shared" si="41"/>
        <v/>
      </c>
      <c r="AC81" s="10" t="str">
        <f t="shared" si="42"/>
        <v/>
      </c>
      <c r="AD81" s="10" t="str">
        <f t="shared" si="43"/>
        <v/>
      </c>
      <c r="AE81" s="10" t="str">
        <f t="shared" si="35"/>
        <v/>
      </c>
      <c r="AF81" s="10" t="str">
        <f t="shared" si="35"/>
        <v/>
      </c>
      <c r="AG81" s="10" t="str">
        <f t="shared" si="44"/>
        <v/>
      </c>
      <c r="AH81" s="10" t="str">
        <f t="shared" si="36"/>
        <v/>
      </c>
      <c r="AI81" s="10" t="str">
        <f t="shared" si="36"/>
        <v/>
      </c>
      <c r="AJ81" s="10" t="str">
        <f t="shared" si="45"/>
        <v/>
      </c>
      <c r="AK81" s="10" t="str">
        <f t="shared" si="37"/>
        <v/>
      </c>
      <c r="AL81" s="10" t="str">
        <f t="shared" si="46"/>
        <v/>
      </c>
      <c r="AM81" s="10" t="str">
        <f t="shared" si="47"/>
        <v/>
      </c>
      <c r="AN81" s="10" t="str">
        <f t="shared" si="48"/>
        <v/>
      </c>
      <c r="AO81" s="10" t="str">
        <f t="shared" si="49"/>
        <v/>
      </c>
      <c r="AP81" s="10" t="str">
        <f t="shared" si="50"/>
        <v/>
      </c>
    </row>
    <row r="82" spans="7:42" x14ac:dyDescent="0.45">
      <c r="G82" s="1"/>
      <c r="H82" s="7" t="str">
        <f>IF(G82="","",SUMIFS(Add_Contributions[[#All],[Amount ($)]],Add_Contributions[[#All],[Year]],G82))</f>
        <v/>
      </c>
      <c r="I82" s="7" t="str">
        <f t="shared" si="32"/>
        <v/>
      </c>
      <c r="J82" s="7" t="str">
        <f t="shared" si="32"/>
        <v/>
      </c>
      <c r="K82" s="7" t="str">
        <f t="shared" si="32"/>
        <v/>
      </c>
      <c r="L82" s="7" t="str">
        <f t="shared" si="32"/>
        <v/>
      </c>
      <c r="M82" s="7" t="str">
        <f t="shared" si="32"/>
        <v/>
      </c>
      <c r="N82" s="7" t="str">
        <f t="shared" si="32"/>
        <v/>
      </c>
      <c r="O82" s="7" t="str">
        <f t="shared" si="32"/>
        <v/>
      </c>
      <c r="P82" s="7" t="str">
        <f t="shared" si="32"/>
        <v/>
      </c>
      <c r="Q82" s="7" t="str">
        <f t="shared" si="32"/>
        <v/>
      </c>
      <c r="R82" s="7" t="str">
        <f t="shared" si="31"/>
        <v/>
      </c>
      <c r="S82" s="7" t="str">
        <f t="shared" si="32"/>
        <v/>
      </c>
      <c r="T82" s="7" t="str">
        <f t="shared" si="31"/>
        <v/>
      </c>
      <c r="U82" s="8" t="str">
        <f t="shared" si="38"/>
        <v/>
      </c>
      <c r="V82" s="8" t="str">
        <f t="shared" si="38"/>
        <v/>
      </c>
      <c r="W82" s="7" t="str">
        <f t="shared" si="33"/>
        <v/>
      </c>
      <c r="X82" s="7" t="str">
        <f t="shared" si="33"/>
        <v/>
      </c>
      <c r="Y82" s="10" t="str">
        <f t="shared" si="34"/>
        <v/>
      </c>
      <c r="Z82" s="10" t="str">
        <f t="shared" si="39"/>
        <v/>
      </c>
      <c r="AA82" s="10" t="str">
        <f t="shared" si="40"/>
        <v/>
      </c>
      <c r="AB82" s="10" t="str">
        <f t="shared" si="41"/>
        <v/>
      </c>
      <c r="AC82" s="10" t="str">
        <f t="shared" si="42"/>
        <v/>
      </c>
      <c r="AD82" s="10" t="str">
        <f t="shared" si="43"/>
        <v/>
      </c>
      <c r="AE82" s="10" t="str">
        <f t="shared" si="35"/>
        <v/>
      </c>
      <c r="AF82" s="10" t="str">
        <f t="shared" si="35"/>
        <v/>
      </c>
      <c r="AG82" s="10" t="str">
        <f t="shared" si="44"/>
        <v/>
      </c>
      <c r="AH82" s="10" t="str">
        <f t="shared" si="36"/>
        <v/>
      </c>
      <c r="AI82" s="10" t="str">
        <f t="shared" si="36"/>
        <v/>
      </c>
      <c r="AJ82" s="10" t="str">
        <f t="shared" si="45"/>
        <v/>
      </c>
      <c r="AK82" s="10" t="str">
        <f t="shared" si="37"/>
        <v/>
      </c>
      <c r="AL82" s="10" t="str">
        <f t="shared" si="46"/>
        <v/>
      </c>
      <c r="AM82" s="10" t="str">
        <f t="shared" si="47"/>
        <v/>
      </c>
      <c r="AN82" s="10" t="str">
        <f t="shared" si="48"/>
        <v/>
      </c>
      <c r="AO82" s="10" t="str">
        <f t="shared" si="49"/>
        <v/>
      </c>
      <c r="AP82" s="10" t="str">
        <f t="shared" si="50"/>
        <v/>
      </c>
    </row>
    <row r="83" spans="7:42" x14ac:dyDescent="0.45">
      <c r="G83" s="1"/>
      <c r="H83" s="7" t="str">
        <f>IF(G83="","",SUMIFS(Add_Contributions[[#All],[Amount ($)]],Add_Contributions[[#All],[Year]],G83))</f>
        <v/>
      </c>
      <c r="I83" s="7" t="str">
        <f t="shared" si="32"/>
        <v/>
      </c>
      <c r="J83" s="7" t="str">
        <f t="shared" si="32"/>
        <v/>
      </c>
      <c r="K83" s="7" t="str">
        <f t="shared" si="32"/>
        <v/>
      </c>
      <c r="L83" s="7" t="str">
        <f t="shared" si="32"/>
        <v/>
      </c>
      <c r="M83" s="7" t="str">
        <f t="shared" si="32"/>
        <v/>
      </c>
      <c r="N83" s="7" t="str">
        <f t="shared" si="32"/>
        <v/>
      </c>
      <c r="O83" s="7" t="str">
        <f t="shared" si="32"/>
        <v/>
      </c>
      <c r="P83" s="7" t="str">
        <f t="shared" si="32"/>
        <v/>
      </c>
      <c r="Q83" s="7" t="str">
        <f t="shared" si="32"/>
        <v/>
      </c>
      <c r="R83" s="7" t="str">
        <f t="shared" si="31"/>
        <v/>
      </c>
      <c r="S83" s="7" t="str">
        <f t="shared" si="32"/>
        <v/>
      </c>
      <c r="T83" s="7" t="str">
        <f t="shared" si="31"/>
        <v/>
      </c>
      <c r="U83" s="8" t="str">
        <f t="shared" si="38"/>
        <v/>
      </c>
      <c r="V83" s="8" t="str">
        <f t="shared" si="38"/>
        <v/>
      </c>
      <c r="W83" s="7" t="str">
        <f t="shared" si="33"/>
        <v/>
      </c>
      <c r="X83" s="7" t="str">
        <f t="shared" si="33"/>
        <v/>
      </c>
      <c r="Y83" s="10" t="str">
        <f t="shared" si="34"/>
        <v/>
      </c>
      <c r="Z83" s="10" t="str">
        <f t="shared" si="39"/>
        <v/>
      </c>
      <c r="AA83" s="10" t="str">
        <f t="shared" si="40"/>
        <v/>
      </c>
      <c r="AB83" s="10" t="str">
        <f t="shared" si="41"/>
        <v/>
      </c>
      <c r="AC83" s="10" t="str">
        <f t="shared" si="42"/>
        <v/>
      </c>
      <c r="AD83" s="10" t="str">
        <f t="shared" si="43"/>
        <v/>
      </c>
      <c r="AE83" s="10" t="str">
        <f t="shared" si="35"/>
        <v/>
      </c>
      <c r="AF83" s="10" t="str">
        <f t="shared" si="35"/>
        <v/>
      </c>
      <c r="AG83" s="10" t="str">
        <f t="shared" si="44"/>
        <v/>
      </c>
      <c r="AH83" s="10" t="str">
        <f t="shared" si="36"/>
        <v/>
      </c>
      <c r="AI83" s="10" t="str">
        <f t="shared" si="36"/>
        <v/>
      </c>
      <c r="AJ83" s="10" t="str">
        <f t="shared" si="45"/>
        <v/>
      </c>
      <c r="AK83" s="10" t="str">
        <f t="shared" si="37"/>
        <v/>
      </c>
      <c r="AL83" s="10" t="str">
        <f t="shared" si="46"/>
        <v/>
      </c>
      <c r="AM83" s="10" t="str">
        <f t="shared" si="47"/>
        <v/>
      </c>
      <c r="AN83" s="10" t="str">
        <f t="shared" si="48"/>
        <v/>
      </c>
      <c r="AO83" s="10" t="str">
        <f t="shared" si="49"/>
        <v/>
      </c>
      <c r="AP83" s="10" t="str">
        <f t="shared" si="50"/>
        <v/>
      </c>
    </row>
    <row r="84" spans="7:42" x14ac:dyDescent="0.45">
      <c r="G84" s="1"/>
      <c r="H84" s="7" t="str">
        <f>IF(G84="","",SUMIFS(Add_Contributions[[#All],[Amount ($)]],Add_Contributions[[#All],[Year]],G84))</f>
        <v/>
      </c>
      <c r="I84" s="7" t="str">
        <f t="shared" si="32"/>
        <v/>
      </c>
      <c r="J84" s="7" t="str">
        <f t="shared" si="32"/>
        <v/>
      </c>
      <c r="K84" s="7" t="str">
        <f t="shared" si="32"/>
        <v/>
      </c>
      <c r="L84" s="7" t="str">
        <f t="shared" si="32"/>
        <v/>
      </c>
      <c r="M84" s="7" t="str">
        <f t="shared" si="32"/>
        <v/>
      </c>
      <c r="N84" s="7" t="str">
        <f t="shared" si="32"/>
        <v/>
      </c>
      <c r="O84" s="7" t="str">
        <f t="shared" si="32"/>
        <v/>
      </c>
      <c r="P84" s="7" t="str">
        <f t="shared" si="32"/>
        <v/>
      </c>
      <c r="Q84" s="7" t="str">
        <f t="shared" si="32"/>
        <v/>
      </c>
      <c r="R84" s="7" t="str">
        <f t="shared" si="31"/>
        <v/>
      </c>
      <c r="S84" s="7" t="str">
        <f t="shared" si="32"/>
        <v/>
      </c>
      <c r="T84" s="7" t="str">
        <f t="shared" si="31"/>
        <v/>
      </c>
      <c r="U84" s="8" t="str">
        <f t="shared" si="38"/>
        <v/>
      </c>
      <c r="V84" s="8" t="str">
        <f t="shared" si="38"/>
        <v/>
      </c>
      <c r="W84" s="7" t="str">
        <f t="shared" si="33"/>
        <v/>
      </c>
      <c r="X84" s="7" t="str">
        <f t="shared" si="33"/>
        <v/>
      </c>
      <c r="Y84" s="10" t="str">
        <f t="shared" si="34"/>
        <v/>
      </c>
      <c r="Z84" s="10" t="str">
        <f t="shared" si="39"/>
        <v/>
      </c>
      <c r="AA84" s="10" t="str">
        <f t="shared" si="40"/>
        <v/>
      </c>
      <c r="AB84" s="10" t="str">
        <f t="shared" si="41"/>
        <v/>
      </c>
      <c r="AC84" s="10" t="str">
        <f t="shared" si="42"/>
        <v/>
      </c>
      <c r="AD84" s="10" t="str">
        <f t="shared" si="43"/>
        <v/>
      </c>
      <c r="AE84" s="10" t="str">
        <f t="shared" si="35"/>
        <v/>
      </c>
      <c r="AF84" s="10" t="str">
        <f t="shared" si="35"/>
        <v/>
      </c>
      <c r="AG84" s="10" t="str">
        <f t="shared" si="44"/>
        <v/>
      </c>
      <c r="AH84" s="10" t="str">
        <f t="shared" si="36"/>
        <v/>
      </c>
      <c r="AI84" s="10" t="str">
        <f t="shared" si="36"/>
        <v/>
      </c>
      <c r="AJ84" s="10" t="str">
        <f t="shared" si="45"/>
        <v/>
      </c>
      <c r="AK84" s="10" t="str">
        <f t="shared" si="37"/>
        <v/>
      </c>
      <c r="AL84" s="10" t="str">
        <f t="shared" si="46"/>
        <v/>
      </c>
      <c r="AM84" s="10" t="str">
        <f t="shared" si="47"/>
        <v/>
      </c>
      <c r="AN84" s="10" t="str">
        <f t="shared" si="48"/>
        <v/>
      </c>
      <c r="AO84" s="10" t="str">
        <f t="shared" si="49"/>
        <v/>
      </c>
      <c r="AP84" s="10" t="str">
        <f t="shared" si="50"/>
        <v/>
      </c>
    </row>
    <row r="85" spans="7:42" x14ac:dyDescent="0.45">
      <c r="G85" s="1"/>
      <c r="H85" s="7" t="str">
        <f>IF(G85="","",SUMIFS(Add_Contributions[[#All],[Amount ($)]],Add_Contributions[[#All],[Year]],G85))</f>
        <v/>
      </c>
      <c r="I85" s="7" t="str">
        <f t="shared" si="32"/>
        <v/>
      </c>
      <c r="J85" s="7" t="str">
        <f t="shared" si="32"/>
        <v/>
      </c>
      <c r="K85" s="7" t="str">
        <f t="shared" si="32"/>
        <v/>
      </c>
      <c r="L85" s="7" t="str">
        <f t="shared" si="32"/>
        <v/>
      </c>
      <c r="M85" s="7" t="str">
        <f t="shared" si="32"/>
        <v/>
      </c>
      <c r="N85" s="7" t="str">
        <f t="shared" si="32"/>
        <v/>
      </c>
      <c r="O85" s="7" t="str">
        <f t="shared" si="32"/>
        <v/>
      </c>
      <c r="P85" s="7" t="str">
        <f t="shared" si="32"/>
        <v/>
      </c>
      <c r="Q85" s="7" t="str">
        <f t="shared" si="32"/>
        <v/>
      </c>
      <c r="R85" s="7" t="str">
        <f t="shared" si="31"/>
        <v/>
      </c>
      <c r="S85" s="7" t="str">
        <f t="shared" si="32"/>
        <v/>
      </c>
      <c r="T85" s="7" t="str">
        <f t="shared" si="31"/>
        <v/>
      </c>
      <c r="U85" s="8" t="str">
        <f t="shared" si="38"/>
        <v/>
      </c>
      <c r="V85" s="8" t="str">
        <f t="shared" si="38"/>
        <v/>
      </c>
      <c r="W85" s="7" t="str">
        <f t="shared" si="33"/>
        <v/>
      </c>
      <c r="X85" s="7" t="str">
        <f t="shared" si="33"/>
        <v/>
      </c>
      <c r="Y85" s="10" t="str">
        <f t="shared" si="34"/>
        <v/>
      </c>
      <c r="Z85" s="10" t="str">
        <f t="shared" si="39"/>
        <v/>
      </c>
      <c r="AA85" s="10" t="str">
        <f t="shared" si="40"/>
        <v/>
      </c>
      <c r="AB85" s="10" t="str">
        <f t="shared" si="41"/>
        <v/>
      </c>
      <c r="AC85" s="10" t="str">
        <f t="shared" si="42"/>
        <v/>
      </c>
      <c r="AD85" s="10" t="str">
        <f t="shared" si="43"/>
        <v/>
      </c>
      <c r="AE85" s="10" t="str">
        <f t="shared" si="35"/>
        <v/>
      </c>
      <c r="AF85" s="10" t="str">
        <f t="shared" si="35"/>
        <v/>
      </c>
      <c r="AG85" s="10" t="str">
        <f t="shared" si="44"/>
        <v/>
      </c>
      <c r="AH85" s="10" t="str">
        <f t="shared" si="36"/>
        <v/>
      </c>
      <c r="AI85" s="10" t="str">
        <f t="shared" si="36"/>
        <v/>
      </c>
      <c r="AJ85" s="10" t="str">
        <f t="shared" si="45"/>
        <v/>
      </c>
      <c r="AK85" s="10" t="str">
        <f t="shared" si="37"/>
        <v/>
      </c>
      <c r="AL85" s="10" t="str">
        <f t="shared" si="46"/>
        <v/>
      </c>
      <c r="AM85" s="10" t="str">
        <f t="shared" si="47"/>
        <v/>
      </c>
      <c r="AN85" s="10" t="str">
        <f t="shared" si="48"/>
        <v/>
      </c>
      <c r="AO85" s="10" t="str">
        <f t="shared" si="49"/>
        <v/>
      </c>
      <c r="AP85" s="10" t="str">
        <f t="shared" si="50"/>
        <v/>
      </c>
    </row>
    <row r="86" spans="7:42" x14ac:dyDescent="0.45">
      <c r="G86" s="1"/>
      <c r="H86" s="7" t="str">
        <f>IF(G86="","",SUMIFS(Add_Contributions[[#All],[Amount ($)]],Add_Contributions[[#All],[Year]],G86))</f>
        <v/>
      </c>
      <c r="I86" s="7" t="str">
        <f t="shared" si="32"/>
        <v/>
      </c>
      <c r="J86" s="7" t="str">
        <f t="shared" si="32"/>
        <v/>
      </c>
      <c r="K86" s="7" t="str">
        <f t="shared" si="32"/>
        <v/>
      </c>
      <c r="L86" s="7" t="str">
        <f t="shared" si="32"/>
        <v/>
      </c>
      <c r="M86" s="7" t="str">
        <f t="shared" si="32"/>
        <v/>
      </c>
      <c r="N86" s="7" t="str">
        <f t="shared" si="32"/>
        <v/>
      </c>
      <c r="O86" s="7" t="str">
        <f t="shared" si="32"/>
        <v/>
      </c>
      <c r="P86" s="7" t="str">
        <f t="shared" si="32"/>
        <v/>
      </c>
      <c r="Q86" s="7" t="str">
        <f t="shared" si="32"/>
        <v/>
      </c>
      <c r="R86" s="7" t="str">
        <f t="shared" si="31"/>
        <v/>
      </c>
      <c r="S86" s="7" t="str">
        <f t="shared" si="32"/>
        <v/>
      </c>
      <c r="T86" s="7" t="str">
        <f t="shared" si="31"/>
        <v/>
      </c>
      <c r="U86" s="8" t="str">
        <f t="shared" si="38"/>
        <v/>
      </c>
      <c r="V86" s="8" t="str">
        <f t="shared" si="38"/>
        <v/>
      </c>
      <c r="W86" s="7" t="str">
        <f t="shared" si="33"/>
        <v/>
      </c>
      <c r="X86" s="7" t="str">
        <f t="shared" si="33"/>
        <v/>
      </c>
      <c r="Y86" s="10" t="str">
        <f t="shared" si="34"/>
        <v/>
      </c>
      <c r="Z86" s="10" t="str">
        <f t="shared" si="39"/>
        <v/>
      </c>
      <c r="AA86" s="10" t="str">
        <f t="shared" si="40"/>
        <v/>
      </c>
      <c r="AB86" s="10" t="str">
        <f t="shared" si="41"/>
        <v/>
      </c>
      <c r="AC86" s="10" t="str">
        <f t="shared" si="42"/>
        <v/>
      </c>
      <c r="AD86" s="10" t="str">
        <f t="shared" si="43"/>
        <v/>
      </c>
      <c r="AE86" s="10" t="str">
        <f t="shared" si="35"/>
        <v/>
      </c>
      <c r="AF86" s="10" t="str">
        <f t="shared" si="35"/>
        <v/>
      </c>
      <c r="AG86" s="10" t="str">
        <f t="shared" si="44"/>
        <v/>
      </c>
      <c r="AH86" s="10" t="str">
        <f t="shared" si="36"/>
        <v/>
      </c>
      <c r="AI86" s="10" t="str">
        <f t="shared" si="36"/>
        <v/>
      </c>
      <c r="AJ86" s="10" t="str">
        <f t="shared" si="45"/>
        <v/>
      </c>
      <c r="AK86" s="10" t="str">
        <f t="shared" si="37"/>
        <v/>
      </c>
      <c r="AL86" s="10" t="str">
        <f t="shared" si="46"/>
        <v/>
      </c>
      <c r="AM86" s="10" t="str">
        <f t="shared" si="47"/>
        <v/>
      </c>
      <c r="AN86" s="10" t="str">
        <f t="shared" si="48"/>
        <v/>
      </c>
      <c r="AO86" s="10" t="str">
        <f t="shared" si="49"/>
        <v/>
      </c>
      <c r="AP86" s="10" t="str">
        <f t="shared" si="50"/>
        <v/>
      </c>
    </row>
    <row r="87" spans="7:42" x14ac:dyDescent="0.45">
      <c r="G87" s="1"/>
      <c r="H87" s="7" t="str">
        <f>IF(G87="","",SUMIFS(Add_Contributions[[#All],[Amount ($)]],Add_Contributions[[#All],[Year]],G87))</f>
        <v/>
      </c>
      <c r="I87" s="7" t="str">
        <f t="shared" si="32"/>
        <v/>
      </c>
      <c r="J87" s="7" t="str">
        <f t="shared" si="32"/>
        <v/>
      </c>
      <c r="K87" s="7" t="str">
        <f t="shared" si="32"/>
        <v/>
      </c>
      <c r="L87" s="7" t="str">
        <f t="shared" si="32"/>
        <v/>
      </c>
      <c r="M87" s="7" t="str">
        <f t="shared" si="32"/>
        <v/>
      </c>
      <c r="N87" s="7" t="str">
        <f t="shared" si="32"/>
        <v/>
      </c>
      <c r="O87" s="7" t="str">
        <f t="shared" si="32"/>
        <v/>
      </c>
      <c r="P87" s="7" t="str">
        <f t="shared" si="32"/>
        <v/>
      </c>
      <c r="Q87" s="7" t="str">
        <f t="shared" si="32"/>
        <v/>
      </c>
      <c r="R87" s="7" t="str">
        <f t="shared" si="31"/>
        <v/>
      </c>
      <c r="S87" s="7" t="str">
        <f t="shared" si="32"/>
        <v/>
      </c>
      <c r="T87" s="7" t="str">
        <f t="shared" si="31"/>
        <v/>
      </c>
      <c r="U87" s="8" t="str">
        <f t="shared" si="38"/>
        <v/>
      </c>
      <c r="V87" s="8" t="str">
        <f t="shared" si="38"/>
        <v/>
      </c>
      <c r="W87" s="7" t="str">
        <f t="shared" si="33"/>
        <v/>
      </c>
      <c r="X87" s="7" t="str">
        <f t="shared" si="33"/>
        <v/>
      </c>
      <c r="Y87" s="10" t="str">
        <f t="shared" si="34"/>
        <v/>
      </c>
      <c r="Z87" s="10" t="str">
        <f t="shared" si="39"/>
        <v/>
      </c>
      <c r="AA87" s="10" t="str">
        <f t="shared" si="40"/>
        <v/>
      </c>
      <c r="AB87" s="10" t="str">
        <f t="shared" si="41"/>
        <v/>
      </c>
      <c r="AC87" s="10" t="str">
        <f t="shared" si="42"/>
        <v/>
      </c>
      <c r="AD87" s="10" t="str">
        <f t="shared" si="43"/>
        <v/>
      </c>
      <c r="AE87" s="10" t="str">
        <f t="shared" si="35"/>
        <v/>
      </c>
      <c r="AF87" s="10" t="str">
        <f t="shared" si="35"/>
        <v/>
      </c>
      <c r="AG87" s="10" t="str">
        <f t="shared" si="44"/>
        <v/>
      </c>
      <c r="AH87" s="10" t="str">
        <f t="shared" si="36"/>
        <v/>
      </c>
      <c r="AI87" s="10" t="str">
        <f t="shared" si="36"/>
        <v/>
      </c>
      <c r="AJ87" s="10" t="str">
        <f t="shared" si="45"/>
        <v/>
      </c>
      <c r="AK87" s="10" t="str">
        <f t="shared" si="37"/>
        <v/>
      </c>
      <c r="AL87" s="10" t="str">
        <f t="shared" si="46"/>
        <v/>
      </c>
      <c r="AM87" s="10" t="str">
        <f t="shared" si="47"/>
        <v/>
      </c>
      <c r="AN87" s="10" t="str">
        <f t="shared" si="48"/>
        <v/>
      </c>
      <c r="AO87" s="10" t="str">
        <f t="shared" si="49"/>
        <v/>
      </c>
      <c r="AP87" s="10" t="str">
        <f t="shared" si="50"/>
        <v/>
      </c>
    </row>
    <row r="88" spans="7:42" x14ac:dyDescent="0.45">
      <c r="G88" s="1"/>
      <c r="H88" s="7" t="str">
        <f>IF(G88="","",SUMIFS(Add_Contributions[[#All],[Amount ($)]],Add_Contributions[[#All],[Year]],G88))</f>
        <v/>
      </c>
      <c r="I88" s="7" t="str">
        <f t="shared" si="32"/>
        <v/>
      </c>
      <c r="J88" s="7" t="str">
        <f t="shared" si="32"/>
        <v/>
      </c>
      <c r="K88" s="7" t="str">
        <f t="shared" si="32"/>
        <v/>
      </c>
      <c r="L88" s="7" t="str">
        <f t="shared" si="32"/>
        <v/>
      </c>
      <c r="M88" s="7" t="str">
        <f t="shared" si="32"/>
        <v/>
      </c>
      <c r="N88" s="7" t="str">
        <f t="shared" si="32"/>
        <v/>
      </c>
      <c r="O88" s="7" t="str">
        <f t="shared" si="32"/>
        <v/>
      </c>
      <c r="P88" s="7" t="str">
        <f t="shared" si="32"/>
        <v/>
      </c>
      <c r="Q88" s="7" t="str">
        <f t="shared" si="32"/>
        <v/>
      </c>
      <c r="R88" s="7" t="str">
        <f t="shared" si="31"/>
        <v/>
      </c>
      <c r="S88" s="7" t="str">
        <f t="shared" si="32"/>
        <v/>
      </c>
      <c r="T88" s="7" t="str">
        <f t="shared" si="31"/>
        <v/>
      </c>
      <c r="U88" s="8" t="str">
        <f t="shared" si="38"/>
        <v/>
      </c>
      <c r="V88" s="8" t="str">
        <f t="shared" si="38"/>
        <v/>
      </c>
      <c r="W88" s="7" t="str">
        <f t="shared" si="33"/>
        <v/>
      </c>
      <c r="X88" s="7" t="str">
        <f t="shared" si="33"/>
        <v/>
      </c>
      <c r="Y88" s="10" t="str">
        <f t="shared" si="34"/>
        <v/>
      </c>
      <c r="Z88" s="10" t="str">
        <f t="shared" si="39"/>
        <v/>
      </c>
      <c r="AA88" s="10" t="str">
        <f t="shared" si="40"/>
        <v/>
      </c>
      <c r="AB88" s="10" t="str">
        <f t="shared" si="41"/>
        <v/>
      </c>
      <c r="AC88" s="10" t="str">
        <f t="shared" si="42"/>
        <v/>
      </c>
      <c r="AD88" s="10" t="str">
        <f t="shared" si="43"/>
        <v/>
      </c>
      <c r="AE88" s="10" t="str">
        <f t="shared" si="35"/>
        <v/>
      </c>
      <c r="AF88" s="10" t="str">
        <f t="shared" si="35"/>
        <v/>
      </c>
      <c r="AG88" s="10" t="str">
        <f t="shared" si="44"/>
        <v/>
      </c>
      <c r="AH88" s="10" t="str">
        <f t="shared" si="36"/>
        <v/>
      </c>
      <c r="AI88" s="10" t="str">
        <f t="shared" si="36"/>
        <v/>
      </c>
      <c r="AJ88" s="10" t="str">
        <f t="shared" si="45"/>
        <v/>
      </c>
      <c r="AK88" s="10" t="str">
        <f t="shared" si="37"/>
        <v/>
      </c>
      <c r="AL88" s="10" t="str">
        <f t="shared" si="46"/>
        <v/>
      </c>
      <c r="AM88" s="10" t="str">
        <f t="shared" si="47"/>
        <v/>
      </c>
      <c r="AN88" s="10" t="str">
        <f t="shared" si="48"/>
        <v/>
      </c>
      <c r="AO88" s="10" t="str">
        <f t="shared" si="49"/>
        <v/>
      </c>
      <c r="AP88" s="10" t="str">
        <f t="shared" si="50"/>
        <v/>
      </c>
    </row>
    <row r="89" spans="7:42" x14ac:dyDescent="0.45">
      <c r="G89" s="1"/>
      <c r="H89" s="7" t="str">
        <f>IF(G89="","",SUMIFS(Add_Contributions[[#All],[Amount ($)]],Add_Contributions[[#All],[Year]],G89))</f>
        <v/>
      </c>
      <c r="I89" s="7" t="str">
        <f t="shared" si="32"/>
        <v/>
      </c>
      <c r="J89" s="7" t="str">
        <f t="shared" si="32"/>
        <v/>
      </c>
      <c r="K89" s="7" t="str">
        <f t="shared" si="32"/>
        <v/>
      </c>
      <c r="L89" s="7" t="str">
        <f t="shared" si="32"/>
        <v/>
      </c>
      <c r="M89" s="7" t="str">
        <f t="shared" si="32"/>
        <v/>
      </c>
      <c r="N89" s="7" t="str">
        <f t="shared" si="32"/>
        <v/>
      </c>
      <c r="O89" s="7" t="str">
        <f t="shared" si="32"/>
        <v/>
      </c>
      <c r="P89" s="7" t="str">
        <f t="shared" si="32"/>
        <v/>
      </c>
      <c r="Q89" s="7" t="str">
        <f t="shared" si="32"/>
        <v/>
      </c>
      <c r="R89" s="7" t="str">
        <f t="shared" si="31"/>
        <v/>
      </c>
      <c r="S89" s="7" t="str">
        <f t="shared" si="32"/>
        <v/>
      </c>
      <c r="T89" s="7" t="str">
        <f t="shared" si="31"/>
        <v/>
      </c>
      <c r="U89" s="8" t="str">
        <f t="shared" si="38"/>
        <v/>
      </c>
      <c r="V89" s="8" t="str">
        <f t="shared" si="38"/>
        <v/>
      </c>
      <c r="W89" s="7" t="str">
        <f t="shared" si="33"/>
        <v/>
      </c>
      <c r="X89" s="7" t="str">
        <f t="shared" si="33"/>
        <v/>
      </c>
      <c r="Y89" s="10" t="str">
        <f t="shared" si="34"/>
        <v/>
      </c>
      <c r="Z89" s="10" t="str">
        <f t="shared" si="39"/>
        <v/>
      </c>
      <c r="AA89" s="10" t="str">
        <f t="shared" si="40"/>
        <v/>
      </c>
      <c r="AB89" s="10" t="str">
        <f t="shared" si="41"/>
        <v/>
      </c>
      <c r="AC89" s="10" t="str">
        <f t="shared" si="42"/>
        <v/>
      </c>
      <c r="AD89" s="10" t="str">
        <f t="shared" si="43"/>
        <v/>
      </c>
      <c r="AE89" s="10" t="str">
        <f t="shared" si="35"/>
        <v/>
      </c>
      <c r="AF89" s="10" t="str">
        <f t="shared" si="35"/>
        <v/>
      </c>
      <c r="AG89" s="10" t="str">
        <f t="shared" si="44"/>
        <v/>
      </c>
      <c r="AH89" s="10" t="str">
        <f t="shared" si="36"/>
        <v/>
      </c>
      <c r="AI89" s="10" t="str">
        <f t="shared" si="36"/>
        <v/>
      </c>
      <c r="AJ89" s="10" t="str">
        <f t="shared" si="45"/>
        <v/>
      </c>
      <c r="AK89" s="10" t="str">
        <f t="shared" si="37"/>
        <v/>
      </c>
      <c r="AL89" s="10" t="str">
        <f t="shared" si="46"/>
        <v/>
      </c>
      <c r="AM89" s="10" t="str">
        <f t="shared" si="47"/>
        <v/>
      </c>
      <c r="AN89" s="10" t="str">
        <f t="shared" si="48"/>
        <v/>
      </c>
      <c r="AO89" s="10" t="str">
        <f t="shared" si="49"/>
        <v/>
      </c>
      <c r="AP89" s="10" t="str">
        <f t="shared" si="50"/>
        <v/>
      </c>
    </row>
    <row r="90" spans="7:42" x14ac:dyDescent="0.45">
      <c r="G90" s="1"/>
      <c r="H90" s="7" t="str">
        <f>IF(G90="","",SUMIFS(Add_Contributions[[#All],[Amount ($)]],Add_Contributions[[#All],[Year]],G90))</f>
        <v/>
      </c>
      <c r="I90" s="7" t="str">
        <f t="shared" si="32"/>
        <v/>
      </c>
      <c r="J90" s="7" t="str">
        <f t="shared" si="32"/>
        <v/>
      </c>
      <c r="K90" s="7" t="str">
        <f t="shared" si="32"/>
        <v/>
      </c>
      <c r="L90" s="7" t="str">
        <f t="shared" si="32"/>
        <v/>
      </c>
      <c r="M90" s="7" t="str">
        <f t="shared" si="32"/>
        <v/>
      </c>
      <c r="N90" s="7" t="str">
        <f t="shared" si="32"/>
        <v/>
      </c>
      <c r="O90" s="7" t="str">
        <f t="shared" si="32"/>
        <v/>
      </c>
      <c r="P90" s="7" t="str">
        <f t="shared" si="32"/>
        <v/>
      </c>
      <c r="Q90" s="7" t="str">
        <f t="shared" si="32"/>
        <v/>
      </c>
      <c r="R90" s="7" t="str">
        <f t="shared" si="31"/>
        <v/>
      </c>
      <c r="S90" s="7" t="str">
        <f t="shared" si="32"/>
        <v/>
      </c>
      <c r="T90" s="7" t="str">
        <f t="shared" si="31"/>
        <v/>
      </c>
      <c r="U90" s="8" t="str">
        <f t="shared" si="38"/>
        <v/>
      </c>
      <c r="V90" s="8" t="str">
        <f t="shared" si="38"/>
        <v/>
      </c>
      <c r="W90" s="7" t="str">
        <f t="shared" ref="W90:X105" si="51">IF($G90="","",IF($G90=1,(($C$2+$H90)*W$3)*(1+(W$4-W$5)),((W89+($H90*W$3))*(1+(W$4-W$5)))))</f>
        <v/>
      </c>
      <c r="X90" s="7" t="str">
        <f t="shared" si="51"/>
        <v/>
      </c>
      <c r="Y90" s="10" t="str">
        <f t="shared" si="34"/>
        <v/>
      </c>
      <c r="Z90" s="10" t="str">
        <f t="shared" si="39"/>
        <v/>
      </c>
      <c r="AA90" s="10" t="str">
        <f t="shared" si="40"/>
        <v/>
      </c>
      <c r="AB90" s="10" t="str">
        <f t="shared" si="41"/>
        <v/>
      </c>
      <c r="AC90" s="10" t="str">
        <f t="shared" si="42"/>
        <v/>
      </c>
      <c r="AD90" s="10" t="str">
        <f t="shared" si="43"/>
        <v/>
      </c>
      <c r="AE90" s="10" t="str">
        <f t="shared" ref="AE90:AF105" si="52">IF($G90="","",IF($G90=1,Y90,(1+Y90)*(1+AE89)-1))</f>
        <v/>
      </c>
      <c r="AF90" s="10" t="str">
        <f t="shared" si="52"/>
        <v/>
      </c>
      <c r="AG90" s="10" t="str">
        <f t="shared" si="44"/>
        <v/>
      </c>
      <c r="AH90" s="10" t="str">
        <f t="shared" ref="AH90:AI105" si="53">IF($G90="","",IF($G90=1,AB90,(1+AB90)*(1+AH89)-1))</f>
        <v/>
      </c>
      <c r="AI90" s="10" t="str">
        <f t="shared" si="53"/>
        <v/>
      </c>
      <c r="AJ90" s="10" t="str">
        <f t="shared" si="45"/>
        <v/>
      </c>
      <c r="AK90" s="10" t="str">
        <f t="shared" si="37"/>
        <v/>
      </c>
      <c r="AL90" s="10" t="str">
        <f t="shared" si="46"/>
        <v/>
      </c>
      <c r="AM90" s="10" t="str">
        <f t="shared" si="47"/>
        <v/>
      </c>
      <c r="AN90" s="10" t="str">
        <f t="shared" si="48"/>
        <v/>
      </c>
      <c r="AO90" s="10" t="str">
        <f t="shared" si="49"/>
        <v/>
      </c>
      <c r="AP90" s="10" t="str">
        <f t="shared" si="50"/>
        <v/>
      </c>
    </row>
    <row r="91" spans="7:42" x14ac:dyDescent="0.45">
      <c r="G91" s="1"/>
      <c r="H91" s="7" t="str">
        <f>IF(G91="","",SUMIFS(Add_Contributions[[#All],[Amount ($)]],Add_Contributions[[#All],[Year]],G91))</f>
        <v/>
      </c>
      <c r="I91" s="7" t="str">
        <f t="shared" si="32"/>
        <v/>
      </c>
      <c r="J91" s="7" t="str">
        <f t="shared" si="32"/>
        <v/>
      </c>
      <c r="K91" s="7" t="str">
        <f t="shared" si="32"/>
        <v/>
      </c>
      <c r="L91" s="7" t="str">
        <f t="shared" si="32"/>
        <v/>
      </c>
      <c r="M91" s="7" t="str">
        <f t="shared" si="32"/>
        <v/>
      </c>
      <c r="N91" s="7" t="str">
        <f t="shared" si="32"/>
        <v/>
      </c>
      <c r="O91" s="7" t="str">
        <f t="shared" si="32"/>
        <v/>
      </c>
      <c r="P91" s="7" t="str">
        <f t="shared" si="32"/>
        <v/>
      </c>
      <c r="Q91" s="7" t="str">
        <f t="shared" si="32"/>
        <v/>
      </c>
      <c r="R91" s="7" t="str">
        <f t="shared" si="31"/>
        <v/>
      </c>
      <c r="S91" s="7" t="str">
        <f t="shared" si="32"/>
        <v/>
      </c>
      <c r="T91" s="7" t="str">
        <f t="shared" si="31"/>
        <v/>
      </c>
      <c r="U91" s="8" t="str">
        <f t="shared" si="38"/>
        <v/>
      </c>
      <c r="V91" s="8" t="str">
        <f t="shared" si="38"/>
        <v/>
      </c>
      <c r="W91" s="7" t="str">
        <f t="shared" si="51"/>
        <v/>
      </c>
      <c r="X91" s="7" t="str">
        <f t="shared" si="51"/>
        <v/>
      </c>
      <c r="Y91" s="10" t="str">
        <f t="shared" si="34"/>
        <v/>
      </c>
      <c r="Z91" s="10" t="str">
        <f t="shared" si="39"/>
        <v/>
      </c>
      <c r="AA91" s="10" t="str">
        <f t="shared" si="40"/>
        <v/>
      </c>
      <c r="AB91" s="10" t="str">
        <f t="shared" si="41"/>
        <v/>
      </c>
      <c r="AC91" s="10" t="str">
        <f t="shared" si="42"/>
        <v/>
      </c>
      <c r="AD91" s="10" t="str">
        <f t="shared" si="43"/>
        <v/>
      </c>
      <c r="AE91" s="10" t="str">
        <f t="shared" si="52"/>
        <v/>
      </c>
      <c r="AF91" s="10" t="str">
        <f t="shared" si="52"/>
        <v/>
      </c>
      <c r="AG91" s="10" t="str">
        <f t="shared" si="44"/>
        <v/>
      </c>
      <c r="AH91" s="10" t="str">
        <f t="shared" si="53"/>
        <v/>
      </c>
      <c r="AI91" s="10" t="str">
        <f t="shared" si="53"/>
        <v/>
      </c>
      <c r="AJ91" s="10" t="str">
        <f t="shared" si="45"/>
        <v/>
      </c>
      <c r="AK91" s="10" t="str">
        <f t="shared" si="37"/>
        <v/>
      </c>
      <c r="AL91" s="10" t="str">
        <f t="shared" si="46"/>
        <v/>
      </c>
      <c r="AM91" s="10" t="str">
        <f t="shared" si="47"/>
        <v/>
      </c>
      <c r="AN91" s="10" t="str">
        <f t="shared" si="48"/>
        <v/>
      </c>
      <c r="AO91" s="10" t="str">
        <f t="shared" si="49"/>
        <v/>
      </c>
      <c r="AP91" s="10" t="str">
        <f t="shared" si="50"/>
        <v/>
      </c>
    </row>
    <row r="92" spans="7:42" x14ac:dyDescent="0.45">
      <c r="G92" s="1"/>
      <c r="H92" s="7" t="str">
        <f>IF(G92="","",SUMIFS(Add_Contributions[[#All],[Amount ($)]],Add_Contributions[[#All],[Year]],G92))</f>
        <v/>
      </c>
      <c r="I92" s="7" t="str">
        <f t="shared" si="32"/>
        <v/>
      </c>
      <c r="J92" s="7" t="str">
        <f t="shared" si="32"/>
        <v/>
      </c>
      <c r="K92" s="7" t="str">
        <f t="shared" si="32"/>
        <v/>
      </c>
      <c r="L92" s="7" t="str">
        <f t="shared" si="32"/>
        <v/>
      </c>
      <c r="M92" s="7" t="str">
        <f t="shared" si="32"/>
        <v/>
      </c>
      <c r="N92" s="7" t="str">
        <f t="shared" si="32"/>
        <v/>
      </c>
      <c r="O92" s="7" t="str">
        <f t="shared" si="32"/>
        <v/>
      </c>
      <c r="P92" s="7" t="str">
        <f t="shared" si="32"/>
        <v/>
      </c>
      <c r="Q92" s="7" t="str">
        <f t="shared" si="32"/>
        <v/>
      </c>
      <c r="R92" s="7" t="str">
        <f t="shared" si="31"/>
        <v/>
      </c>
      <c r="S92" s="7" t="str">
        <f t="shared" si="32"/>
        <v/>
      </c>
      <c r="T92" s="7" t="str">
        <f t="shared" si="31"/>
        <v/>
      </c>
      <c r="U92" s="8" t="str">
        <f t="shared" si="38"/>
        <v/>
      </c>
      <c r="V92" s="8" t="str">
        <f t="shared" si="38"/>
        <v/>
      </c>
      <c r="W92" s="7" t="str">
        <f t="shared" si="51"/>
        <v/>
      </c>
      <c r="X92" s="7" t="str">
        <f t="shared" si="51"/>
        <v/>
      </c>
      <c r="Y92" s="10" t="str">
        <f t="shared" si="34"/>
        <v/>
      </c>
      <c r="Z92" s="10" t="str">
        <f t="shared" si="39"/>
        <v/>
      </c>
      <c r="AA92" s="10" t="str">
        <f t="shared" si="40"/>
        <v/>
      </c>
      <c r="AB92" s="10" t="str">
        <f t="shared" si="41"/>
        <v/>
      </c>
      <c r="AC92" s="10" t="str">
        <f t="shared" si="42"/>
        <v/>
      </c>
      <c r="AD92" s="10" t="str">
        <f t="shared" si="43"/>
        <v/>
      </c>
      <c r="AE92" s="10" t="str">
        <f t="shared" si="52"/>
        <v/>
      </c>
      <c r="AF92" s="10" t="str">
        <f t="shared" si="52"/>
        <v/>
      </c>
      <c r="AG92" s="10" t="str">
        <f t="shared" si="44"/>
        <v/>
      </c>
      <c r="AH92" s="10" t="str">
        <f t="shared" si="53"/>
        <v/>
      </c>
      <c r="AI92" s="10" t="str">
        <f t="shared" si="53"/>
        <v/>
      </c>
      <c r="AJ92" s="10" t="str">
        <f t="shared" si="45"/>
        <v/>
      </c>
      <c r="AK92" s="10" t="str">
        <f t="shared" si="37"/>
        <v/>
      </c>
      <c r="AL92" s="10" t="str">
        <f t="shared" si="46"/>
        <v/>
      </c>
      <c r="AM92" s="10" t="str">
        <f t="shared" si="47"/>
        <v/>
      </c>
      <c r="AN92" s="10" t="str">
        <f t="shared" si="48"/>
        <v/>
      </c>
      <c r="AO92" s="10" t="str">
        <f t="shared" si="49"/>
        <v/>
      </c>
      <c r="AP92" s="10" t="str">
        <f t="shared" si="50"/>
        <v/>
      </c>
    </row>
    <row r="93" spans="7:42" x14ac:dyDescent="0.45">
      <c r="G93" s="1"/>
      <c r="H93" s="7" t="str">
        <f>IF(G93="","",SUMIFS(Add_Contributions[[#All],[Amount ($)]],Add_Contributions[[#All],[Year]],G93))</f>
        <v/>
      </c>
      <c r="I93" s="7" t="str">
        <f t="shared" si="32"/>
        <v/>
      </c>
      <c r="J93" s="7" t="str">
        <f t="shared" si="32"/>
        <v/>
      </c>
      <c r="K93" s="7" t="str">
        <f t="shared" si="32"/>
        <v/>
      </c>
      <c r="L93" s="7" t="str">
        <f t="shared" si="32"/>
        <v/>
      </c>
      <c r="M93" s="7" t="str">
        <f t="shared" si="32"/>
        <v/>
      </c>
      <c r="N93" s="7" t="str">
        <f t="shared" si="32"/>
        <v/>
      </c>
      <c r="O93" s="7" t="str">
        <f t="shared" si="32"/>
        <v/>
      </c>
      <c r="P93" s="7" t="str">
        <f t="shared" si="32"/>
        <v/>
      </c>
      <c r="Q93" s="7" t="str">
        <f t="shared" si="32"/>
        <v/>
      </c>
      <c r="R93" s="7" t="str">
        <f t="shared" si="31"/>
        <v/>
      </c>
      <c r="S93" s="7" t="str">
        <f t="shared" si="32"/>
        <v/>
      </c>
      <c r="T93" s="7" t="str">
        <f t="shared" si="31"/>
        <v/>
      </c>
      <c r="U93" s="8" t="str">
        <f t="shared" si="38"/>
        <v/>
      </c>
      <c r="V93" s="8" t="str">
        <f t="shared" si="38"/>
        <v/>
      </c>
      <c r="W93" s="7" t="str">
        <f t="shared" si="51"/>
        <v/>
      </c>
      <c r="X93" s="7" t="str">
        <f t="shared" si="51"/>
        <v/>
      </c>
      <c r="Y93" s="10" t="str">
        <f t="shared" si="34"/>
        <v/>
      </c>
      <c r="Z93" s="10" t="str">
        <f t="shared" si="39"/>
        <v/>
      </c>
      <c r="AA93" s="10" t="str">
        <f t="shared" si="40"/>
        <v/>
      </c>
      <c r="AB93" s="10" t="str">
        <f t="shared" si="41"/>
        <v/>
      </c>
      <c r="AC93" s="10" t="str">
        <f t="shared" si="42"/>
        <v/>
      </c>
      <c r="AD93" s="10" t="str">
        <f t="shared" si="43"/>
        <v/>
      </c>
      <c r="AE93" s="10" t="str">
        <f t="shared" si="52"/>
        <v/>
      </c>
      <c r="AF93" s="10" t="str">
        <f t="shared" si="52"/>
        <v/>
      </c>
      <c r="AG93" s="10" t="str">
        <f t="shared" si="44"/>
        <v/>
      </c>
      <c r="AH93" s="10" t="str">
        <f t="shared" si="53"/>
        <v/>
      </c>
      <c r="AI93" s="10" t="str">
        <f t="shared" si="53"/>
        <v/>
      </c>
      <c r="AJ93" s="10" t="str">
        <f t="shared" si="45"/>
        <v/>
      </c>
      <c r="AK93" s="10" t="str">
        <f t="shared" si="37"/>
        <v/>
      </c>
      <c r="AL93" s="10" t="str">
        <f t="shared" si="46"/>
        <v/>
      </c>
      <c r="AM93" s="10" t="str">
        <f t="shared" si="47"/>
        <v/>
      </c>
      <c r="AN93" s="10" t="str">
        <f t="shared" si="48"/>
        <v/>
      </c>
      <c r="AO93" s="10" t="str">
        <f t="shared" si="49"/>
        <v/>
      </c>
      <c r="AP93" s="10" t="str">
        <f t="shared" si="50"/>
        <v/>
      </c>
    </row>
    <row r="94" spans="7:42" x14ac:dyDescent="0.45">
      <c r="G94" s="1"/>
      <c r="H94" s="7" t="str">
        <f>IF(G94="","",SUMIFS(Add_Contributions[[#All],[Amount ($)]],Add_Contributions[[#All],[Year]],G94))</f>
        <v/>
      </c>
      <c r="I94" s="7" t="str">
        <f t="shared" si="32"/>
        <v/>
      </c>
      <c r="J94" s="7" t="str">
        <f t="shared" si="32"/>
        <v/>
      </c>
      <c r="K94" s="7" t="str">
        <f t="shared" si="32"/>
        <v/>
      </c>
      <c r="L94" s="7" t="str">
        <f t="shared" si="32"/>
        <v/>
      </c>
      <c r="M94" s="7" t="str">
        <f t="shared" si="32"/>
        <v/>
      </c>
      <c r="N94" s="7" t="str">
        <f t="shared" si="32"/>
        <v/>
      </c>
      <c r="O94" s="7" t="str">
        <f t="shared" si="32"/>
        <v/>
      </c>
      <c r="P94" s="7" t="str">
        <f t="shared" si="32"/>
        <v/>
      </c>
      <c r="Q94" s="7" t="str">
        <f t="shared" si="32"/>
        <v/>
      </c>
      <c r="R94" s="7" t="str">
        <f t="shared" si="31"/>
        <v/>
      </c>
      <c r="S94" s="7" t="str">
        <f t="shared" si="32"/>
        <v/>
      </c>
      <c r="T94" s="7" t="str">
        <f t="shared" si="31"/>
        <v/>
      </c>
      <c r="U94" s="8" t="str">
        <f t="shared" si="38"/>
        <v/>
      </c>
      <c r="V94" s="8" t="str">
        <f t="shared" si="38"/>
        <v/>
      </c>
      <c r="W94" s="7" t="str">
        <f t="shared" si="51"/>
        <v/>
      </c>
      <c r="X94" s="7" t="str">
        <f t="shared" si="51"/>
        <v/>
      </c>
      <c r="Y94" s="10" t="str">
        <f t="shared" si="34"/>
        <v/>
      </c>
      <c r="Z94" s="10" t="str">
        <f t="shared" si="39"/>
        <v/>
      </c>
      <c r="AA94" s="10" t="str">
        <f t="shared" si="40"/>
        <v/>
      </c>
      <c r="AB94" s="10" t="str">
        <f t="shared" si="41"/>
        <v/>
      </c>
      <c r="AC94" s="10" t="str">
        <f t="shared" si="42"/>
        <v/>
      </c>
      <c r="AD94" s="10" t="str">
        <f t="shared" si="43"/>
        <v/>
      </c>
      <c r="AE94" s="10" t="str">
        <f t="shared" si="52"/>
        <v/>
      </c>
      <c r="AF94" s="10" t="str">
        <f t="shared" si="52"/>
        <v/>
      </c>
      <c r="AG94" s="10" t="str">
        <f t="shared" si="44"/>
        <v/>
      </c>
      <c r="AH94" s="10" t="str">
        <f t="shared" si="53"/>
        <v/>
      </c>
      <c r="AI94" s="10" t="str">
        <f t="shared" si="53"/>
        <v/>
      </c>
      <c r="AJ94" s="10" t="str">
        <f t="shared" si="45"/>
        <v/>
      </c>
      <c r="AK94" s="10" t="str">
        <f t="shared" si="37"/>
        <v/>
      </c>
      <c r="AL94" s="10" t="str">
        <f t="shared" si="46"/>
        <v/>
      </c>
      <c r="AM94" s="10" t="str">
        <f t="shared" si="47"/>
        <v/>
      </c>
      <c r="AN94" s="10" t="str">
        <f t="shared" si="48"/>
        <v/>
      </c>
      <c r="AO94" s="10" t="str">
        <f t="shared" si="49"/>
        <v/>
      </c>
      <c r="AP94" s="10" t="str">
        <f t="shared" si="50"/>
        <v/>
      </c>
    </row>
    <row r="95" spans="7:42" x14ac:dyDescent="0.45">
      <c r="G95" s="1"/>
      <c r="H95" s="7" t="str">
        <f>IF(G95="","",SUMIFS(Add_Contributions[[#All],[Amount ($)]],Add_Contributions[[#All],[Year]],G95))</f>
        <v/>
      </c>
      <c r="I95" s="7" t="str">
        <f t="shared" si="32"/>
        <v/>
      </c>
      <c r="J95" s="7" t="str">
        <f t="shared" si="32"/>
        <v/>
      </c>
      <c r="K95" s="7" t="str">
        <f t="shared" si="32"/>
        <v/>
      </c>
      <c r="L95" s="7" t="str">
        <f t="shared" si="32"/>
        <v/>
      </c>
      <c r="M95" s="7" t="str">
        <f t="shared" si="32"/>
        <v/>
      </c>
      <c r="N95" s="7" t="str">
        <f t="shared" si="32"/>
        <v/>
      </c>
      <c r="O95" s="7" t="str">
        <f t="shared" si="32"/>
        <v/>
      </c>
      <c r="P95" s="7" t="str">
        <f t="shared" si="32"/>
        <v/>
      </c>
      <c r="Q95" s="7" t="str">
        <f t="shared" si="32"/>
        <v/>
      </c>
      <c r="R95" s="7" t="str">
        <f t="shared" si="31"/>
        <v/>
      </c>
      <c r="S95" s="7" t="str">
        <f t="shared" si="32"/>
        <v/>
      </c>
      <c r="T95" s="7" t="str">
        <f t="shared" si="31"/>
        <v/>
      </c>
      <c r="U95" s="8" t="str">
        <f t="shared" si="38"/>
        <v/>
      </c>
      <c r="V95" s="8" t="str">
        <f t="shared" si="38"/>
        <v/>
      </c>
      <c r="W95" s="7" t="str">
        <f t="shared" si="51"/>
        <v/>
      </c>
      <c r="X95" s="7" t="str">
        <f t="shared" si="51"/>
        <v/>
      </c>
      <c r="Y95" s="10" t="str">
        <f t="shared" si="34"/>
        <v/>
      </c>
      <c r="Z95" s="10" t="str">
        <f t="shared" si="39"/>
        <v/>
      </c>
      <c r="AA95" s="10" t="str">
        <f t="shared" si="40"/>
        <v/>
      </c>
      <c r="AB95" s="10" t="str">
        <f t="shared" si="41"/>
        <v/>
      </c>
      <c r="AC95" s="10" t="str">
        <f t="shared" si="42"/>
        <v/>
      </c>
      <c r="AD95" s="10" t="str">
        <f t="shared" si="43"/>
        <v/>
      </c>
      <c r="AE95" s="10" t="str">
        <f t="shared" si="52"/>
        <v/>
      </c>
      <c r="AF95" s="10" t="str">
        <f t="shared" si="52"/>
        <v/>
      </c>
      <c r="AG95" s="10" t="str">
        <f t="shared" si="44"/>
        <v/>
      </c>
      <c r="AH95" s="10" t="str">
        <f t="shared" si="53"/>
        <v/>
      </c>
      <c r="AI95" s="10" t="str">
        <f t="shared" si="53"/>
        <v/>
      </c>
      <c r="AJ95" s="10" t="str">
        <f t="shared" si="45"/>
        <v/>
      </c>
      <c r="AK95" s="10" t="str">
        <f t="shared" si="37"/>
        <v/>
      </c>
      <c r="AL95" s="10" t="str">
        <f t="shared" si="46"/>
        <v/>
      </c>
      <c r="AM95" s="10" t="str">
        <f t="shared" si="47"/>
        <v/>
      </c>
      <c r="AN95" s="10" t="str">
        <f t="shared" si="48"/>
        <v/>
      </c>
      <c r="AO95" s="10" t="str">
        <f t="shared" si="49"/>
        <v/>
      </c>
      <c r="AP95" s="10" t="str">
        <f t="shared" si="50"/>
        <v/>
      </c>
    </row>
    <row r="96" spans="7:42" x14ac:dyDescent="0.45">
      <c r="G96" s="1"/>
      <c r="H96" s="7" t="str">
        <f>IF(G96="","",SUMIFS(Add_Contributions[[#All],[Amount ($)]],Add_Contributions[[#All],[Year]],G96))</f>
        <v/>
      </c>
      <c r="I96" s="7" t="str">
        <f t="shared" si="32"/>
        <v/>
      </c>
      <c r="J96" s="7" t="str">
        <f t="shared" si="32"/>
        <v/>
      </c>
      <c r="K96" s="7" t="str">
        <f t="shared" si="32"/>
        <v/>
      </c>
      <c r="L96" s="7" t="str">
        <f t="shared" si="32"/>
        <v/>
      </c>
      <c r="M96" s="7" t="str">
        <f t="shared" si="32"/>
        <v/>
      </c>
      <c r="N96" s="7" t="str">
        <f t="shared" si="32"/>
        <v/>
      </c>
      <c r="O96" s="7" t="str">
        <f t="shared" si="32"/>
        <v/>
      </c>
      <c r="P96" s="7" t="str">
        <f t="shared" si="32"/>
        <v/>
      </c>
      <c r="Q96" s="7" t="str">
        <f t="shared" si="32"/>
        <v/>
      </c>
      <c r="R96" s="7" t="str">
        <f t="shared" si="31"/>
        <v/>
      </c>
      <c r="S96" s="7" t="str">
        <f t="shared" si="32"/>
        <v/>
      </c>
      <c r="T96" s="7" t="str">
        <f t="shared" si="31"/>
        <v/>
      </c>
      <c r="U96" s="8" t="str">
        <f t="shared" si="38"/>
        <v/>
      </c>
      <c r="V96" s="8" t="str">
        <f t="shared" si="38"/>
        <v/>
      </c>
      <c r="W96" s="7" t="str">
        <f t="shared" si="51"/>
        <v/>
      </c>
      <c r="X96" s="7" t="str">
        <f t="shared" si="51"/>
        <v/>
      </c>
      <c r="Y96" s="10" t="str">
        <f t="shared" si="34"/>
        <v/>
      </c>
      <c r="Z96" s="10" t="str">
        <f t="shared" si="39"/>
        <v/>
      </c>
      <c r="AA96" s="10" t="str">
        <f t="shared" si="40"/>
        <v/>
      </c>
      <c r="AB96" s="10" t="str">
        <f t="shared" si="41"/>
        <v/>
      </c>
      <c r="AC96" s="10" t="str">
        <f t="shared" si="42"/>
        <v/>
      </c>
      <c r="AD96" s="10" t="str">
        <f t="shared" si="43"/>
        <v/>
      </c>
      <c r="AE96" s="10" t="str">
        <f t="shared" si="52"/>
        <v/>
      </c>
      <c r="AF96" s="10" t="str">
        <f t="shared" si="52"/>
        <v/>
      </c>
      <c r="AG96" s="10" t="str">
        <f t="shared" si="44"/>
        <v/>
      </c>
      <c r="AH96" s="10" t="str">
        <f t="shared" si="53"/>
        <v/>
      </c>
      <c r="AI96" s="10" t="str">
        <f t="shared" si="53"/>
        <v/>
      </c>
      <c r="AJ96" s="10" t="str">
        <f t="shared" si="45"/>
        <v/>
      </c>
      <c r="AK96" s="10" t="str">
        <f t="shared" si="37"/>
        <v/>
      </c>
      <c r="AL96" s="10" t="str">
        <f t="shared" si="46"/>
        <v/>
      </c>
      <c r="AM96" s="10" t="str">
        <f t="shared" si="47"/>
        <v/>
      </c>
      <c r="AN96" s="10" t="str">
        <f t="shared" si="48"/>
        <v/>
      </c>
      <c r="AO96" s="10" t="str">
        <f t="shared" si="49"/>
        <v/>
      </c>
      <c r="AP96" s="10" t="str">
        <f t="shared" si="50"/>
        <v/>
      </c>
    </row>
    <row r="97" spans="7:42" x14ac:dyDescent="0.45">
      <c r="G97" s="1"/>
      <c r="H97" s="7" t="str">
        <f>IF(G97="","",SUMIFS(Add_Contributions[[#All],[Amount ($)]],Add_Contributions[[#All],[Year]],G97))</f>
        <v/>
      </c>
      <c r="I97" s="7" t="str">
        <f t="shared" si="32"/>
        <v/>
      </c>
      <c r="J97" s="7" t="str">
        <f t="shared" si="32"/>
        <v/>
      </c>
      <c r="K97" s="7" t="str">
        <f t="shared" si="32"/>
        <v/>
      </c>
      <c r="L97" s="7" t="str">
        <f t="shared" si="32"/>
        <v/>
      </c>
      <c r="M97" s="7" t="str">
        <f t="shared" si="32"/>
        <v/>
      </c>
      <c r="N97" s="7" t="str">
        <f t="shared" si="32"/>
        <v/>
      </c>
      <c r="O97" s="7" t="str">
        <f t="shared" si="32"/>
        <v/>
      </c>
      <c r="P97" s="7" t="str">
        <f t="shared" si="32"/>
        <v/>
      </c>
      <c r="Q97" s="7" t="str">
        <f t="shared" si="32"/>
        <v/>
      </c>
      <c r="R97" s="7" t="str">
        <f t="shared" si="31"/>
        <v/>
      </c>
      <c r="S97" s="7" t="str">
        <f t="shared" si="32"/>
        <v/>
      </c>
      <c r="T97" s="7" t="str">
        <f t="shared" si="31"/>
        <v/>
      </c>
      <c r="U97" s="8" t="str">
        <f t="shared" si="38"/>
        <v/>
      </c>
      <c r="V97" s="8" t="str">
        <f t="shared" si="38"/>
        <v/>
      </c>
      <c r="W97" s="7" t="str">
        <f t="shared" si="51"/>
        <v/>
      </c>
      <c r="X97" s="7" t="str">
        <f t="shared" si="51"/>
        <v/>
      </c>
      <c r="Y97" s="10" t="str">
        <f t="shared" si="34"/>
        <v/>
      </c>
      <c r="Z97" s="10" t="str">
        <f t="shared" si="39"/>
        <v/>
      </c>
      <c r="AA97" s="10" t="str">
        <f t="shared" si="40"/>
        <v/>
      </c>
      <c r="AB97" s="10" t="str">
        <f t="shared" si="41"/>
        <v/>
      </c>
      <c r="AC97" s="10" t="str">
        <f t="shared" si="42"/>
        <v/>
      </c>
      <c r="AD97" s="10" t="str">
        <f t="shared" si="43"/>
        <v/>
      </c>
      <c r="AE97" s="10" t="str">
        <f t="shared" si="52"/>
        <v/>
      </c>
      <c r="AF97" s="10" t="str">
        <f t="shared" si="52"/>
        <v/>
      </c>
      <c r="AG97" s="10" t="str">
        <f t="shared" si="44"/>
        <v/>
      </c>
      <c r="AH97" s="10" t="str">
        <f t="shared" si="53"/>
        <v/>
      </c>
      <c r="AI97" s="10" t="str">
        <f t="shared" si="53"/>
        <v/>
      </c>
      <c r="AJ97" s="10" t="str">
        <f t="shared" si="45"/>
        <v/>
      </c>
      <c r="AK97" s="10" t="str">
        <f t="shared" si="37"/>
        <v/>
      </c>
      <c r="AL97" s="10" t="str">
        <f t="shared" si="46"/>
        <v/>
      </c>
      <c r="AM97" s="10" t="str">
        <f t="shared" si="47"/>
        <v/>
      </c>
      <c r="AN97" s="10" t="str">
        <f t="shared" si="48"/>
        <v/>
      </c>
      <c r="AO97" s="10" t="str">
        <f t="shared" si="49"/>
        <v/>
      </c>
      <c r="AP97" s="10" t="str">
        <f t="shared" si="50"/>
        <v/>
      </c>
    </row>
    <row r="98" spans="7:42" x14ac:dyDescent="0.45">
      <c r="G98" s="1"/>
      <c r="H98" s="7" t="str">
        <f>IF(G98="","",SUMIFS(Add_Contributions[[#All],[Amount ($)]],Add_Contributions[[#All],[Year]],G98))</f>
        <v/>
      </c>
      <c r="I98" s="7" t="str">
        <f t="shared" si="32"/>
        <v/>
      </c>
      <c r="J98" s="7" t="str">
        <f t="shared" si="32"/>
        <v/>
      </c>
      <c r="K98" s="7" t="str">
        <f t="shared" si="32"/>
        <v/>
      </c>
      <c r="L98" s="7" t="str">
        <f t="shared" si="32"/>
        <v/>
      </c>
      <c r="M98" s="7" t="str">
        <f t="shared" si="32"/>
        <v/>
      </c>
      <c r="N98" s="7" t="str">
        <f t="shared" si="32"/>
        <v/>
      </c>
      <c r="O98" s="7" t="str">
        <f t="shared" si="32"/>
        <v/>
      </c>
      <c r="P98" s="7" t="str">
        <f t="shared" si="32"/>
        <v/>
      </c>
      <c r="Q98" s="7" t="str">
        <f t="shared" si="32"/>
        <v/>
      </c>
      <c r="R98" s="7" t="str">
        <f t="shared" si="31"/>
        <v/>
      </c>
      <c r="S98" s="7" t="str">
        <f t="shared" si="32"/>
        <v/>
      </c>
      <c r="T98" s="7" t="str">
        <f t="shared" si="31"/>
        <v/>
      </c>
      <c r="U98" s="8" t="str">
        <f t="shared" si="38"/>
        <v/>
      </c>
      <c r="V98" s="8" t="str">
        <f t="shared" si="38"/>
        <v/>
      </c>
      <c r="W98" s="7" t="str">
        <f t="shared" si="51"/>
        <v/>
      </c>
      <c r="X98" s="7" t="str">
        <f t="shared" si="51"/>
        <v/>
      </c>
      <c r="Y98" s="10" t="str">
        <f t="shared" si="34"/>
        <v/>
      </c>
      <c r="Z98" s="10" t="str">
        <f t="shared" si="39"/>
        <v/>
      </c>
      <c r="AA98" s="10" t="str">
        <f t="shared" si="40"/>
        <v/>
      </c>
      <c r="AB98" s="10" t="str">
        <f t="shared" si="41"/>
        <v/>
      </c>
      <c r="AC98" s="10" t="str">
        <f t="shared" si="42"/>
        <v/>
      </c>
      <c r="AD98" s="10" t="str">
        <f t="shared" si="43"/>
        <v/>
      </c>
      <c r="AE98" s="10" t="str">
        <f t="shared" si="52"/>
        <v/>
      </c>
      <c r="AF98" s="10" t="str">
        <f t="shared" si="52"/>
        <v/>
      </c>
      <c r="AG98" s="10" t="str">
        <f t="shared" si="44"/>
        <v/>
      </c>
      <c r="AH98" s="10" t="str">
        <f t="shared" si="53"/>
        <v/>
      </c>
      <c r="AI98" s="10" t="str">
        <f t="shared" si="53"/>
        <v/>
      </c>
      <c r="AJ98" s="10" t="str">
        <f t="shared" si="45"/>
        <v/>
      </c>
      <c r="AK98" s="10" t="str">
        <f t="shared" si="37"/>
        <v/>
      </c>
      <c r="AL98" s="10" t="str">
        <f t="shared" si="46"/>
        <v/>
      </c>
      <c r="AM98" s="10" t="str">
        <f t="shared" si="47"/>
        <v/>
      </c>
      <c r="AN98" s="10" t="str">
        <f t="shared" si="48"/>
        <v/>
      </c>
      <c r="AO98" s="10" t="str">
        <f t="shared" si="49"/>
        <v/>
      </c>
      <c r="AP98" s="10" t="str">
        <f t="shared" si="50"/>
        <v/>
      </c>
    </row>
    <row r="99" spans="7:42" x14ac:dyDescent="0.45">
      <c r="G99" s="1"/>
      <c r="H99" s="7" t="str">
        <f>IF(G99="","",SUMIFS(Add_Contributions[[#All],[Amount ($)]],Add_Contributions[[#All],[Year]],G99))</f>
        <v/>
      </c>
      <c r="I99" s="7" t="str">
        <f t="shared" si="32"/>
        <v/>
      </c>
      <c r="J99" s="7" t="str">
        <f t="shared" si="32"/>
        <v/>
      </c>
      <c r="K99" s="7" t="str">
        <f t="shared" si="32"/>
        <v/>
      </c>
      <c r="L99" s="7" t="str">
        <f t="shared" si="32"/>
        <v/>
      </c>
      <c r="M99" s="7" t="str">
        <f t="shared" si="32"/>
        <v/>
      </c>
      <c r="N99" s="7" t="str">
        <f t="shared" ref="I99:S109" si="54">IF($G99="","",IF($G99=1,(($C$2+$H99)*N$3)*(1+(N$4-N$5)),((N98+($H99*N$3))*(1+(N$4-N$5)))))</f>
        <v/>
      </c>
      <c r="O99" s="7" t="str">
        <f t="shared" si="54"/>
        <v/>
      </c>
      <c r="P99" s="7" t="str">
        <f t="shared" si="54"/>
        <v/>
      </c>
      <c r="Q99" s="7" t="str">
        <f t="shared" si="54"/>
        <v/>
      </c>
      <c r="R99" s="7" t="str">
        <f t="shared" si="31"/>
        <v/>
      </c>
      <c r="S99" s="7" t="str">
        <f t="shared" si="54"/>
        <v/>
      </c>
      <c r="T99" s="7" t="str">
        <f t="shared" si="31"/>
        <v/>
      </c>
      <c r="U99" s="8" t="str">
        <f t="shared" si="38"/>
        <v/>
      </c>
      <c r="V99" s="8" t="str">
        <f t="shared" si="38"/>
        <v/>
      </c>
      <c r="W99" s="7" t="str">
        <f t="shared" si="51"/>
        <v/>
      </c>
      <c r="X99" s="7" t="str">
        <f t="shared" si="51"/>
        <v/>
      </c>
      <c r="Y99" s="10" t="str">
        <f t="shared" si="34"/>
        <v/>
      </c>
      <c r="Z99" s="10" t="str">
        <f t="shared" si="39"/>
        <v/>
      </c>
      <c r="AA99" s="10" t="str">
        <f t="shared" si="40"/>
        <v/>
      </c>
      <c r="AB99" s="10" t="str">
        <f t="shared" si="41"/>
        <v/>
      </c>
      <c r="AC99" s="10" t="str">
        <f t="shared" si="42"/>
        <v/>
      </c>
      <c r="AD99" s="10" t="str">
        <f t="shared" si="43"/>
        <v/>
      </c>
      <c r="AE99" s="10" t="str">
        <f t="shared" si="52"/>
        <v/>
      </c>
      <c r="AF99" s="10" t="str">
        <f t="shared" si="52"/>
        <v/>
      </c>
      <c r="AG99" s="10" t="str">
        <f t="shared" si="44"/>
        <v/>
      </c>
      <c r="AH99" s="10" t="str">
        <f t="shared" si="53"/>
        <v/>
      </c>
      <c r="AI99" s="10" t="str">
        <f t="shared" si="53"/>
        <v/>
      </c>
      <c r="AJ99" s="10" t="str">
        <f t="shared" si="45"/>
        <v/>
      </c>
      <c r="AK99" s="10" t="str">
        <f t="shared" si="37"/>
        <v/>
      </c>
      <c r="AL99" s="10" t="str">
        <f t="shared" si="46"/>
        <v/>
      </c>
      <c r="AM99" s="10" t="str">
        <f t="shared" si="47"/>
        <v/>
      </c>
      <c r="AN99" s="10" t="str">
        <f t="shared" si="48"/>
        <v/>
      </c>
      <c r="AO99" s="10" t="str">
        <f t="shared" si="49"/>
        <v/>
      </c>
      <c r="AP99" s="10" t="str">
        <f t="shared" si="50"/>
        <v/>
      </c>
    </row>
    <row r="100" spans="7:42" x14ac:dyDescent="0.45">
      <c r="G100" s="1"/>
      <c r="H100" s="7" t="str">
        <f>IF(G100="","",SUMIFS(Add_Contributions[[#All],[Amount ($)]],Add_Contributions[[#All],[Year]],G100))</f>
        <v/>
      </c>
      <c r="I100" s="7" t="str">
        <f t="shared" si="54"/>
        <v/>
      </c>
      <c r="J100" s="7" t="str">
        <f t="shared" si="54"/>
        <v/>
      </c>
      <c r="K100" s="7" t="str">
        <f t="shared" si="54"/>
        <v/>
      </c>
      <c r="L100" s="7" t="str">
        <f t="shared" si="54"/>
        <v/>
      </c>
      <c r="M100" s="7" t="str">
        <f t="shared" si="54"/>
        <v/>
      </c>
      <c r="N100" s="7" t="str">
        <f t="shared" si="54"/>
        <v/>
      </c>
      <c r="O100" s="7" t="str">
        <f t="shared" si="54"/>
        <v/>
      </c>
      <c r="P100" s="7" t="str">
        <f t="shared" si="54"/>
        <v/>
      </c>
      <c r="Q100" s="7" t="str">
        <f t="shared" si="54"/>
        <v/>
      </c>
      <c r="R100" s="7" t="str">
        <f t="shared" si="31"/>
        <v/>
      </c>
      <c r="S100" s="7" t="str">
        <f t="shared" si="54"/>
        <v/>
      </c>
      <c r="T100" s="7" t="str">
        <f t="shared" si="31"/>
        <v/>
      </c>
      <c r="U100" s="8" t="str">
        <f t="shared" si="38"/>
        <v/>
      </c>
      <c r="V100" s="8" t="str">
        <f t="shared" si="38"/>
        <v/>
      </c>
      <c r="W100" s="7" t="str">
        <f t="shared" si="51"/>
        <v/>
      </c>
      <c r="X100" s="7" t="str">
        <f t="shared" si="51"/>
        <v/>
      </c>
      <c r="Y100" s="10" t="str">
        <f t="shared" si="34"/>
        <v/>
      </c>
      <c r="Z100" s="10" t="str">
        <f t="shared" si="39"/>
        <v/>
      </c>
      <c r="AA100" s="10" t="str">
        <f t="shared" si="40"/>
        <v/>
      </c>
      <c r="AB100" s="10" t="str">
        <f t="shared" si="41"/>
        <v/>
      </c>
      <c r="AC100" s="10" t="str">
        <f t="shared" si="42"/>
        <v/>
      </c>
      <c r="AD100" s="10" t="str">
        <f t="shared" si="43"/>
        <v/>
      </c>
      <c r="AE100" s="10" t="str">
        <f t="shared" si="52"/>
        <v/>
      </c>
      <c r="AF100" s="10" t="str">
        <f t="shared" si="52"/>
        <v/>
      </c>
      <c r="AG100" s="10" t="str">
        <f t="shared" si="44"/>
        <v/>
      </c>
      <c r="AH100" s="10" t="str">
        <f t="shared" si="53"/>
        <v/>
      </c>
      <c r="AI100" s="10" t="str">
        <f t="shared" si="53"/>
        <v/>
      </c>
      <c r="AJ100" s="10" t="str">
        <f t="shared" si="45"/>
        <v/>
      </c>
      <c r="AK100" s="10" t="str">
        <f t="shared" si="37"/>
        <v/>
      </c>
      <c r="AL100" s="10" t="str">
        <f t="shared" si="46"/>
        <v/>
      </c>
      <c r="AM100" s="10" t="str">
        <f t="shared" si="47"/>
        <v/>
      </c>
      <c r="AN100" s="10" t="str">
        <f t="shared" si="48"/>
        <v/>
      </c>
      <c r="AO100" s="10" t="str">
        <f t="shared" si="49"/>
        <v/>
      </c>
      <c r="AP100" s="10" t="str">
        <f t="shared" si="50"/>
        <v/>
      </c>
    </row>
    <row r="101" spans="7:42" x14ac:dyDescent="0.45">
      <c r="G101" s="1"/>
      <c r="H101" s="7" t="str">
        <f>IF(G101="","",SUMIFS(Add_Contributions[[#All],[Amount ($)]],Add_Contributions[[#All],[Year]],G101))</f>
        <v/>
      </c>
      <c r="I101" s="7" t="str">
        <f t="shared" si="54"/>
        <v/>
      </c>
      <c r="J101" s="7" t="str">
        <f t="shared" si="54"/>
        <v/>
      </c>
      <c r="K101" s="7" t="str">
        <f t="shared" si="54"/>
        <v/>
      </c>
      <c r="L101" s="7" t="str">
        <f t="shared" si="54"/>
        <v/>
      </c>
      <c r="M101" s="7" t="str">
        <f t="shared" si="54"/>
        <v/>
      </c>
      <c r="N101" s="7" t="str">
        <f t="shared" si="54"/>
        <v/>
      </c>
      <c r="O101" s="7" t="str">
        <f t="shared" si="54"/>
        <v/>
      </c>
      <c r="P101" s="7" t="str">
        <f t="shared" si="54"/>
        <v/>
      </c>
      <c r="Q101" s="7" t="str">
        <f t="shared" si="54"/>
        <v/>
      </c>
      <c r="R101" s="7" t="str">
        <f t="shared" si="31"/>
        <v/>
      </c>
      <c r="S101" s="7" t="str">
        <f t="shared" si="54"/>
        <v/>
      </c>
      <c r="T101" s="7" t="str">
        <f t="shared" si="31"/>
        <v/>
      </c>
      <c r="U101" s="8" t="str">
        <f t="shared" si="38"/>
        <v/>
      </c>
      <c r="V101" s="8" t="str">
        <f t="shared" si="38"/>
        <v/>
      </c>
      <c r="W101" s="7" t="str">
        <f t="shared" si="51"/>
        <v/>
      </c>
      <c r="X101" s="7" t="str">
        <f t="shared" si="51"/>
        <v/>
      </c>
      <c r="Y101" s="10" t="str">
        <f t="shared" si="34"/>
        <v/>
      </c>
      <c r="Z101" s="10" t="str">
        <f t="shared" si="39"/>
        <v/>
      </c>
      <c r="AA101" s="10" t="str">
        <f t="shared" si="40"/>
        <v/>
      </c>
      <c r="AB101" s="10" t="str">
        <f t="shared" si="41"/>
        <v/>
      </c>
      <c r="AC101" s="10" t="str">
        <f t="shared" si="42"/>
        <v/>
      </c>
      <c r="AD101" s="10" t="str">
        <f t="shared" si="43"/>
        <v/>
      </c>
      <c r="AE101" s="10" t="str">
        <f t="shared" si="52"/>
        <v/>
      </c>
      <c r="AF101" s="10" t="str">
        <f t="shared" si="52"/>
        <v/>
      </c>
      <c r="AG101" s="10" t="str">
        <f t="shared" si="44"/>
        <v/>
      </c>
      <c r="AH101" s="10" t="str">
        <f t="shared" si="53"/>
        <v/>
      </c>
      <c r="AI101" s="10" t="str">
        <f t="shared" si="53"/>
        <v/>
      </c>
      <c r="AJ101" s="10" t="str">
        <f t="shared" si="45"/>
        <v/>
      </c>
      <c r="AK101" s="10" t="str">
        <f t="shared" si="37"/>
        <v/>
      </c>
      <c r="AL101" s="10" t="str">
        <f t="shared" si="46"/>
        <v/>
      </c>
      <c r="AM101" s="10" t="str">
        <f t="shared" si="47"/>
        <v/>
      </c>
      <c r="AN101" s="10" t="str">
        <f t="shared" si="48"/>
        <v/>
      </c>
      <c r="AO101" s="10" t="str">
        <f t="shared" si="49"/>
        <v/>
      </c>
      <c r="AP101" s="10" t="str">
        <f t="shared" si="50"/>
        <v/>
      </c>
    </row>
    <row r="102" spans="7:42" x14ac:dyDescent="0.45">
      <c r="G102" s="1"/>
      <c r="H102" s="7" t="str">
        <f>IF(G102="","",SUMIFS(Add_Contributions[[#All],[Amount ($)]],Add_Contributions[[#All],[Year]],G102))</f>
        <v/>
      </c>
      <c r="I102" s="7" t="str">
        <f t="shared" si="54"/>
        <v/>
      </c>
      <c r="J102" s="7" t="str">
        <f t="shared" si="54"/>
        <v/>
      </c>
      <c r="K102" s="7" t="str">
        <f t="shared" si="54"/>
        <v/>
      </c>
      <c r="L102" s="7" t="str">
        <f t="shared" si="54"/>
        <v/>
      </c>
      <c r="M102" s="7" t="str">
        <f t="shared" si="54"/>
        <v/>
      </c>
      <c r="N102" s="7" t="str">
        <f t="shared" si="54"/>
        <v/>
      </c>
      <c r="O102" s="7" t="str">
        <f t="shared" si="54"/>
        <v/>
      </c>
      <c r="P102" s="7" t="str">
        <f t="shared" si="54"/>
        <v/>
      </c>
      <c r="Q102" s="7" t="str">
        <f t="shared" si="54"/>
        <v/>
      </c>
      <c r="R102" s="7" t="str">
        <f t="shared" si="31"/>
        <v/>
      </c>
      <c r="S102" s="7" t="str">
        <f t="shared" si="54"/>
        <v/>
      </c>
      <c r="T102" s="7" t="str">
        <f t="shared" si="31"/>
        <v/>
      </c>
      <c r="U102" s="8" t="str">
        <f t="shared" si="38"/>
        <v/>
      </c>
      <c r="V102" s="8" t="str">
        <f t="shared" si="38"/>
        <v/>
      </c>
      <c r="W102" s="7" t="str">
        <f t="shared" si="51"/>
        <v/>
      </c>
      <c r="X102" s="7" t="str">
        <f t="shared" si="51"/>
        <v/>
      </c>
      <c r="Y102" s="10" t="str">
        <f t="shared" si="34"/>
        <v/>
      </c>
      <c r="Z102" s="10" t="str">
        <f t="shared" si="39"/>
        <v/>
      </c>
      <c r="AA102" s="10" t="str">
        <f t="shared" si="40"/>
        <v/>
      </c>
      <c r="AB102" s="10" t="str">
        <f t="shared" si="41"/>
        <v/>
      </c>
      <c r="AC102" s="10" t="str">
        <f t="shared" si="42"/>
        <v/>
      </c>
      <c r="AD102" s="10" t="str">
        <f t="shared" si="43"/>
        <v/>
      </c>
      <c r="AE102" s="10" t="str">
        <f t="shared" si="52"/>
        <v/>
      </c>
      <c r="AF102" s="10" t="str">
        <f t="shared" si="52"/>
        <v/>
      </c>
      <c r="AG102" s="10" t="str">
        <f t="shared" si="44"/>
        <v/>
      </c>
      <c r="AH102" s="10" t="str">
        <f t="shared" si="53"/>
        <v/>
      </c>
      <c r="AI102" s="10" t="str">
        <f t="shared" si="53"/>
        <v/>
      </c>
      <c r="AJ102" s="10" t="str">
        <f t="shared" si="45"/>
        <v/>
      </c>
      <c r="AK102" s="10" t="str">
        <f t="shared" si="37"/>
        <v/>
      </c>
      <c r="AL102" s="10" t="str">
        <f t="shared" si="46"/>
        <v/>
      </c>
      <c r="AM102" s="10" t="str">
        <f t="shared" si="47"/>
        <v/>
      </c>
      <c r="AN102" s="10" t="str">
        <f t="shared" si="48"/>
        <v/>
      </c>
      <c r="AO102" s="10" t="str">
        <f t="shared" si="49"/>
        <v/>
      </c>
      <c r="AP102" s="10" t="str">
        <f t="shared" si="50"/>
        <v/>
      </c>
    </row>
    <row r="103" spans="7:42" x14ac:dyDescent="0.45">
      <c r="G103" s="1"/>
      <c r="H103" s="7" t="str">
        <f>IF(G103="","",SUMIFS(Add_Contributions[[#All],[Amount ($)]],Add_Contributions[[#All],[Year]],G103))</f>
        <v/>
      </c>
      <c r="I103" s="7" t="str">
        <f t="shared" si="54"/>
        <v/>
      </c>
      <c r="J103" s="7" t="str">
        <f t="shared" si="54"/>
        <v/>
      </c>
      <c r="K103" s="7" t="str">
        <f t="shared" si="54"/>
        <v/>
      </c>
      <c r="L103" s="7" t="str">
        <f t="shared" si="54"/>
        <v/>
      </c>
      <c r="M103" s="7" t="str">
        <f t="shared" si="54"/>
        <v/>
      </c>
      <c r="N103" s="7" t="str">
        <f t="shared" si="54"/>
        <v/>
      </c>
      <c r="O103" s="7" t="str">
        <f t="shared" si="54"/>
        <v/>
      </c>
      <c r="P103" s="7" t="str">
        <f t="shared" si="54"/>
        <v/>
      </c>
      <c r="Q103" s="7" t="str">
        <f t="shared" si="54"/>
        <v/>
      </c>
      <c r="R103" s="7" t="str">
        <f t="shared" si="31"/>
        <v/>
      </c>
      <c r="S103" s="7" t="str">
        <f t="shared" si="54"/>
        <v/>
      </c>
      <c r="T103" s="7" t="str">
        <f t="shared" si="31"/>
        <v/>
      </c>
      <c r="U103" s="8" t="str">
        <f t="shared" si="38"/>
        <v/>
      </c>
      <c r="V103" s="8" t="str">
        <f t="shared" si="38"/>
        <v/>
      </c>
      <c r="W103" s="7" t="str">
        <f t="shared" si="51"/>
        <v/>
      </c>
      <c r="X103" s="7" t="str">
        <f t="shared" si="51"/>
        <v/>
      </c>
      <c r="Y103" s="10" t="str">
        <f t="shared" si="34"/>
        <v/>
      </c>
      <c r="Z103" s="10" t="str">
        <f t="shared" si="39"/>
        <v/>
      </c>
      <c r="AA103" s="10" t="str">
        <f t="shared" si="40"/>
        <v/>
      </c>
      <c r="AB103" s="10" t="str">
        <f t="shared" si="41"/>
        <v/>
      </c>
      <c r="AC103" s="10" t="str">
        <f t="shared" si="42"/>
        <v/>
      </c>
      <c r="AD103" s="10" t="str">
        <f t="shared" si="43"/>
        <v/>
      </c>
      <c r="AE103" s="10" t="str">
        <f t="shared" si="52"/>
        <v/>
      </c>
      <c r="AF103" s="10" t="str">
        <f t="shared" si="52"/>
        <v/>
      </c>
      <c r="AG103" s="10" t="str">
        <f t="shared" si="44"/>
        <v/>
      </c>
      <c r="AH103" s="10" t="str">
        <f t="shared" si="53"/>
        <v/>
      </c>
      <c r="AI103" s="10" t="str">
        <f t="shared" si="53"/>
        <v/>
      </c>
      <c r="AJ103" s="10" t="str">
        <f t="shared" si="45"/>
        <v/>
      </c>
      <c r="AK103" s="10" t="str">
        <f t="shared" si="37"/>
        <v/>
      </c>
      <c r="AL103" s="10" t="str">
        <f t="shared" si="46"/>
        <v/>
      </c>
      <c r="AM103" s="10" t="str">
        <f t="shared" si="47"/>
        <v/>
      </c>
      <c r="AN103" s="10" t="str">
        <f t="shared" si="48"/>
        <v/>
      </c>
      <c r="AO103" s="10" t="str">
        <f t="shared" si="49"/>
        <v/>
      </c>
      <c r="AP103" s="10" t="str">
        <f t="shared" si="50"/>
        <v/>
      </c>
    </row>
    <row r="104" spans="7:42" x14ac:dyDescent="0.45">
      <c r="G104" s="1"/>
      <c r="H104" s="7" t="str">
        <f>IF(G104="","",SUMIFS(Add_Contributions[[#All],[Amount ($)]],Add_Contributions[[#All],[Year]],G104))</f>
        <v/>
      </c>
      <c r="I104" s="7" t="str">
        <f t="shared" si="54"/>
        <v/>
      </c>
      <c r="J104" s="7" t="str">
        <f t="shared" si="54"/>
        <v/>
      </c>
      <c r="K104" s="7" t="str">
        <f t="shared" si="54"/>
        <v/>
      </c>
      <c r="L104" s="7" t="str">
        <f t="shared" si="54"/>
        <v/>
      </c>
      <c r="M104" s="7" t="str">
        <f t="shared" si="54"/>
        <v/>
      </c>
      <c r="N104" s="7" t="str">
        <f t="shared" si="54"/>
        <v/>
      </c>
      <c r="O104" s="7" t="str">
        <f t="shared" si="54"/>
        <v/>
      </c>
      <c r="P104" s="7" t="str">
        <f t="shared" si="54"/>
        <v/>
      </c>
      <c r="Q104" s="7" t="str">
        <f t="shared" si="54"/>
        <v/>
      </c>
      <c r="R104" s="7" t="str">
        <f t="shared" si="31"/>
        <v/>
      </c>
      <c r="S104" s="7" t="str">
        <f t="shared" si="54"/>
        <v/>
      </c>
      <c r="T104" s="7" t="str">
        <f t="shared" si="31"/>
        <v/>
      </c>
      <c r="U104" s="8" t="str">
        <f t="shared" si="38"/>
        <v/>
      </c>
      <c r="V104" s="8" t="str">
        <f t="shared" si="38"/>
        <v/>
      </c>
      <c r="W104" s="7" t="str">
        <f t="shared" si="51"/>
        <v/>
      </c>
      <c r="X104" s="7" t="str">
        <f t="shared" si="51"/>
        <v/>
      </c>
      <c r="Y104" s="10" t="str">
        <f t="shared" si="34"/>
        <v/>
      </c>
      <c r="Z104" s="10" t="str">
        <f t="shared" si="39"/>
        <v/>
      </c>
      <c r="AA104" s="10" t="str">
        <f t="shared" si="40"/>
        <v/>
      </c>
      <c r="AB104" s="10" t="str">
        <f t="shared" si="41"/>
        <v/>
      </c>
      <c r="AC104" s="10" t="str">
        <f t="shared" si="42"/>
        <v/>
      </c>
      <c r="AD104" s="10" t="str">
        <f t="shared" si="43"/>
        <v/>
      </c>
      <c r="AE104" s="10" t="str">
        <f t="shared" si="52"/>
        <v/>
      </c>
      <c r="AF104" s="10" t="str">
        <f t="shared" si="52"/>
        <v/>
      </c>
      <c r="AG104" s="10" t="str">
        <f t="shared" si="44"/>
        <v/>
      </c>
      <c r="AH104" s="10" t="str">
        <f t="shared" si="53"/>
        <v/>
      </c>
      <c r="AI104" s="10" t="str">
        <f t="shared" si="53"/>
        <v/>
      </c>
      <c r="AJ104" s="10" t="str">
        <f t="shared" si="45"/>
        <v/>
      </c>
      <c r="AK104" s="10" t="str">
        <f t="shared" si="37"/>
        <v/>
      </c>
      <c r="AL104" s="10" t="str">
        <f t="shared" si="46"/>
        <v/>
      </c>
      <c r="AM104" s="10" t="str">
        <f t="shared" si="47"/>
        <v/>
      </c>
      <c r="AN104" s="10" t="str">
        <f t="shared" si="48"/>
        <v/>
      </c>
      <c r="AO104" s="10" t="str">
        <f t="shared" si="49"/>
        <v/>
      </c>
      <c r="AP104" s="10" t="str">
        <f t="shared" si="50"/>
        <v/>
      </c>
    </row>
    <row r="105" spans="7:42" x14ac:dyDescent="0.45">
      <c r="G105" s="1"/>
      <c r="H105" s="7" t="str">
        <f>IF(G105="","",SUMIFS(Add_Contributions[[#All],[Amount ($)]],Add_Contributions[[#All],[Year]],G105))</f>
        <v/>
      </c>
      <c r="I105" s="7" t="str">
        <f t="shared" si="54"/>
        <v/>
      </c>
      <c r="J105" s="7" t="str">
        <f t="shared" si="54"/>
        <v/>
      </c>
      <c r="K105" s="7" t="str">
        <f t="shared" si="54"/>
        <v/>
      </c>
      <c r="L105" s="7" t="str">
        <f t="shared" si="54"/>
        <v/>
      </c>
      <c r="M105" s="7" t="str">
        <f t="shared" si="54"/>
        <v/>
      </c>
      <c r="N105" s="7" t="str">
        <f t="shared" si="54"/>
        <v/>
      </c>
      <c r="O105" s="7" t="str">
        <f t="shared" si="54"/>
        <v/>
      </c>
      <c r="P105" s="7" t="str">
        <f t="shared" si="54"/>
        <v/>
      </c>
      <c r="Q105" s="7" t="str">
        <f t="shared" si="54"/>
        <v/>
      </c>
      <c r="R105" s="7" t="str">
        <f t="shared" si="31"/>
        <v/>
      </c>
      <c r="S105" s="7" t="str">
        <f t="shared" si="54"/>
        <v/>
      </c>
      <c r="T105" s="7" t="str">
        <f t="shared" si="31"/>
        <v/>
      </c>
      <c r="U105" s="8" t="str">
        <f t="shared" si="38"/>
        <v/>
      </c>
      <c r="V105" s="8" t="str">
        <f t="shared" si="38"/>
        <v/>
      </c>
      <c r="W105" s="7" t="str">
        <f t="shared" si="51"/>
        <v/>
      </c>
      <c r="X105" s="7" t="str">
        <f t="shared" si="51"/>
        <v/>
      </c>
      <c r="Y105" s="10" t="str">
        <f t="shared" si="34"/>
        <v/>
      </c>
      <c r="Z105" s="10" t="str">
        <f t="shared" si="39"/>
        <v/>
      </c>
      <c r="AA105" s="10" t="str">
        <f t="shared" si="40"/>
        <v/>
      </c>
      <c r="AB105" s="10" t="str">
        <f t="shared" si="41"/>
        <v/>
      </c>
      <c r="AC105" s="10" t="str">
        <f t="shared" si="42"/>
        <v/>
      </c>
      <c r="AD105" s="10" t="str">
        <f t="shared" si="43"/>
        <v/>
      </c>
      <c r="AE105" s="10" t="str">
        <f t="shared" si="52"/>
        <v/>
      </c>
      <c r="AF105" s="10" t="str">
        <f t="shared" si="52"/>
        <v/>
      </c>
      <c r="AG105" s="10" t="str">
        <f t="shared" si="44"/>
        <v/>
      </c>
      <c r="AH105" s="10" t="str">
        <f t="shared" si="53"/>
        <v/>
      </c>
      <c r="AI105" s="10" t="str">
        <f t="shared" si="53"/>
        <v/>
      </c>
      <c r="AJ105" s="10" t="str">
        <f t="shared" si="45"/>
        <v/>
      </c>
      <c r="AK105" s="10" t="str">
        <f t="shared" si="37"/>
        <v/>
      </c>
      <c r="AL105" s="10" t="str">
        <f t="shared" si="46"/>
        <v/>
      </c>
      <c r="AM105" s="10" t="str">
        <f t="shared" si="47"/>
        <v/>
      </c>
      <c r="AN105" s="10" t="str">
        <f t="shared" si="48"/>
        <v/>
      </c>
      <c r="AO105" s="10" t="str">
        <f t="shared" si="49"/>
        <v/>
      </c>
      <c r="AP105" s="10" t="str">
        <f t="shared" si="50"/>
        <v/>
      </c>
    </row>
    <row r="106" spans="7:42" x14ac:dyDescent="0.45">
      <c r="G106" s="1"/>
      <c r="H106" s="7" t="str">
        <f>IF(G106="","",SUMIFS(Add_Contributions[[#All],[Amount ($)]],Add_Contributions[[#All],[Year]],G106))</f>
        <v/>
      </c>
      <c r="I106" s="7" t="str">
        <f t="shared" si="54"/>
        <v/>
      </c>
      <c r="J106" s="7" t="str">
        <f t="shared" si="54"/>
        <v/>
      </c>
      <c r="K106" s="7" t="str">
        <f t="shared" si="54"/>
        <v/>
      </c>
      <c r="L106" s="7" t="str">
        <f t="shared" si="54"/>
        <v/>
      </c>
      <c r="M106" s="7" t="str">
        <f t="shared" si="54"/>
        <v/>
      </c>
      <c r="N106" s="7" t="str">
        <f t="shared" si="54"/>
        <v/>
      </c>
      <c r="O106" s="7" t="str">
        <f t="shared" si="54"/>
        <v/>
      </c>
      <c r="P106" s="7" t="str">
        <f t="shared" si="54"/>
        <v/>
      </c>
      <c r="Q106" s="7" t="str">
        <f t="shared" si="54"/>
        <v/>
      </c>
      <c r="R106" s="7" t="str">
        <f t="shared" si="31"/>
        <v/>
      </c>
      <c r="S106" s="7" t="str">
        <f t="shared" si="54"/>
        <v/>
      </c>
      <c r="T106" s="7" t="str">
        <f t="shared" si="31"/>
        <v/>
      </c>
      <c r="U106" s="8" t="str">
        <f t="shared" si="38"/>
        <v/>
      </c>
      <c r="V106" s="8" t="str">
        <f t="shared" si="38"/>
        <v/>
      </c>
      <c r="W106" s="7" t="str">
        <f t="shared" ref="W106:X109" si="55">IF($G106="","",IF($G106=1,(($C$2+$H106)*W$3)*(1+(W$4-W$5)),((W105+($H106*W$3))*(1+(W$4-W$5)))))</f>
        <v/>
      </c>
      <c r="X106" s="7" t="str">
        <f t="shared" si="55"/>
        <v/>
      </c>
      <c r="Y106" s="10" t="str">
        <f t="shared" si="34"/>
        <v/>
      </c>
      <c r="Z106" s="10" t="str">
        <f t="shared" si="39"/>
        <v/>
      </c>
      <c r="AA106" s="10" t="str">
        <f t="shared" si="40"/>
        <v/>
      </c>
      <c r="AB106" s="10" t="str">
        <f t="shared" si="41"/>
        <v/>
      </c>
      <c r="AC106" s="10" t="str">
        <f t="shared" si="42"/>
        <v/>
      </c>
      <c r="AD106" s="10" t="str">
        <f t="shared" si="43"/>
        <v/>
      </c>
      <c r="AE106" s="10" t="str">
        <f t="shared" ref="AE106:AF109" si="56">IF($G106="","",IF($G106=1,Y106,(1+Y106)*(1+AE105)-1))</f>
        <v/>
      </c>
      <c r="AF106" s="10" t="str">
        <f t="shared" si="56"/>
        <v/>
      </c>
      <c r="AG106" s="10" t="str">
        <f t="shared" si="44"/>
        <v/>
      </c>
      <c r="AH106" s="10" t="str">
        <f t="shared" ref="AH106:AI109" si="57">IF($G106="","",IF($G106=1,AB106,(1+AB106)*(1+AH105)-1))</f>
        <v/>
      </c>
      <c r="AI106" s="10" t="str">
        <f t="shared" si="57"/>
        <v/>
      </c>
      <c r="AJ106" s="10" t="str">
        <f t="shared" si="45"/>
        <v/>
      </c>
      <c r="AK106" s="10" t="str">
        <f t="shared" si="37"/>
        <v/>
      </c>
      <c r="AL106" s="10" t="str">
        <f t="shared" si="46"/>
        <v/>
      </c>
      <c r="AM106" s="10" t="str">
        <f t="shared" si="47"/>
        <v/>
      </c>
      <c r="AN106" s="10" t="str">
        <f t="shared" si="48"/>
        <v/>
      </c>
      <c r="AO106" s="10" t="str">
        <f t="shared" si="49"/>
        <v/>
      </c>
      <c r="AP106" s="10" t="str">
        <f t="shared" si="50"/>
        <v/>
      </c>
    </row>
    <row r="107" spans="7:42" x14ac:dyDescent="0.45">
      <c r="G107" s="1"/>
      <c r="H107" s="7" t="str">
        <f>IF(G107="","",SUMIFS(Add_Contributions[[#All],[Amount ($)]],Add_Contributions[[#All],[Year]],G107))</f>
        <v/>
      </c>
      <c r="I107" s="7" t="str">
        <f t="shared" si="54"/>
        <v/>
      </c>
      <c r="J107" s="7" t="str">
        <f t="shared" si="54"/>
        <v/>
      </c>
      <c r="K107" s="7" t="str">
        <f t="shared" si="54"/>
        <v/>
      </c>
      <c r="L107" s="7" t="str">
        <f t="shared" si="54"/>
        <v/>
      </c>
      <c r="M107" s="7" t="str">
        <f t="shared" si="54"/>
        <v/>
      </c>
      <c r="N107" s="7" t="str">
        <f t="shared" si="54"/>
        <v/>
      </c>
      <c r="O107" s="7" t="str">
        <f t="shared" si="54"/>
        <v/>
      </c>
      <c r="P107" s="7" t="str">
        <f t="shared" si="54"/>
        <v/>
      </c>
      <c r="Q107" s="7" t="str">
        <f t="shared" si="54"/>
        <v/>
      </c>
      <c r="R107" s="7" t="str">
        <f t="shared" si="31"/>
        <v/>
      </c>
      <c r="S107" s="7" t="str">
        <f t="shared" si="54"/>
        <v/>
      </c>
      <c r="T107" s="7" t="str">
        <f t="shared" si="31"/>
        <v/>
      </c>
      <c r="U107" s="8" t="str">
        <f t="shared" si="38"/>
        <v/>
      </c>
      <c r="V107" s="8" t="str">
        <f t="shared" si="38"/>
        <v/>
      </c>
      <c r="W107" s="7" t="str">
        <f t="shared" si="55"/>
        <v/>
      </c>
      <c r="X107" s="7" t="str">
        <f t="shared" si="55"/>
        <v/>
      </c>
      <c r="Y107" s="10" t="str">
        <f t="shared" si="34"/>
        <v/>
      </c>
      <c r="Z107" s="10" t="str">
        <f t="shared" si="39"/>
        <v/>
      </c>
      <c r="AA107" s="10" t="str">
        <f t="shared" si="40"/>
        <v/>
      </c>
      <c r="AB107" s="10" t="str">
        <f t="shared" si="41"/>
        <v/>
      </c>
      <c r="AC107" s="10" t="str">
        <f t="shared" si="42"/>
        <v/>
      </c>
      <c r="AD107" s="10" t="str">
        <f t="shared" si="43"/>
        <v/>
      </c>
      <c r="AE107" s="10" t="str">
        <f t="shared" si="56"/>
        <v/>
      </c>
      <c r="AF107" s="10" t="str">
        <f t="shared" si="56"/>
        <v/>
      </c>
      <c r="AG107" s="10" t="str">
        <f t="shared" si="44"/>
        <v/>
      </c>
      <c r="AH107" s="10" t="str">
        <f t="shared" si="57"/>
        <v/>
      </c>
      <c r="AI107" s="10" t="str">
        <f t="shared" si="57"/>
        <v/>
      </c>
      <c r="AJ107" s="10" t="str">
        <f t="shared" si="45"/>
        <v/>
      </c>
      <c r="AK107" s="10" t="str">
        <f t="shared" si="37"/>
        <v/>
      </c>
      <c r="AL107" s="10" t="str">
        <f t="shared" si="46"/>
        <v/>
      </c>
      <c r="AM107" s="10" t="str">
        <f t="shared" si="47"/>
        <v/>
      </c>
      <c r="AN107" s="10" t="str">
        <f t="shared" si="48"/>
        <v/>
      </c>
      <c r="AO107" s="10" t="str">
        <f t="shared" si="49"/>
        <v/>
      </c>
      <c r="AP107" s="10" t="str">
        <f t="shared" si="50"/>
        <v/>
      </c>
    </row>
    <row r="108" spans="7:42" x14ac:dyDescent="0.45">
      <c r="G108" s="1"/>
      <c r="H108" s="7" t="str">
        <f>IF(G108="","",SUMIFS(Add_Contributions[[#All],[Amount ($)]],Add_Contributions[[#All],[Year]],G108))</f>
        <v/>
      </c>
      <c r="I108" s="7" t="str">
        <f t="shared" si="54"/>
        <v/>
      </c>
      <c r="J108" s="7" t="str">
        <f t="shared" si="54"/>
        <v/>
      </c>
      <c r="K108" s="7" t="str">
        <f t="shared" si="54"/>
        <v/>
      </c>
      <c r="L108" s="7" t="str">
        <f t="shared" si="54"/>
        <v/>
      </c>
      <c r="M108" s="7" t="str">
        <f t="shared" si="54"/>
        <v/>
      </c>
      <c r="N108" s="7" t="str">
        <f t="shared" si="54"/>
        <v/>
      </c>
      <c r="O108" s="7" t="str">
        <f t="shared" si="54"/>
        <v/>
      </c>
      <c r="P108" s="7" t="str">
        <f t="shared" si="54"/>
        <v/>
      </c>
      <c r="Q108" s="7" t="str">
        <f t="shared" si="54"/>
        <v/>
      </c>
      <c r="R108" s="7" t="str">
        <f t="shared" si="31"/>
        <v/>
      </c>
      <c r="S108" s="7" t="str">
        <f t="shared" si="54"/>
        <v/>
      </c>
      <c r="T108" s="7" t="str">
        <f t="shared" si="31"/>
        <v/>
      </c>
      <c r="U108" s="8" t="str">
        <f t="shared" si="38"/>
        <v/>
      </c>
      <c r="V108" s="8" t="str">
        <f t="shared" si="38"/>
        <v/>
      </c>
      <c r="W108" s="7" t="str">
        <f t="shared" si="55"/>
        <v/>
      </c>
      <c r="X108" s="7" t="str">
        <f t="shared" si="55"/>
        <v/>
      </c>
      <c r="Y108" s="10" t="str">
        <f t="shared" si="34"/>
        <v/>
      </c>
      <c r="Z108" s="10" t="str">
        <f t="shared" si="39"/>
        <v/>
      </c>
      <c r="AA108" s="10" t="str">
        <f t="shared" si="40"/>
        <v/>
      </c>
      <c r="AB108" s="10" t="str">
        <f t="shared" si="41"/>
        <v/>
      </c>
      <c r="AC108" s="10" t="str">
        <f t="shared" si="42"/>
        <v/>
      </c>
      <c r="AD108" s="10" t="str">
        <f t="shared" si="43"/>
        <v/>
      </c>
      <c r="AE108" s="10" t="str">
        <f t="shared" si="56"/>
        <v/>
      </c>
      <c r="AF108" s="10" t="str">
        <f t="shared" si="56"/>
        <v/>
      </c>
      <c r="AG108" s="10" t="str">
        <f t="shared" si="44"/>
        <v/>
      </c>
      <c r="AH108" s="10" t="str">
        <f t="shared" si="57"/>
        <v/>
      </c>
      <c r="AI108" s="10" t="str">
        <f t="shared" si="57"/>
        <v/>
      </c>
      <c r="AJ108" s="10" t="str">
        <f t="shared" si="45"/>
        <v/>
      </c>
      <c r="AK108" s="10" t="str">
        <f t="shared" si="37"/>
        <v/>
      </c>
      <c r="AL108" s="10" t="str">
        <f t="shared" si="46"/>
        <v/>
      </c>
      <c r="AM108" s="10" t="str">
        <f t="shared" si="47"/>
        <v/>
      </c>
      <c r="AN108" s="10" t="str">
        <f t="shared" si="48"/>
        <v/>
      </c>
      <c r="AO108" s="10" t="str">
        <f t="shared" si="49"/>
        <v/>
      </c>
      <c r="AP108" s="10" t="str">
        <f t="shared" si="50"/>
        <v/>
      </c>
    </row>
    <row r="109" spans="7:42" x14ac:dyDescent="0.45">
      <c r="G109" s="1"/>
      <c r="H109" s="7" t="str">
        <f>IF(G109="","",SUMIFS(Add_Contributions[[#All],[Amount ($)]],Add_Contributions[[#All],[Year]],G109))</f>
        <v/>
      </c>
      <c r="I109" s="7" t="str">
        <f t="shared" si="54"/>
        <v/>
      </c>
      <c r="J109" s="7" t="str">
        <f t="shared" si="54"/>
        <v/>
      </c>
      <c r="K109" s="7" t="str">
        <f t="shared" si="54"/>
        <v/>
      </c>
      <c r="L109" s="7" t="str">
        <f t="shared" si="54"/>
        <v/>
      </c>
      <c r="M109" s="7" t="str">
        <f t="shared" si="54"/>
        <v/>
      </c>
      <c r="N109" s="7" t="str">
        <f t="shared" si="54"/>
        <v/>
      </c>
      <c r="O109" s="7" t="str">
        <f t="shared" si="54"/>
        <v/>
      </c>
      <c r="P109" s="7" t="str">
        <f t="shared" si="54"/>
        <v/>
      </c>
      <c r="Q109" s="7" t="str">
        <f t="shared" si="54"/>
        <v/>
      </c>
      <c r="R109" s="7" t="str">
        <f t="shared" si="31"/>
        <v/>
      </c>
      <c r="S109" s="7" t="str">
        <f t="shared" si="54"/>
        <v/>
      </c>
      <c r="T109" s="7" t="str">
        <f t="shared" si="31"/>
        <v/>
      </c>
      <c r="U109" s="8" t="str">
        <f t="shared" si="38"/>
        <v/>
      </c>
      <c r="V109" s="8" t="str">
        <f t="shared" si="38"/>
        <v/>
      </c>
      <c r="W109" s="7" t="str">
        <f t="shared" si="55"/>
        <v/>
      </c>
      <c r="X109" s="7" t="str">
        <f t="shared" si="55"/>
        <v/>
      </c>
      <c r="Y109" s="10" t="str">
        <f t="shared" si="34"/>
        <v/>
      </c>
      <c r="Z109" s="10" t="str">
        <f t="shared" si="39"/>
        <v/>
      </c>
      <c r="AA109" s="10" t="str">
        <f t="shared" si="40"/>
        <v/>
      </c>
      <c r="AB109" s="10" t="str">
        <f t="shared" si="41"/>
        <v/>
      </c>
      <c r="AC109" s="10" t="str">
        <f t="shared" si="42"/>
        <v/>
      </c>
      <c r="AD109" s="10" t="str">
        <f t="shared" si="43"/>
        <v/>
      </c>
      <c r="AE109" s="10" t="str">
        <f t="shared" si="56"/>
        <v/>
      </c>
      <c r="AF109" s="10" t="str">
        <f t="shared" si="56"/>
        <v/>
      </c>
      <c r="AG109" s="10" t="str">
        <f t="shared" si="44"/>
        <v/>
      </c>
      <c r="AH109" s="10" t="str">
        <f t="shared" si="57"/>
        <v/>
      </c>
      <c r="AI109" s="10" t="str">
        <f t="shared" si="57"/>
        <v/>
      </c>
      <c r="AJ109" s="10" t="str">
        <f t="shared" si="45"/>
        <v/>
      </c>
      <c r="AK109" s="10" t="str">
        <f t="shared" si="37"/>
        <v/>
      </c>
      <c r="AL109" s="10" t="str">
        <f t="shared" si="46"/>
        <v/>
      </c>
      <c r="AM109" s="10" t="str">
        <f t="shared" si="47"/>
        <v/>
      </c>
      <c r="AN109" s="10" t="str">
        <f t="shared" si="48"/>
        <v/>
      </c>
      <c r="AO109" s="10" t="str">
        <f t="shared" si="49"/>
        <v/>
      </c>
      <c r="AP109" s="10" t="str">
        <f t="shared" si="50"/>
        <v/>
      </c>
    </row>
  </sheetData>
  <conditionalFormatting sqref="D5">
    <cfRule type="cellIs" dxfId="42" priority="1" operator="equal">
      <formula>"Error"</formula>
    </cfRule>
    <cfRule type="cellIs" dxfId="41" priority="2" operator="equal">
      <formula>"GOOD"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Page</vt:lpstr>
      <vt:lpstr>Chart Feeder &gt;</vt:lpstr>
      <vt:lpstr>WA PIVOT</vt:lpstr>
      <vt:lpstr>WA</vt:lpstr>
      <vt:lpstr>Rank</vt:lpstr>
      <vt:lpstr>Strategy Feeder &gt;</vt:lpstr>
      <vt:lpstr>Custom</vt:lpstr>
      <vt:lpstr>Trad. Tax.</vt:lpstr>
      <vt:lpstr>Trad. PPLI</vt:lpstr>
      <vt:lpstr>Alts. Tax.</vt:lpstr>
      <vt:lpstr>Alts. PPLI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Rickman</dc:creator>
  <cp:lastModifiedBy>Corey Rickman</cp:lastModifiedBy>
  <dcterms:created xsi:type="dcterms:W3CDTF">2025-10-27T20:46:51Z</dcterms:created>
  <dcterms:modified xsi:type="dcterms:W3CDTF">2025-10-30T19:44:37Z</dcterms:modified>
</cp:coreProperties>
</file>