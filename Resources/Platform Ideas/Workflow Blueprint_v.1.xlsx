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12ee81f89fc328/Desktop/PPLI Project/"/>
    </mc:Choice>
  </mc:AlternateContent>
  <xr:revisionPtr revIDLastSave="62" documentId="8_{3FA53153-35A5-428C-874A-8637F0A2CD94}" xr6:coauthVersionLast="47" xr6:coauthVersionMax="47" xr10:uidLastSave="{17D5FDB7-9425-4554-B77F-EFD233F0DBB6}"/>
  <bookViews>
    <workbookView xWindow="-28920" yWindow="5670" windowWidth="29040" windowHeight="15720" tabRatio="874" xr2:uid="{59AD4BEE-FB00-4BFA-8F04-2D7CE5AED8E0}"/>
  </bookViews>
  <sheets>
    <sheet name="Diagram" sheetId="32" r:id="rId1"/>
    <sheet name="Log-in" sheetId="19" r:id="rId2"/>
    <sheet name="Suitability" sheetId="20" r:id="rId3"/>
    <sheet name="Return Simulator" sheetId="2" r:id="rId4"/>
    <sheet name="Carrier Portal" sheetId="23" r:id="rId5"/>
    <sheet name="Education Portal" sheetId="27" r:id="rId6"/>
    <sheet name="Service Providers" sheetId="29" r:id="rId7"/>
    <sheet name="Policy Execution" sheetId="30" r:id="rId8"/>
    <sheet name="Portal-Widget" sheetId="31" r:id="rId9"/>
    <sheet name="Chart Feeder &gt;" sheetId="16" state="hidden" r:id="rId10"/>
    <sheet name="WA PIVOT" sheetId="14" state="hidden" r:id="rId11"/>
    <sheet name="WA" sheetId="18" state="hidden" r:id="rId12"/>
    <sheet name="Rank" sheetId="15" state="hidden" r:id="rId13"/>
    <sheet name="Strategy Feeder &gt;" sheetId="17" state="hidden" r:id="rId14"/>
    <sheet name="1" sheetId="4" state="hidden" r:id="rId15"/>
    <sheet name="2" sheetId="9" state="hidden" r:id="rId16"/>
    <sheet name="3" sheetId="10" state="hidden" r:id="rId17"/>
    <sheet name="4" sheetId="11" state="hidden" r:id="rId18"/>
    <sheet name="5" sheetId="12" state="hidden" r:id="rId19"/>
    <sheet name="Data" sheetId="22" state="hidden" r:id="rId20"/>
  </sheets>
  <definedNames>
    <definedName name="X_Axis">OFFSET(#REF!,0,0,'Return Simulator'!$D$48,1)</definedName>
  </definedNames>
  <calcPr calcId="191029"/>
  <pivotCaches>
    <pivotCache cacheId="0" r:id="rId21"/>
    <pivotCache cacheId="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31" l="1"/>
  <c r="X19" i="31" s="1"/>
  <c r="X13" i="31"/>
  <c r="X12" i="31"/>
  <c r="X11" i="31"/>
  <c r="D53" i="2"/>
  <c r="D9" i="11" s="1"/>
  <c r="D52" i="2"/>
  <c r="D8" i="12" s="1"/>
  <c r="D51" i="2"/>
  <c r="D7" i="9" s="1"/>
  <c r="C6" i="15"/>
  <c r="C14" i="15" s="1"/>
  <c r="C5" i="15"/>
  <c r="C13" i="15" s="1"/>
  <c r="C4" i="15"/>
  <c r="C12" i="15" s="1"/>
  <c r="C3" i="15"/>
  <c r="C11" i="15" s="1"/>
  <c r="C2" i="15"/>
  <c r="C10" i="15" s="1"/>
  <c r="D58" i="2"/>
  <c r="D57" i="2"/>
  <c r="D56" i="2"/>
  <c r="D48" i="2"/>
  <c r="D47" i="2"/>
  <c r="C25" i="20"/>
  <c r="C28" i="20" s="1"/>
  <c r="D7" i="10" l="1"/>
  <c r="D8" i="10"/>
  <c r="D7" i="11"/>
  <c r="D7" i="12"/>
  <c r="D9" i="9"/>
  <c r="D9" i="10"/>
  <c r="D9" i="12"/>
  <c r="D8" i="9"/>
  <c r="D8" i="11"/>
  <c r="F51" i="2"/>
  <c r="A1" i="18"/>
  <c r="K1" i="18" s="1"/>
  <c r="K6" i="18" s="1" a="1"/>
  <c r="A6" i="18" l="1" a="1"/>
  <c r="K6" i="18"/>
  <c r="A6" i="18" l="1"/>
  <c r="Z59" i="2" l="1"/>
  <c r="AC59" i="2" s="1"/>
  <c r="AF59" i="2" s="1"/>
  <c r="AI59" i="2" s="1"/>
  <c r="Z58" i="2"/>
  <c r="AC58" i="2" s="1"/>
  <c r="AF58" i="2" s="1"/>
  <c r="AI58" i="2" s="1"/>
  <c r="Z57" i="2"/>
  <c r="AC57" i="2" s="1"/>
  <c r="AF57" i="2" s="1"/>
  <c r="AI57" i="2" s="1"/>
  <c r="Z56" i="2"/>
  <c r="AC56" i="2" s="1"/>
  <c r="AF56" i="2" s="1"/>
  <c r="AI56" i="2" s="1"/>
  <c r="Z54" i="2"/>
  <c r="AC54" i="2" s="1"/>
  <c r="AF54" i="2" s="1"/>
  <c r="AI54" i="2" s="1"/>
  <c r="Z53" i="2"/>
  <c r="AC53" i="2" s="1"/>
  <c r="AF53" i="2" s="1"/>
  <c r="AI53" i="2" s="1"/>
  <c r="Z52" i="2"/>
  <c r="AC52" i="2" s="1"/>
  <c r="AF52" i="2" s="1"/>
  <c r="AI52" i="2" s="1"/>
  <c r="Z51" i="2"/>
  <c r="AC51" i="2" s="1"/>
  <c r="AF51" i="2" s="1"/>
  <c r="AI51" i="2" s="1"/>
  <c r="AI49" i="2"/>
  <c r="AF49" i="2"/>
  <c r="AC49" i="2"/>
  <c r="Z49" i="2"/>
  <c r="A2" i="15"/>
  <c r="A10" i="15" s="1"/>
  <c r="K59" i="2" l="1"/>
  <c r="N59" i="2" s="1"/>
  <c r="Q59" i="2" s="1"/>
  <c r="T59" i="2" s="1"/>
  <c r="C12" i="2"/>
  <c r="C16" i="2" s="1"/>
  <c r="C20" i="2" s="1"/>
  <c r="C24" i="2" s="1"/>
  <c r="K57" i="2"/>
  <c r="N57" i="2" s="1"/>
  <c r="Q57" i="2" s="1"/>
  <c r="T57" i="2" s="1"/>
  <c r="K56" i="2"/>
  <c r="N56" i="2" s="1"/>
  <c r="Q56" i="2" s="1"/>
  <c r="T56" i="2" s="1"/>
  <c r="K54" i="2"/>
  <c r="N54" i="2" s="1"/>
  <c r="Q54" i="2" s="1"/>
  <c r="T54" i="2" s="1"/>
  <c r="K53" i="2"/>
  <c r="N53" i="2" s="1"/>
  <c r="Q53" i="2" s="1"/>
  <c r="T53" i="2" s="1"/>
  <c r="K52" i="2"/>
  <c r="N52" i="2" s="1"/>
  <c r="Q52" i="2" s="1"/>
  <c r="T52" i="2" s="1"/>
  <c r="K51" i="2"/>
  <c r="N51" i="2" s="1"/>
  <c r="Q51" i="2" s="1"/>
  <c r="T51" i="2" s="1"/>
  <c r="C23" i="2"/>
  <c r="C19" i="2"/>
  <c r="C15" i="2"/>
  <c r="C11" i="2"/>
  <c r="T3" i="12"/>
  <c r="S3" i="12"/>
  <c r="R3" i="12"/>
  <c r="Q3" i="12"/>
  <c r="P3" i="12"/>
  <c r="O3" i="12"/>
  <c r="N3" i="12"/>
  <c r="M3" i="12"/>
  <c r="L3" i="12"/>
  <c r="K3" i="12"/>
  <c r="J3" i="12"/>
  <c r="I3" i="12"/>
  <c r="T3" i="11"/>
  <c r="S3" i="11"/>
  <c r="R3" i="11"/>
  <c r="Q3" i="11"/>
  <c r="P3" i="11"/>
  <c r="O3" i="11"/>
  <c r="N3" i="11"/>
  <c r="M3" i="11"/>
  <c r="L3" i="11"/>
  <c r="K3" i="11"/>
  <c r="J3" i="11"/>
  <c r="I3" i="11"/>
  <c r="T3" i="10"/>
  <c r="S3" i="10"/>
  <c r="R3" i="10"/>
  <c r="Q3" i="10"/>
  <c r="P3" i="10"/>
  <c r="O3" i="10"/>
  <c r="N3" i="10"/>
  <c r="M3" i="10"/>
  <c r="L3" i="10"/>
  <c r="K3" i="10"/>
  <c r="J3" i="10"/>
  <c r="I3" i="10"/>
  <c r="T3" i="9"/>
  <c r="S3" i="9"/>
  <c r="R3" i="9"/>
  <c r="Q3" i="9"/>
  <c r="P3" i="9"/>
  <c r="O3" i="9"/>
  <c r="N3" i="9"/>
  <c r="M3" i="9"/>
  <c r="L3" i="9"/>
  <c r="K3" i="9"/>
  <c r="J3" i="9"/>
  <c r="I3" i="9"/>
  <c r="C16" i="12"/>
  <c r="C15" i="12"/>
  <c r="C14" i="12"/>
  <c r="C11" i="12"/>
  <c r="L5" i="12" s="1"/>
  <c r="C9" i="12"/>
  <c r="C8" i="12"/>
  <c r="N4" i="12" s="1"/>
  <c r="C7" i="12"/>
  <c r="D5" i="12"/>
  <c r="C3" i="12"/>
  <c r="C2" i="12"/>
  <c r="C16" i="11"/>
  <c r="C15" i="11"/>
  <c r="C14" i="11"/>
  <c r="C11" i="11"/>
  <c r="P5" i="11" s="1"/>
  <c r="C9" i="11"/>
  <c r="T4" i="11" s="1"/>
  <c r="C8" i="11"/>
  <c r="P4" i="11" s="1"/>
  <c r="C7" i="11"/>
  <c r="L4" i="11" s="1"/>
  <c r="D5" i="11"/>
  <c r="C3" i="11"/>
  <c r="C2" i="11"/>
  <c r="C16" i="10"/>
  <c r="C15" i="10"/>
  <c r="C14" i="10"/>
  <c r="C11" i="10"/>
  <c r="L5" i="10" s="1"/>
  <c r="C9" i="10"/>
  <c r="R4" i="10" s="1"/>
  <c r="C8" i="10"/>
  <c r="P4" i="10" s="1"/>
  <c r="D5" i="10"/>
  <c r="C7" i="10"/>
  <c r="L4" i="10" s="1"/>
  <c r="C3" i="10"/>
  <c r="C2" i="10"/>
  <c r="C16" i="9"/>
  <c r="C15" i="9"/>
  <c r="C14" i="9"/>
  <c r="C11" i="9"/>
  <c r="P5" i="9" s="1"/>
  <c r="C9" i="9"/>
  <c r="S4" i="9" s="1"/>
  <c r="C8" i="9"/>
  <c r="M4" i="9" s="1"/>
  <c r="D5" i="9"/>
  <c r="C7" i="9"/>
  <c r="L4" i="9" s="1"/>
  <c r="C3" i="9"/>
  <c r="C2" i="9"/>
  <c r="C16" i="4"/>
  <c r="C15" i="4"/>
  <c r="C14" i="4"/>
  <c r="C11" i="4"/>
  <c r="T5" i="4" s="1"/>
  <c r="C2" i="4"/>
  <c r="C3" i="4"/>
  <c r="E9" i="4"/>
  <c r="E8" i="4"/>
  <c r="E7" i="4"/>
  <c r="D9" i="4"/>
  <c r="D8" i="4"/>
  <c r="D7" i="4"/>
  <c r="C9" i="4"/>
  <c r="T4" i="4" s="1"/>
  <c r="C8" i="4"/>
  <c r="C7" i="4"/>
  <c r="W3" i="9" l="1"/>
  <c r="X3" i="11"/>
  <c r="W3" i="11"/>
  <c r="W3" i="12"/>
  <c r="X3" i="12"/>
  <c r="W3" i="10"/>
  <c r="X3" i="10"/>
  <c r="X3" i="9"/>
  <c r="J5" i="12"/>
  <c r="N3" i="4"/>
  <c r="Q3" i="4"/>
  <c r="M4" i="11"/>
  <c r="N4" i="11"/>
  <c r="O4" i="11"/>
  <c r="S4" i="11"/>
  <c r="N5" i="4"/>
  <c r="J3" i="4"/>
  <c r="R5" i="12"/>
  <c r="N4" i="9"/>
  <c r="J5" i="9"/>
  <c r="I4" i="9"/>
  <c r="O4" i="9"/>
  <c r="P4" i="9"/>
  <c r="R4" i="9"/>
  <c r="I4" i="11"/>
  <c r="R5" i="9"/>
  <c r="J4" i="11"/>
  <c r="K4" i="11"/>
  <c r="J5" i="4"/>
  <c r="N5" i="9"/>
  <c r="L3" i="4"/>
  <c r="M3" i="4"/>
  <c r="K4" i="4"/>
  <c r="S4" i="10"/>
  <c r="L4" i="12"/>
  <c r="L4" i="4"/>
  <c r="T4" i="10"/>
  <c r="Q4" i="11"/>
  <c r="M4" i="12"/>
  <c r="M4" i="4"/>
  <c r="Q4" i="9"/>
  <c r="R4" i="11"/>
  <c r="K4" i="12"/>
  <c r="T5" i="12"/>
  <c r="P4" i="4"/>
  <c r="T4" i="9"/>
  <c r="L5" i="11"/>
  <c r="K3" i="4"/>
  <c r="J4" i="12"/>
  <c r="N4" i="4"/>
  <c r="Q4" i="4"/>
  <c r="T5" i="11"/>
  <c r="I4" i="12"/>
  <c r="J5" i="10"/>
  <c r="O4" i="4"/>
  <c r="J5" i="11"/>
  <c r="L5" i="4"/>
  <c r="T5" i="9"/>
  <c r="S4" i="4"/>
  <c r="P3" i="4"/>
  <c r="O3" i="4"/>
  <c r="P5" i="12"/>
  <c r="R3" i="4"/>
  <c r="T3" i="4"/>
  <c r="S3" i="4"/>
  <c r="K4" i="10"/>
  <c r="J4" i="10"/>
  <c r="I4" i="10"/>
  <c r="N5" i="12"/>
  <c r="P4" i="12"/>
  <c r="O4" i="12"/>
  <c r="N5" i="10"/>
  <c r="R5" i="4"/>
  <c r="R4" i="4"/>
  <c r="P5" i="4"/>
  <c r="N4" i="10"/>
  <c r="R5" i="11"/>
  <c r="N5" i="11"/>
  <c r="G10" i="12" a="1"/>
  <c r="S4" i="12"/>
  <c r="T4" i="12"/>
  <c r="R4" i="12"/>
  <c r="Q4" i="12"/>
  <c r="R5" i="10"/>
  <c r="G10" i="4" a="1"/>
  <c r="T5" i="10"/>
  <c r="P5" i="10"/>
  <c r="L5" i="9"/>
  <c r="O4" i="10"/>
  <c r="J4" i="4"/>
  <c r="I4" i="4"/>
  <c r="M4" i="10"/>
  <c r="I3" i="4"/>
  <c r="Q4" i="10"/>
  <c r="J4" i="9"/>
  <c r="K4" i="9"/>
  <c r="G10" i="11" a="1"/>
  <c r="G10" i="10" a="1"/>
  <c r="G10" i="9" a="1"/>
  <c r="D5" i="4"/>
  <c r="X5" i="12" l="1"/>
  <c r="X5" i="10"/>
  <c r="X5" i="9"/>
  <c r="X4" i="12"/>
  <c r="W4" i="12"/>
  <c r="X4" i="9"/>
  <c r="W4" i="9"/>
  <c r="X4" i="11"/>
  <c r="W4" i="11"/>
  <c r="X5" i="11"/>
  <c r="W4" i="10"/>
  <c r="X4" i="10"/>
  <c r="H24" i="4"/>
  <c r="H18" i="4"/>
  <c r="W4" i="4"/>
  <c r="X4" i="4"/>
  <c r="X5" i="4"/>
  <c r="X3" i="4"/>
  <c r="W3" i="4"/>
  <c r="H88" i="4"/>
  <c r="H73" i="4"/>
  <c r="H94" i="4"/>
  <c r="H23" i="4"/>
  <c r="H82" i="4"/>
  <c r="H89" i="4"/>
  <c r="H93" i="4"/>
  <c r="H92" i="4"/>
  <c r="H56" i="4"/>
  <c r="H55" i="4"/>
  <c r="H53" i="4"/>
  <c r="H44" i="4"/>
  <c r="H74" i="4"/>
  <c r="H72" i="4"/>
  <c r="H58" i="4"/>
  <c r="H85" i="4"/>
  <c r="H36" i="4"/>
  <c r="H42" i="4"/>
  <c r="H48" i="4"/>
  <c r="H107" i="4"/>
  <c r="H63" i="4"/>
  <c r="H69" i="4"/>
  <c r="H105" i="4"/>
  <c r="H91" i="4"/>
  <c r="H76" i="4"/>
  <c r="H57" i="4"/>
  <c r="H54" i="4"/>
  <c r="H75" i="4"/>
  <c r="H87" i="4"/>
  <c r="H106" i="4"/>
  <c r="H50" i="4"/>
  <c r="H102" i="4"/>
  <c r="H79" i="4"/>
  <c r="H77" i="4"/>
  <c r="H101" i="4"/>
  <c r="H98" i="4"/>
  <c r="H64" i="4"/>
  <c r="H52" i="4"/>
  <c r="H43" i="4"/>
  <c r="H39" i="4"/>
  <c r="H68" i="4"/>
  <c r="H83" i="4"/>
  <c r="H70" i="4"/>
  <c r="H109" i="4"/>
  <c r="H78" i="4"/>
  <c r="H65" i="4"/>
  <c r="H108" i="4"/>
  <c r="H46" i="4"/>
  <c r="H51" i="4"/>
  <c r="H35" i="4"/>
  <c r="H86" i="4"/>
  <c r="H99" i="4"/>
  <c r="H62" i="4"/>
  <c r="H33" i="4"/>
  <c r="H67" i="4"/>
  <c r="H66" i="4"/>
  <c r="H38" i="4"/>
  <c r="H40" i="4"/>
  <c r="H49" i="4"/>
  <c r="H97" i="4"/>
  <c r="H103" i="4"/>
  <c r="H81" i="4"/>
  <c r="H84" i="4"/>
  <c r="H80" i="4"/>
  <c r="H71" i="4"/>
  <c r="H37" i="4"/>
  <c r="H41" i="4"/>
  <c r="H100" i="4"/>
  <c r="H109" i="12"/>
  <c r="H35" i="12"/>
  <c r="H105" i="12"/>
  <c r="H73" i="12"/>
  <c r="H96" i="12"/>
  <c r="H50" i="12"/>
  <c r="H43" i="12"/>
  <c r="H80" i="12"/>
  <c r="H58" i="12"/>
  <c r="H101" i="12"/>
  <c r="H81" i="12"/>
  <c r="H62" i="12"/>
  <c r="H88" i="12"/>
  <c r="H104" i="12"/>
  <c r="H53" i="12"/>
  <c r="H72" i="12"/>
  <c r="H108" i="12"/>
  <c r="H97" i="12"/>
  <c r="H103" i="12"/>
  <c r="H36" i="12"/>
  <c r="H106" i="12"/>
  <c r="H85" i="12"/>
  <c r="H63" i="12"/>
  <c r="H32" i="12"/>
  <c r="H84" i="12"/>
  <c r="H61" i="12"/>
  <c r="H40" i="12"/>
  <c r="H89" i="12"/>
  <c r="H67" i="12"/>
  <c r="H46" i="12"/>
  <c r="H66" i="12"/>
  <c r="H82" i="12"/>
  <c r="H98" i="12"/>
  <c r="H68" i="12"/>
  <c r="H39" i="12"/>
  <c r="H86" i="12"/>
  <c r="H56" i="12"/>
  <c r="H99" i="12"/>
  <c r="H90" i="12"/>
  <c r="H37" i="12"/>
  <c r="H57" i="12"/>
  <c r="H54" i="12"/>
  <c r="H45" i="12"/>
  <c r="H60" i="12"/>
  <c r="H52" i="12"/>
  <c r="H70" i="12"/>
  <c r="H71" i="12"/>
  <c r="H41" i="12"/>
  <c r="H92" i="12"/>
  <c r="H79" i="12"/>
  <c r="H93" i="12"/>
  <c r="H33" i="12"/>
  <c r="H69" i="12"/>
  <c r="H78" i="12"/>
  <c r="H74" i="12"/>
  <c r="H75" i="12"/>
  <c r="H95" i="4"/>
  <c r="H76" i="12"/>
  <c r="H59" i="4"/>
  <c r="H77" i="12"/>
  <c r="H96" i="4"/>
  <c r="H45" i="4"/>
  <c r="H91" i="12"/>
  <c r="H42" i="12"/>
  <c r="H61" i="4"/>
  <c r="H47" i="4"/>
  <c r="H34" i="12"/>
  <c r="H104" i="4"/>
  <c r="H60" i="4"/>
  <c r="H90" i="4"/>
  <c r="H64" i="12"/>
  <c r="H49" i="12"/>
  <c r="H107" i="12"/>
  <c r="H38" i="12"/>
  <c r="H95" i="12"/>
  <c r="H59" i="12"/>
  <c r="H65" i="12"/>
  <c r="H100" i="12"/>
  <c r="H48" i="12"/>
  <c r="H31" i="12"/>
  <c r="H83" i="12"/>
  <c r="H102" i="12"/>
  <c r="H55" i="12"/>
  <c r="H47" i="12"/>
  <c r="H44" i="12"/>
  <c r="H51" i="12"/>
  <c r="H87" i="12"/>
  <c r="H27" i="12"/>
  <c r="H28" i="12"/>
  <c r="H30" i="12"/>
  <c r="H19" i="12"/>
  <c r="H15" i="12"/>
  <c r="H26" i="12"/>
  <c r="H24" i="12"/>
  <c r="H23" i="12"/>
  <c r="H11" i="12"/>
  <c r="H22" i="4"/>
  <c r="H34" i="4"/>
  <c r="H27" i="4"/>
  <c r="H17" i="12"/>
  <c r="H31" i="4"/>
  <c r="H20" i="4"/>
  <c r="H26" i="4"/>
  <c r="H30" i="4"/>
  <c r="H21" i="4"/>
  <c r="H32" i="4"/>
  <c r="H25" i="4"/>
  <c r="H12" i="4"/>
  <c r="H29" i="4"/>
  <c r="H11" i="4"/>
  <c r="H16" i="4"/>
  <c r="G10" i="4"/>
  <c r="H15" i="4"/>
  <c r="H17" i="4"/>
  <c r="H28" i="4"/>
  <c r="H13" i="4"/>
  <c r="H13" i="12"/>
  <c r="H22" i="12"/>
  <c r="H20" i="12"/>
  <c r="G10" i="12"/>
  <c r="H29" i="12"/>
  <c r="H14" i="4"/>
  <c r="H94" i="12"/>
  <c r="H25" i="12"/>
  <c r="H18" i="12"/>
  <c r="H16" i="12"/>
  <c r="H14" i="12"/>
  <c r="H12" i="12"/>
  <c r="H19" i="4"/>
  <c r="H21" i="12"/>
  <c r="H91" i="9"/>
  <c r="H69" i="9"/>
  <c r="H47" i="9"/>
  <c r="H89" i="9"/>
  <c r="H67" i="9"/>
  <c r="H45" i="9"/>
  <c r="H88" i="9"/>
  <c r="H66" i="9"/>
  <c r="H44" i="9"/>
  <c r="H109" i="9"/>
  <c r="H87" i="9"/>
  <c r="H65" i="9"/>
  <c r="H43" i="9"/>
  <c r="H108" i="9"/>
  <c r="H86" i="9"/>
  <c r="H64" i="9"/>
  <c r="H42" i="9"/>
  <c r="H105" i="9"/>
  <c r="H83" i="9"/>
  <c r="H61" i="9"/>
  <c r="H39" i="9"/>
  <c r="H37" i="9"/>
  <c r="H78" i="9"/>
  <c r="H104" i="9"/>
  <c r="H82" i="9"/>
  <c r="H60" i="9"/>
  <c r="H38" i="9"/>
  <c r="H103" i="9"/>
  <c r="H81" i="9"/>
  <c r="H59" i="9"/>
  <c r="H101" i="9"/>
  <c r="H79" i="9"/>
  <c r="H57" i="9"/>
  <c r="H100" i="9"/>
  <c r="H56" i="9"/>
  <c r="H99" i="9"/>
  <c r="H77" i="9"/>
  <c r="H102" i="9"/>
  <c r="H80" i="9"/>
  <c r="H58" i="9"/>
  <c r="H36" i="9"/>
  <c r="H35" i="9"/>
  <c r="H34" i="9"/>
  <c r="H97" i="9"/>
  <c r="H52" i="9"/>
  <c r="H96" i="9"/>
  <c r="H51" i="9"/>
  <c r="H95" i="9"/>
  <c r="H50" i="9"/>
  <c r="H94" i="9"/>
  <c r="H49" i="9"/>
  <c r="H93" i="9"/>
  <c r="H48" i="9"/>
  <c r="H92" i="9"/>
  <c r="H46" i="9"/>
  <c r="H90" i="9"/>
  <c r="H41" i="9"/>
  <c r="H85" i="9"/>
  <c r="H40" i="9"/>
  <c r="H76" i="9"/>
  <c r="H32" i="9"/>
  <c r="H75" i="9"/>
  <c r="H31" i="9"/>
  <c r="H74" i="9"/>
  <c r="H73" i="9"/>
  <c r="H72" i="9"/>
  <c r="H30" i="9"/>
  <c r="H71" i="9"/>
  <c r="H70" i="9"/>
  <c r="H68" i="9"/>
  <c r="H63" i="9"/>
  <c r="H62" i="9"/>
  <c r="H107" i="9"/>
  <c r="H55" i="9"/>
  <c r="H106" i="9"/>
  <c r="H54" i="9"/>
  <c r="H98" i="9"/>
  <c r="H84" i="9"/>
  <c r="H53" i="9"/>
  <c r="H33" i="9"/>
  <c r="H104" i="10"/>
  <c r="H82" i="10"/>
  <c r="H60" i="10"/>
  <c r="H38" i="10"/>
  <c r="H102" i="10"/>
  <c r="H80" i="10"/>
  <c r="H58" i="10"/>
  <c r="H36" i="10"/>
  <c r="H101" i="10"/>
  <c r="H79" i="10"/>
  <c r="H57" i="10"/>
  <c r="H35" i="10"/>
  <c r="H100" i="10"/>
  <c r="H78" i="10"/>
  <c r="H56" i="10"/>
  <c r="H34" i="10"/>
  <c r="H99" i="10"/>
  <c r="H77" i="10"/>
  <c r="H55" i="10"/>
  <c r="H33" i="10"/>
  <c r="H96" i="10"/>
  <c r="H74" i="10"/>
  <c r="H52" i="10"/>
  <c r="H30" i="10"/>
  <c r="H50" i="10"/>
  <c r="H91" i="10"/>
  <c r="H47" i="10"/>
  <c r="H95" i="10"/>
  <c r="H73" i="10"/>
  <c r="H51" i="10"/>
  <c r="H94" i="10"/>
  <c r="H72" i="10"/>
  <c r="H92" i="10"/>
  <c r="H70" i="10"/>
  <c r="H69" i="10"/>
  <c r="H90" i="10"/>
  <c r="H68" i="10"/>
  <c r="H46" i="10"/>
  <c r="H93" i="10"/>
  <c r="H71" i="10"/>
  <c r="H49" i="10"/>
  <c r="H48" i="10"/>
  <c r="H83" i="10"/>
  <c r="H32" i="10"/>
  <c r="H81" i="10"/>
  <c r="H31" i="10"/>
  <c r="H76" i="10"/>
  <c r="H75" i="10"/>
  <c r="H67" i="10"/>
  <c r="H66" i="10"/>
  <c r="H65" i="10"/>
  <c r="H64" i="10"/>
  <c r="H108" i="10"/>
  <c r="H62" i="10"/>
  <c r="H107" i="10"/>
  <c r="H61" i="10"/>
  <c r="H106" i="10"/>
  <c r="H59" i="10"/>
  <c r="H105" i="10"/>
  <c r="H54" i="10"/>
  <c r="H103" i="10"/>
  <c r="H53" i="10"/>
  <c r="H98" i="10"/>
  <c r="H45" i="10"/>
  <c r="H97" i="10"/>
  <c r="H44" i="10"/>
  <c r="H89" i="10"/>
  <c r="H43" i="10"/>
  <c r="H88" i="10"/>
  <c r="H42" i="10"/>
  <c r="H87" i="10"/>
  <c r="H41" i="10"/>
  <c r="H86" i="10"/>
  <c r="H40" i="10"/>
  <c r="H85" i="10"/>
  <c r="H39" i="10"/>
  <c r="H109" i="10"/>
  <c r="H84" i="10"/>
  <c r="H63" i="10"/>
  <c r="H37" i="10"/>
  <c r="H106" i="11"/>
  <c r="H84" i="11"/>
  <c r="H62" i="11"/>
  <c r="H40" i="11"/>
  <c r="H104" i="11"/>
  <c r="H82" i="11"/>
  <c r="H60" i="11"/>
  <c r="H38" i="11"/>
  <c r="H103" i="11"/>
  <c r="H81" i="11"/>
  <c r="H59" i="11"/>
  <c r="H37" i="11"/>
  <c r="H102" i="11"/>
  <c r="H80" i="11"/>
  <c r="H58" i="11"/>
  <c r="H101" i="11"/>
  <c r="H79" i="11"/>
  <c r="H57" i="11"/>
  <c r="H36" i="11"/>
  <c r="H98" i="11"/>
  <c r="H76" i="11"/>
  <c r="H54" i="11"/>
  <c r="H93" i="11"/>
  <c r="H71" i="11"/>
  <c r="H49" i="11"/>
  <c r="H97" i="11"/>
  <c r="H75" i="11"/>
  <c r="H53" i="11"/>
  <c r="H96" i="11"/>
  <c r="H74" i="11"/>
  <c r="H52" i="11"/>
  <c r="H33" i="11"/>
  <c r="H94" i="11"/>
  <c r="H72" i="11"/>
  <c r="H50" i="11"/>
  <c r="H31" i="11"/>
  <c r="H92" i="11"/>
  <c r="H70" i="11"/>
  <c r="H48" i="11"/>
  <c r="H95" i="11"/>
  <c r="H73" i="11"/>
  <c r="H51" i="11"/>
  <c r="H32" i="11"/>
  <c r="H89" i="11"/>
  <c r="H43" i="11"/>
  <c r="H77" i="11"/>
  <c r="H88" i="11"/>
  <c r="H42" i="11"/>
  <c r="H87" i="11"/>
  <c r="H41" i="11"/>
  <c r="H86" i="11"/>
  <c r="H39" i="11"/>
  <c r="H85" i="11"/>
  <c r="H35" i="11"/>
  <c r="H83" i="11"/>
  <c r="H34" i="11"/>
  <c r="H78" i="11"/>
  <c r="H68" i="11"/>
  <c r="H67" i="11"/>
  <c r="H30" i="11"/>
  <c r="H66" i="11"/>
  <c r="H65" i="11"/>
  <c r="H64" i="11"/>
  <c r="H109" i="11"/>
  <c r="H63" i="11"/>
  <c r="H108" i="11"/>
  <c r="H61" i="11"/>
  <c r="H107" i="11"/>
  <c r="H56" i="11"/>
  <c r="H105" i="11"/>
  <c r="H55" i="11"/>
  <c r="H100" i="11"/>
  <c r="H47" i="11"/>
  <c r="H99" i="11"/>
  <c r="H46" i="11"/>
  <c r="H91" i="11"/>
  <c r="H45" i="11"/>
  <c r="H90" i="11"/>
  <c r="H44" i="11"/>
  <c r="H69" i="11"/>
  <c r="H22" i="11"/>
  <c r="H20" i="11"/>
  <c r="H18" i="11"/>
  <c r="H16" i="11"/>
  <c r="H25" i="11"/>
  <c r="H14" i="11"/>
  <c r="H12" i="11"/>
  <c r="G10" i="11"/>
  <c r="H29" i="11"/>
  <c r="H27" i="11"/>
  <c r="H23" i="11"/>
  <c r="H13" i="11"/>
  <c r="H15" i="11"/>
  <c r="H28" i="11"/>
  <c r="H11" i="11"/>
  <c r="H24" i="11"/>
  <c r="H19" i="11"/>
  <c r="H17" i="11"/>
  <c r="H26" i="11"/>
  <c r="H21" i="11"/>
  <c r="H20" i="10"/>
  <c r="H16" i="10"/>
  <c r="H14" i="10"/>
  <c r="H11" i="10"/>
  <c r="H22" i="10"/>
  <c r="H18" i="10"/>
  <c r="H12" i="10"/>
  <c r="G10" i="10"/>
  <c r="H13" i="10"/>
  <c r="H29" i="10"/>
  <c r="H27" i="10"/>
  <c r="H25" i="10"/>
  <c r="H15" i="10"/>
  <c r="H23" i="10"/>
  <c r="H21" i="10"/>
  <c r="H19" i="10"/>
  <c r="H17" i="10"/>
  <c r="H28" i="10"/>
  <c r="H26" i="10"/>
  <c r="H24" i="10"/>
  <c r="H20" i="9"/>
  <c r="H16" i="9"/>
  <c r="H22" i="9"/>
  <c r="H18" i="9"/>
  <c r="H12" i="9"/>
  <c r="H25" i="9"/>
  <c r="H15" i="9"/>
  <c r="G10" i="9"/>
  <c r="H29" i="9"/>
  <c r="H27" i="9"/>
  <c r="H23" i="9"/>
  <c r="H21" i="9"/>
  <c r="H19" i="9"/>
  <c r="H17" i="9"/>
  <c r="H14" i="9"/>
  <c r="H28" i="9"/>
  <c r="H13" i="9"/>
  <c r="H26" i="9"/>
  <c r="H11" i="9"/>
  <c r="H24" i="9"/>
  <c r="H10" i="12" l="1"/>
  <c r="W10" i="12" s="1"/>
  <c r="W11" i="12" s="1"/>
  <c r="H10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H10" i="11"/>
  <c r="H10" i="10"/>
  <c r="W10" i="10" s="1"/>
  <c r="H10" i="9"/>
  <c r="X10" i="9" s="1"/>
  <c r="M6" i="18" s="1"/>
  <c r="I10" i="12" l="1"/>
  <c r="I11" i="12" s="1"/>
  <c r="I12" i="12" s="1"/>
  <c r="T10" i="12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T63" i="12" s="1"/>
  <c r="T64" i="12" s="1"/>
  <c r="T65" i="12" s="1"/>
  <c r="T66" i="12" s="1"/>
  <c r="T67" i="12" s="1"/>
  <c r="T68" i="12" s="1"/>
  <c r="T69" i="12" s="1"/>
  <c r="T70" i="12" s="1"/>
  <c r="T71" i="12" s="1"/>
  <c r="T72" i="12" s="1"/>
  <c r="T73" i="12" s="1"/>
  <c r="T74" i="12" s="1"/>
  <c r="T75" i="12" s="1"/>
  <c r="T76" i="12" s="1"/>
  <c r="T77" i="12" s="1"/>
  <c r="T78" i="12" s="1"/>
  <c r="T79" i="12" s="1"/>
  <c r="T80" i="12" s="1"/>
  <c r="T81" i="12" s="1"/>
  <c r="T82" i="12" s="1"/>
  <c r="T83" i="12" s="1"/>
  <c r="T84" i="12" s="1"/>
  <c r="T85" i="12" s="1"/>
  <c r="T86" i="12" s="1"/>
  <c r="T87" i="12" s="1"/>
  <c r="T88" i="12" s="1"/>
  <c r="T89" i="12" s="1"/>
  <c r="T90" i="12" s="1"/>
  <c r="T91" i="12" s="1"/>
  <c r="T92" i="12" s="1"/>
  <c r="T93" i="12" s="1"/>
  <c r="T94" i="12" s="1"/>
  <c r="T95" i="12" s="1"/>
  <c r="T96" i="12" s="1"/>
  <c r="T97" i="12" s="1"/>
  <c r="T98" i="12" s="1"/>
  <c r="T99" i="12" s="1"/>
  <c r="T100" i="12" s="1"/>
  <c r="T101" i="12" s="1"/>
  <c r="T102" i="12" s="1"/>
  <c r="T103" i="12" s="1"/>
  <c r="T104" i="12" s="1"/>
  <c r="T105" i="12" s="1"/>
  <c r="T106" i="12" s="1"/>
  <c r="T107" i="12" s="1"/>
  <c r="T108" i="12" s="1"/>
  <c r="T109" i="12" s="1"/>
  <c r="Q10" i="12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109" i="12" s="1"/>
  <c r="N10" i="12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N84" i="12" s="1"/>
  <c r="N85" i="12" s="1"/>
  <c r="N86" i="12" s="1"/>
  <c r="N87" i="12" s="1"/>
  <c r="N88" i="12" s="1"/>
  <c r="N89" i="12" s="1"/>
  <c r="N90" i="12" s="1"/>
  <c r="N91" i="12" s="1"/>
  <c r="N92" i="12" s="1"/>
  <c r="N93" i="12" s="1"/>
  <c r="N94" i="12" s="1"/>
  <c r="N95" i="12" s="1"/>
  <c r="N96" i="12" s="1"/>
  <c r="N97" i="12" s="1"/>
  <c r="N98" i="12" s="1"/>
  <c r="N99" i="12" s="1"/>
  <c r="N100" i="12" s="1"/>
  <c r="N101" i="12" s="1"/>
  <c r="N102" i="12" s="1"/>
  <c r="N103" i="12" s="1"/>
  <c r="N104" i="12" s="1"/>
  <c r="N105" i="12" s="1"/>
  <c r="N106" i="12" s="1"/>
  <c r="N107" i="12" s="1"/>
  <c r="N108" i="12" s="1"/>
  <c r="N109" i="12" s="1"/>
  <c r="S10" i="12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S68" i="12" s="1"/>
  <c r="S69" i="12" s="1"/>
  <c r="S70" i="12" s="1"/>
  <c r="S71" i="12" s="1"/>
  <c r="S72" i="12" s="1"/>
  <c r="S73" i="12" s="1"/>
  <c r="S74" i="12" s="1"/>
  <c r="S75" i="12" s="1"/>
  <c r="S76" i="12" s="1"/>
  <c r="S77" i="12" s="1"/>
  <c r="S78" i="12" s="1"/>
  <c r="S79" i="12" s="1"/>
  <c r="S80" i="12" s="1"/>
  <c r="S81" i="12" s="1"/>
  <c r="S82" i="12" s="1"/>
  <c r="S83" i="12" s="1"/>
  <c r="S84" i="12" s="1"/>
  <c r="S85" i="12" s="1"/>
  <c r="S86" i="12" s="1"/>
  <c r="S87" i="12" s="1"/>
  <c r="S88" i="12" s="1"/>
  <c r="S89" i="12" s="1"/>
  <c r="S90" i="12" s="1"/>
  <c r="S91" i="12" s="1"/>
  <c r="S92" i="12" s="1"/>
  <c r="S93" i="12" s="1"/>
  <c r="S94" i="12" s="1"/>
  <c r="S95" i="12" s="1"/>
  <c r="S96" i="12" s="1"/>
  <c r="S97" i="12" s="1"/>
  <c r="S98" i="12" s="1"/>
  <c r="S99" i="12" s="1"/>
  <c r="S100" i="12" s="1"/>
  <c r="S101" i="12" s="1"/>
  <c r="S102" i="12" s="1"/>
  <c r="S103" i="12" s="1"/>
  <c r="S104" i="12" s="1"/>
  <c r="S105" i="12" s="1"/>
  <c r="S106" i="12" s="1"/>
  <c r="S107" i="12" s="1"/>
  <c r="S108" i="12" s="1"/>
  <c r="S109" i="12" s="1"/>
  <c r="P10" i="12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P84" i="12" s="1"/>
  <c r="P85" i="12" s="1"/>
  <c r="P86" i="12" s="1"/>
  <c r="P87" i="12" s="1"/>
  <c r="P88" i="12" s="1"/>
  <c r="P89" i="12" s="1"/>
  <c r="P90" i="12" s="1"/>
  <c r="P91" i="12" s="1"/>
  <c r="P92" i="12" s="1"/>
  <c r="P93" i="12" s="1"/>
  <c r="P94" i="12" s="1"/>
  <c r="P95" i="12" s="1"/>
  <c r="P96" i="12" s="1"/>
  <c r="P97" i="12" s="1"/>
  <c r="P98" i="12" s="1"/>
  <c r="P99" i="12" s="1"/>
  <c r="P100" i="12" s="1"/>
  <c r="P101" i="12" s="1"/>
  <c r="P102" i="12" s="1"/>
  <c r="P103" i="12" s="1"/>
  <c r="P104" i="12" s="1"/>
  <c r="P105" i="12" s="1"/>
  <c r="P106" i="12" s="1"/>
  <c r="P107" i="12" s="1"/>
  <c r="P108" i="12" s="1"/>
  <c r="P109" i="12" s="1"/>
  <c r="O10" i="12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O31" i="12" s="1"/>
  <c r="O32" i="12" s="1"/>
  <c r="O33" i="12" s="1"/>
  <c r="O34" i="12" s="1"/>
  <c r="O35" i="12" s="1"/>
  <c r="O36" i="12" s="1"/>
  <c r="O37" i="12" s="1"/>
  <c r="O38" i="12" s="1"/>
  <c r="O39" i="12" s="1"/>
  <c r="O40" i="12" s="1"/>
  <c r="R10" i="12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L10" i="12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L82" i="12" s="1"/>
  <c r="L83" i="12" s="1"/>
  <c r="L84" i="12" s="1"/>
  <c r="L85" i="12" s="1"/>
  <c r="L86" i="12" s="1"/>
  <c r="L87" i="12" s="1"/>
  <c r="L88" i="12" s="1"/>
  <c r="L89" i="12" s="1"/>
  <c r="L90" i="12" s="1"/>
  <c r="L91" i="12" s="1"/>
  <c r="L92" i="12" s="1"/>
  <c r="L93" i="12" s="1"/>
  <c r="L94" i="12" s="1"/>
  <c r="L95" i="12" s="1"/>
  <c r="L96" i="12" s="1"/>
  <c r="L97" i="12" s="1"/>
  <c r="L98" i="12" s="1"/>
  <c r="L99" i="12" s="1"/>
  <c r="L100" i="12" s="1"/>
  <c r="L101" i="12" s="1"/>
  <c r="L102" i="12" s="1"/>
  <c r="L103" i="12" s="1"/>
  <c r="L104" i="12" s="1"/>
  <c r="L105" i="12" s="1"/>
  <c r="L106" i="12" s="1"/>
  <c r="L107" i="12" s="1"/>
  <c r="L108" i="12" s="1"/>
  <c r="L109" i="12" s="1"/>
  <c r="J10" i="12"/>
  <c r="J11" i="12" s="1"/>
  <c r="K10" i="12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08" i="12" s="1"/>
  <c r="K109" i="12" s="1"/>
  <c r="X10" i="12"/>
  <c r="W10" i="9"/>
  <c r="W11" i="10"/>
  <c r="AB10" i="10"/>
  <c r="AH10" i="10" s="1"/>
  <c r="AN10" i="10" s="1"/>
  <c r="AC10" i="9"/>
  <c r="X11" i="9"/>
  <c r="M7" i="18" s="1"/>
  <c r="N10" i="10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X10" i="10"/>
  <c r="N6" i="18" s="1"/>
  <c r="T10" i="1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T84" i="11" s="1"/>
  <c r="T85" i="11" s="1"/>
  <c r="T86" i="11" s="1"/>
  <c r="T87" i="11" s="1"/>
  <c r="T88" i="11" s="1"/>
  <c r="T89" i="11" s="1"/>
  <c r="T90" i="11" s="1"/>
  <c r="T91" i="11" s="1"/>
  <c r="T92" i="11" s="1"/>
  <c r="T93" i="11" s="1"/>
  <c r="T94" i="11" s="1"/>
  <c r="T95" i="11" s="1"/>
  <c r="T96" i="11" s="1"/>
  <c r="T97" i="11" s="1"/>
  <c r="T98" i="11" s="1"/>
  <c r="T99" i="11" s="1"/>
  <c r="T100" i="11" s="1"/>
  <c r="T101" i="11" s="1"/>
  <c r="T102" i="11" s="1"/>
  <c r="T103" i="11" s="1"/>
  <c r="T104" i="11" s="1"/>
  <c r="T105" i="11" s="1"/>
  <c r="T106" i="11" s="1"/>
  <c r="T107" i="11" s="1"/>
  <c r="T108" i="11" s="1"/>
  <c r="T109" i="11" s="1"/>
  <c r="X10" i="11"/>
  <c r="O6" i="18" s="1"/>
  <c r="W10" i="11"/>
  <c r="M10" i="12"/>
  <c r="AB10" i="12"/>
  <c r="AH10" i="12" s="1"/>
  <c r="AN10" i="12" s="1"/>
  <c r="AB11" i="12"/>
  <c r="W12" i="12"/>
  <c r="I10" i="9"/>
  <c r="I11" i="9" s="1"/>
  <c r="W10" i="4"/>
  <c r="X10" i="4"/>
  <c r="L6" i="18" s="1"/>
  <c r="P10" i="4"/>
  <c r="P11" i="4" s="1"/>
  <c r="M10" i="4"/>
  <c r="M11" i="4" s="1"/>
  <c r="Q10" i="4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T10" i="4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S10" i="4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J10" i="4"/>
  <c r="L10" i="4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S10" i="9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S41" i="9" s="1"/>
  <c r="S42" i="9" s="1"/>
  <c r="S43" i="9" s="1"/>
  <c r="S44" i="9" s="1"/>
  <c r="S45" i="9" s="1"/>
  <c r="S46" i="9" s="1"/>
  <c r="S47" i="9" s="1"/>
  <c r="S48" i="9" s="1"/>
  <c r="S49" i="9" s="1"/>
  <c r="S50" i="9" s="1"/>
  <c r="S51" i="9" s="1"/>
  <c r="S52" i="9" s="1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S65" i="9" s="1"/>
  <c r="S66" i="9" s="1"/>
  <c r="S67" i="9" s="1"/>
  <c r="S68" i="9" s="1"/>
  <c r="S69" i="9" s="1"/>
  <c r="S70" i="9" s="1"/>
  <c r="S71" i="9" s="1"/>
  <c r="S72" i="9" s="1"/>
  <c r="S73" i="9" s="1"/>
  <c r="S74" i="9" s="1"/>
  <c r="S75" i="9" s="1"/>
  <c r="S76" i="9" s="1"/>
  <c r="S77" i="9" s="1"/>
  <c r="S78" i="9" s="1"/>
  <c r="S79" i="9" s="1"/>
  <c r="S80" i="9" s="1"/>
  <c r="S81" i="9" s="1"/>
  <c r="S82" i="9" s="1"/>
  <c r="S83" i="9" s="1"/>
  <c r="S84" i="9" s="1"/>
  <c r="S85" i="9" s="1"/>
  <c r="S86" i="9" s="1"/>
  <c r="S87" i="9" s="1"/>
  <c r="S88" i="9" s="1"/>
  <c r="S89" i="9" s="1"/>
  <c r="S90" i="9" s="1"/>
  <c r="S91" i="9" s="1"/>
  <c r="S92" i="9" s="1"/>
  <c r="S93" i="9" s="1"/>
  <c r="S94" i="9" s="1"/>
  <c r="S95" i="9" s="1"/>
  <c r="S96" i="9" s="1"/>
  <c r="S97" i="9" s="1"/>
  <c r="S98" i="9" s="1"/>
  <c r="S99" i="9" s="1"/>
  <c r="S100" i="9" s="1"/>
  <c r="S101" i="9" s="1"/>
  <c r="S102" i="9" s="1"/>
  <c r="S103" i="9" s="1"/>
  <c r="S104" i="9" s="1"/>
  <c r="S105" i="9" s="1"/>
  <c r="S106" i="9" s="1"/>
  <c r="S107" i="9" s="1"/>
  <c r="S108" i="9" s="1"/>
  <c r="S109" i="9" s="1"/>
  <c r="O10" i="4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I10" i="4"/>
  <c r="K10" i="4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L10" i="10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L87" i="10" s="1"/>
  <c r="L88" i="10" s="1"/>
  <c r="L89" i="10" s="1"/>
  <c r="L90" i="10" s="1"/>
  <c r="L91" i="10" s="1"/>
  <c r="L92" i="10" s="1"/>
  <c r="L93" i="10" s="1"/>
  <c r="L94" i="10" s="1"/>
  <c r="L95" i="10" s="1"/>
  <c r="L96" i="10" s="1"/>
  <c r="L97" i="10" s="1"/>
  <c r="L98" i="10" s="1"/>
  <c r="L99" i="10" s="1"/>
  <c r="L100" i="10" s="1"/>
  <c r="L101" i="10" s="1"/>
  <c r="L102" i="10" s="1"/>
  <c r="L103" i="10" s="1"/>
  <c r="L104" i="10" s="1"/>
  <c r="L105" i="10" s="1"/>
  <c r="L106" i="10" s="1"/>
  <c r="L107" i="10" s="1"/>
  <c r="L108" i="10" s="1"/>
  <c r="L109" i="10" s="1"/>
  <c r="T10" i="10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T73" i="10" s="1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T84" i="10" s="1"/>
  <c r="T85" i="10" s="1"/>
  <c r="T86" i="10" s="1"/>
  <c r="T87" i="10" s="1"/>
  <c r="T88" i="10" s="1"/>
  <c r="T89" i="10" s="1"/>
  <c r="T90" i="10" s="1"/>
  <c r="T91" i="10" s="1"/>
  <c r="T92" i="10" s="1"/>
  <c r="T93" i="10" s="1"/>
  <c r="T94" i="10" s="1"/>
  <c r="T95" i="10" s="1"/>
  <c r="T96" i="10" s="1"/>
  <c r="T97" i="10" s="1"/>
  <c r="T98" i="10" s="1"/>
  <c r="T99" i="10" s="1"/>
  <c r="T100" i="10" s="1"/>
  <c r="T101" i="10" s="1"/>
  <c r="T102" i="10" s="1"/>
  <c r="T103" i="10" s="1"/>
  <c r="T104" i="10" s="1"/>
  <c r="T105" i="10" s="1"/>
  <c r="T106" i="10" s="1"/>
  <c r="T107" i="10" s="1"/>
  <c r="T108" i="10" s="1"/>
  <c r="T109" i="10" s="1"/>
  <c r="K10" i="10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N10" i="9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N109" i="9" s="1"/>
  <c r="N10" i="11"/>
  <c r="N11" i="11" s="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N40" i="11" s="1"/>
  <c r="N41" i="11" s="1"/>
  <c r="N42" i="11" s="1"/>
  <c r="N43" i="11" s="1"/>
  <c r="N44" i="11" s="1"/>
  <c r="N45" i="11" s="1"/>
  <c r="N46" i="11" s="1"/>
  <c r="N47" i="11" s="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N69" i="11" s="1"/>
  <c r="N70" i="11" s="1"/>
  <c r="N71" i="11" s="1"/>
  <c r="N72" i="11" s="1"/>
  <c r="N73" i="11" s="1"/>
  <c r="N74" i="11" s="1"/>
  <c r="N75" i="11" s="1"/>
  <c r="N76" i="11" s="1"/>
  <c r="N77" i="11" s="1"/>
  <c r="N78" i="11" s="1"/>
  <c r="N79" i="11" s="1"/>
  <c r="N80" i="11" s="1"/>
  <c r="N81" i="11" s="1"/>
  <c r="N82" i="11" s="1"/>
  <c r="N83" i="11" s="1"/>
  <c r="N84" i="11" s="1"/>
  <c r="N85" i="11" s="1"/>
  <c r="N86" i="11" s="1"/>
  <c r="N87" i="11" s="1"/>
  <c r="N88" i="11" s="1"/>
  <c r="N89" i="11" s="1"/>
  <c r="N90" i="11" s="1"/>
  <c r="N91" i="11" s="1"/>
  <c r="N92" i="11" s="1"/>
  <c r="N93" i="11" s="1"/>
  <c r="N94" i="11" s="1"/>
  <c r="N95" i="11" s="1"/>
  <c r="N96" i="11" s="1"/>
  <c r="N97" i="11" s="1"/>
  <c r="N98" i="11" s="1"/>
  <c r="N99" i="11" s="1"/>
  <c r="N100" i="11" s="1"/>
  <c r="N101" i="11" s="1"/>
  <c r="N102" i="11" s="1"/>
  <c r="N103" i="11" s="1"/>
  <c r="N104" i="11" s="1"/>
  <c r="N105" i="11" s="1"/>
  <c r="N106" i="11" s="1"/>
  <c r="N107" i="11" s="1"/>
  <c r="N108" i="11" s="1"/>
  <c r="N109" i="11" s="1"/>
  <c r="T10" i="9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T84" i="9" s="1"/>
  <c r="T85" i="9" s="1"/>
  <c r="T86" i="9" s="1"/>
  <c r="T87" i="9" s="1"/>
  <c r="T88" i="9" s="1"/>
  <c r="T89" i="9" s="1"/>
  <c r="T90" i="9" s="1"/>
  <c r="T91" i="9" s="1"/>
  <c r="T92" i="9" s="1"/>
  <c r="T93" i="9" s="1"/>
  <c r="T94" i="9" s="1"/>
  <c r="T95" i="9" s="1"/>
  <c r="T96" i="9" s="1"/>
  <c r="T97" i="9" s="1"/>
  <c r="T98" i="9" s="1"/>
  <c r="T99" i="9" s="1"/>
  <c r="T100" i="9" s="1"/>
  <c r="T101" i="9" s="1"/>
  <c r="T102" i="9" s="1"/>
  <c r="T103" i="9" s="1"/>
  <c r="T104" i="9" s="1"/>
  <c r="T105" i="9" s="1"/>
  <c r="T106" i="9" s="1"/>
  <c r="T107" i="9" s="1"/>
  <c r="T108" i="9" s="1"/>
  <c r="T109" i="9" s="1"/>
  <c r="P10" i="1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P86" i="11" s="1"/>
  <c r="P87" i="11" s="1"/>
  <c r="P88" i="11" s="1"/>
  <c r="P89" i="11" s="1"/>
  <c r="P90" i="11" s="1"/>
  <c r="P91" i="11" s="1"/>
  <c r="P92" i="11" s="1"/>
  <c r="P93" i="11" s="1"/>
  <c r="P94" i="11" s="1"/>
  <c r="P95" i="11" s="1"/>
  <c r="P96" i="11" s="1"/>
  <c r="P97" i="11" s="1"/>
  <c r="P98" i="11" s="1"/>
  <c r="P99" i="11" s="1"/>
  <c r="P100" i="11" s="1"/>
  <c r="P101" i="11" s="1"/>
  <c r="P102" i="11" s="1"/>
  <c r="P103" i="11" s="1"/>
  <c r="P104" i="11" s="1"/>
  <c r="P105" i="11" s="1"/>
  <c r="P106" i="11" s="1"/>
  <c r="P107" i="11" s="1"/>
  <c r="P108" i="11" s="1"/>
  <c r="P109" i="11" s="1"/>
  <c r="P10" i="9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P52" i="9" s="1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P65" i="9" s="1"/>
  <c r="P66" i="9" s="1"/>
  <c r="P67" i="9" s="1"/>
  <c r="P68" i="9" s="1"/>
  <c r="P69" i="9" s="1"/>
  <c r="P70" i="9" s="1"/>
  <c r="P71" i="9" s="1"/>
  <c r="P72" i="9" s="1"/>
  <c r="P73" i="9" s="1"/>
  <c r="P74" i="9" s="1"/>
  <c r="P75" i="9" s="1"/>
  <c r="P76" i="9" s="1"/>
  <c r="P77" i="9" s="1"/>
  <c r="P78" i="9" s="1"/>
  <c r="P79" i="9" s="1"/>
  <c r="P80" i="9" s="1"/>
  <c r="P81" i="9" s="1"/>
  <c r="P82" i="9" s="1"/>
  <c r="P83" i="9" s="1"/>
  <c r="P84" i="9" s="1"/>
  <c r="P85" i="9" s="1"/>
  <c r="P86" i="9" s="1"/>
  <c r="P87" i="9" s="1"/>
  <c r="P88" i="9" s="1"/>
  <c r="P89" i="9" s="1"/>
  <c r="P90" i="9" s="1"/>
  <c r="P91" i="9" s="1"/>
  <c r="P92" i="9" s="1"/>
  <c r="P93" i="9" s="1"/>
  <c r="P94" i="9" s="1"/>
  <c r="P95" i="9" s="1"/>
  <c r="P96" i="9" s="1"/>
  <c r="P97" i="9" s="1"/>
  <c r="P98" i="9" s="1"/>
  <c r="P99" i="9" s="1"/>
  <c r="P100" i="9" s="1"/>
  <c r="P101" i="9" s="1"/>
  <c r="P102" i="9" s="1"/>
  <c r="P103" i="9" s="1"/>
  <c r="P104" i="9" s="1"/>
  <c r="P105" i="9" s="1"/>
  <c r="P106" i="9" s="1"/>
  <c r="P107" i="9" s="1"/>
  <c r="P108" i="9" s="1"/>
  <c r="P109" i="9" s="1"/>
  <c r="S10" i="1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S84" i="11" s="1"/>
  <c r="S85" i="11" s="1"/>
  <c r="S86" i="11" s="1"/>
  <c r="S87" i="11" s="1"/>
  <c r="S88" i="11" s="1"/>
  <c r="S89" i="11" s="1"/>
  <c r="S90" i="11" s="1"/>
  <c r="S91" i="11" s="1"/>
  <c r="S92" i="11" s="1"/>
  <c r="S93" i="11" s="1"/>
  <c r="S94" i="11" s="1"/>
  <c r="S95" i="11" s="1"/>
  <c r="S96" i="11" s="1"/>
  <c r="S97" i="11" s="1"/>
  <c r="S98" i="11" s="1"/>
  <c r="S99" i="11" s="1"/>
  <c r="S100" i="11" s="1"/>
  <c r="S101" i="11" s="1"/>
  <c r="S102" i="11" s="1"/>
  <c r="S103" i="11" s="1"/>
  <c r="S104" i="11" s="1"/>
  <c r="S105" i="11" s="1"/>
  <c r="S106" i="11" s="1"/>
  <c r="S107" i="11" s="1"/>
  <c r="S108" i="11" s="1"/>
  <c r="S109" i="11" s="1"/>
  <c r="K10" i="9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K98" i="9" s="1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K109" i="9" s="1"/>
  <c r="J10" i="10"/>
  <c r="J11" i="10" s="1"/>
  <c r="Q10" i="10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I10" i="11"/>
  <c r="Q10" i="9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34" i="9" s="1"/>
  <c r="Q35" i="9" s="1"/>
  <c r="Q36" i="9" s="1"/>
  <c r="Q37" i="9" s="1"/>
  <c r="Q38" i="9" s="1"/>
  <c r="Q39" i="9" s="1"/>
  <c r="Q40" i="9" s="1"/>
  <c r="Q41" i="9" s="1"/>
  <c r="Q42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59" i="9" s="1"/>
  <c r="Q60" i="9" s="1"/>
  <c r="Q61" i="9" s="1"/>
  <c r="Q62" i="9" s="1"/>
  <c r="Q63" i="9" s="1"/>
  <c r="Q64" i="9" s="1"/>
  <c r="Q65" i="9" s="1"/>
  <c r="Q66" i="9" s="1"/>
  <c r="Q67" i="9" s="1"/>
  <c r="Q68" i="9" s="1"/>
  <c r="Q69" i="9" s="1"/>
  <c r="Q70" i="9" s="1"/>
  <c r="Q71" i="9" s="1"/>
  <c r="Q72" i="9" s="1"/>
  <c r="Q73" i="9" s="1"/>
  <c r="Q74" i="9" s="1"/>
  <c r="Q75" i="9" s="1"/>
  <c r="Q76" i="9" s="1"/>
  <c r="Q77" i="9" s="1"/>
  <c r="Q78" i="9" s="1"/>
  <c r="Q79" i="9" s="1"/>
  <c r="Q80" i="9" s="1"/>
  <c r="Q81" i="9" s="1"/>
  <c r="Q82" i="9" s="1"/>
  <c r="Q83" i="9" s="1"/>
  <c r="Q84" i="9" s="1"/>
  <c r="Q85" i="9" s="1"/>
  <c r="Q86" i="9" s="1"/>
  <c r="Q87" i="9" s="1"/>
  <c r="Q88" i="9" s="1"/>
  <c r="Q89" i="9" s="1"/>
  <c r="Q90" i="9" s="1"/>
  <c r="Q91" i="9" s="1"/>
  <c r="Q92" i="9" s="1"/>
  <c r="Q93" i="9" s="1"/>
  <c r="Q94" i="9" s="1"/>
  <c r="Q95" i="9" s="1"/>
  <c r="Q96" i="9" s="1"/>
  <c r="Q97" i="9" s="1"/>
  <c r="Q98" i="9" s="1"/>
  <c r="Q99" i="9" s="1"/>
  <c r="Q100" i="9" s="1"/>
  <c r="Q101" i="9" s="1"/>
  <c r="Q102" i="9" s="1"/>
  <c r="Q103" i="9" s="1"/>
  <c r="Q104" i="9" s="1"/>
  <c r="Q105" i="9" s="1"/>
  <c r="Q106" i="9" s="1"/>
  <c r="Q107" i="9" s="1"/>
  <c r="Q108" i="9" s="1"/>
  <c r="Q109" i="9" s="1"/>
  <c r="M10" i="10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M87" i="10" s="1"/>
  <c r="M88" i="10" s="1"/>
  <c r="M89" i="10" s="1"/>
  <c r="M90" i="10" s="1"/>
  <c r="M91" i="10" s="1"/>
  <c r="M92" i="10" s="1"/>
  <c r="M93" i="10" s="1"/>
  <c r="M94" i="10" s="1"/>
  <c r="M95" i="10" s="1"/>
  <c r="M96" i="10" s="1"/>
  <c r="M97" i="10" s="1"/>
  <c r="M98" i="10" s="1"/>
  <c r="M99" i="10" s="1"/>
  <c r="M100" i="10" s="1"/>
  <c r="M101" i="10" s="1"/>
  <c r="M102" i="10" s="1"/>
  <c r="M103" i="10" s="1"/>
  <c r="M104" i="10" s="1"/>
  <c r="M105" i="10" s="1"/>
  <c r="M106" i="10" s="1"/>
  <c r="M107" i="10" s="1"/>
  <c r="M108" i="10" s="1"/>
  <c r="M109" i="10" s="1"/>
  <c r="O10" i="1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O70" i="11" s="1"/>
  <c r="O71" i="11" s="1"/>
  <c r="O72" i="11" s="1"/>
  <c r="O73" i="11" s="1"/>
  <c r="O74" i="11" s="1"/>
  <c r="O75" i="11" s="1"/>
  <c r="O76" i="11" s="1"/>
  <c r="O77" i="11" s="1"/>
  <c r="O78" i="11" s="1"/>
  <c r="O79" i="11" s="1"/>
  <c r="O80" i="11" s="1"/>
  <c r="O81" i="11" s="1"/>
  <c r="O82" i="11" s="1"/>
  <c r="O83" i="11" s="1"/>
  <c r="O84" i="11" s="1"/>
  <c r="O85" i="11" s="1"/>
  <c r="O86" i="11" s="1"/>
  <c r="O87" i="11" s="1"/>
  <c r="O88" i="11" s="1"/>
  <c r="O89" i="11" s="1"/>
  <c r="O90" i="11" s="1"/>
  <c r="O91" i="11" s="1"/>
  <c r="O92" i="11" s="1"/>
  <c r="O93" i="11" s="1"/>
  <c r="O94" i="11" s="1"/>
  <c r="O95" i="11" s="1"/>
  <c r="O96" i="11" s="1"/>
  <c r="O97" i="11" s="1"/>
  <c r="O98" i="11" s="1"/>
  <c r="O99" i="11" s="1"/>
  <c r="O100" i="11" s="1"/>
  <c r="O101" i="11" s="1"/>
  <c r="O102" i="11" s="1"/>
  <c r="O103" i="11" s="1"/>
  <c r="O104" i="11" s="1"/>
  <c r="O105" i="11" s="1"/>
  <c r="O106" i="11" s="1"/>
  <c r="O107" i="11" s="1"/>
  <c r="O108" i="11" s="1"/>
  <c r="O109" i="11" s="1"/>
  <c r="R10" i="1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K10" i="1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K101" i="11" s="1"/>
  <c r="K102" i="11" s="1"/>
  <c r="K103" i="11" s="1"/>
  <c r="K104" i="11" s="1"/>
  <c r="K105" i="11" s="1"/>
  <c r="K106" i="11" s="1"/>
  <c r="K107" i="11" s="1"/>
  <c r="K108" i="11" s="1"/>
  <c r="K109" i="11" s="1"/>
  <c r="J10" i="11"/>
  <c r="J11" i="11" s="1"/>
  <c r="L10" i="9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R10" i="9"/>
  <c r="R11" i="9" s="1"/>
  <c r="R12" i="9" s="1"/>
  <c r="R13" i="9" s="1"/>
  <c r="R14" i="9" s="1"/>
  <c r="R15" i="9" s="1"/>
  <c r="R16" i="9" s="1"/>
  <c r="R17" i="9" s="1"/>
  <c r="R18" i="9" s="1"/>
  <c r="R19" i="9" s="1"/>
  <c r="R20" i="9" s="1"/>
  <c r="R21" i="9" s="1"/>
  <c r="R22" i="9" s="1"/>
  <c r="I10" i="10"/>
  <c r="O10" i="9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O88" i="9" s="1"/>
  <c r="O89" i="9" s="1"/>
  <c r="O90" i="9" s="1"/>
  <c r="O91" i="9" s="1"/>
  <c r="O92" i="9" s="1"/>
  <c r="O93" i="9" s="1"/>
  <c r="O94" i="9" s="1"/>
  <c r="O95" i="9" s="1"/>
  <c r="O96" i="9" s="1"/>
  <c r="O97" i="9" s="1"/>
  <c r="O98" i="9" s="1"/>
  <c r="O99" i="9" s="1"/>
  <c r="O100" i="9" s="1"/>
  <c r="O101" i="9" s="1"/>
  <c r="O102" i="9" s="1"/>
  <c r="O103" i="9" s="1"/>
  <c r="O104" i="9" s="1"/>
  <c r="O105" i="9" s="1"/>
  <c r="O106" i="9" s="1"/>
  <c r="O107" i="9" s="1"/>
  <c r="O108" i="9" s="1"/>
  <c r="O109" i="9" s="1"/>
  <c r="R10" i="10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J10" i="9"/>
  <c r="J11" i="9" s="1"/>
  <c r="Q10" i="1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Q70" i="11" s="1"/>
  <c r="Q71" i="11" s="1"/>
  <c r="Q72" i="11" s="1"/>
  <c r="Q73" i="11" s="1"/>
  <c r="Q74" i="11" s="1"/>
  <c r="Q75" i="11" s="1"/>
  <c r="Q76" i="11" s="1"/>
  <c r="Q77" i="11" s="1"/>
  <c r="Q78" i="11" s="1"/>
  <c r="Q79" i="11" s="1"/>
  <c r="Q80" i="11" s="1"/>
  <c r="Q81" i="11" s="1"/>
  <c r="Q82" i="11" s="1"/>
  <c r="Q83" i="11" s="1"/>
  <c r="Q84" i="11" s="1"/>
  <c r="Q85" i="11" s="1"/>
  <c r="Q86" i="11" s="1"/>
  <c r="Q87" i="11" s="1"/>
  <c r="Q88" i="11" s="1"/>
  <c r="Q89" i="11" s="1"/>
  <c r="Q90" i="11" s="1"/>
  <c r="Q91" i="11" s="1"/>
  <c r="Q92" i="11" s="1"/>
  <c r="Q93" i="11" s="1"/>
  <c r="Q94" i="11" s="1"/>
  <c r="Q95" i="11" s="1"/>
  <c r="Q96" i="11" s="1"/>
  <c r="Q97" i="11" s="1"/>
  <c r="Q98" i="11" s="1"/>
  <c r="Q99" i="11" s="1"/>
  <c r="Q100" i="11" s="1"/>
  <c r="Q101" i="11" s="1"/>
  <c r="Q102" i="11" s="1"/>
  <c r="Q103" i="11" s="1"/>
  <c r="Q104" i="11" s="1"/>
  <c r="Q105" i="11" s="1"/>
  <c r="Q106" i="11" s="1"/>
  <c r="Q107" i="11" s="1"/>
  <c r="Q108" i="11" s="1"/>
  <c r="Q109" i="11" s="1"/>
  <c r="O10" i="10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O84" i="10" s="1"/>
  <c r="O85" i="10" s="1"/>
  <c r="O86" i="10" s="1"/>
  <c r="O87" i="10" s="1"/>
  <c r="O88" i="10" s="1"/>
  <c r="O89" i="10" s="1"/>
  <c r="O90" i="10" s="1"/>
  <c r="O91" i="10" s="1"/>
  <c r="O92" i="10" s="1"/>
  <c r="O93" i="10" s="1"/>
  <c r="O94" i="10" s="1"/>
  <c r="O95" i="10" s="1"/>
  <c r="O96" i="10" s="1"/>
  <c r="O97" i="10" s="1"/>
  <c r="O98" i="10" s="1"/>
  <c r="O99" i="10" s="1"/>
  <c r="O100" i="10" s="1"/>
  <c r="O101" i="10" s="1"/>
  <c r="O102" i="10" s="1"/>
  <c r="O103" i="10" s="1"/>
  <c r="O104" i="10" s="1"/>
  <c r="O105" i="10" s="1"/>
  <c r="O106" i="10" s="1"/>
  <c r="O107" i="10" s="1"/>
  <c r="O108" i="10" s="1"/>
  <c r="O109" i="10" s="1"/>
  <c r="L10" i="1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L84" i="11" s="1"/>
  <c r="L85" i="11" s="1"/>
  <c r="L86" i="11" s="1"/>
  <c r="L87" i="11" s="1"/>
  <c r="L88" i="11" s="1"/>
  <c r="L89" i="11" s="1"/>
  <c r="L90" i="11" s="1"/>
  <c r="L91" i="11" s="1"/>
  <c r="L92" i="11" s="1"/>
  <c r="L93" i="11" s="1"/>
  <c r="L94" i="11" s="1"/>
  <c r="L95" i="11" s="1"/>
  <c r="L96" i="11" s="1"/>
  <c r="L97" i="11" s="1"/>
  <c r="L98" i="11" s="1"/>
  <c r="L99" i="11" s="1"/>
  <c r="L100" i="11" s="1"/>
  <c r="L101" i="11" s="1"/>
  <c r="L102" i="11" s="1"/>
  <c r="L103" i="11" s="1"/>
  <c r="L104" i="11" s="1"/>
  <c r="L105" i="11" s="1"/>
  <c r="L106" i="11" s="1"/>
  <c r="L107" i="11" s="1"/>
  <c r="L108" i="11" s="1"/>
  <c r="L109" i="11" s="1"/>
  <c r="M10" i="9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M86" i="9" s="1"/>
  <c r="M87" i="9" s="1"/>
  <c r="M88" i="9" s="1"/>
  <c r="M89" i="9" s="1"/>
  <c r="M90" i="9" s="1"/>
  <c r="M91" i="9" s="1"/>
  <c r="M92" i="9" s="1"/>
  <c r="M93" i="9" s="1"/>
  <c r="M94" i="9" s="1"/>
  <c r="M95" i="9" s="1"/>
  <c r="M96" i="9" s="1"/>
  <c r="M97" i="9" s="1"/>
  <c r="M98" i="9" s="1"/>
  <c r="M99" i="9" s="1"/>
  <c r="M100" i="9" s="1"/>
  <c r="M101" i="9" s="1"/>
  <c r="M102" i="9" s="1"/>
  <c r="M103" i="9" s="1"/>
  <c r="M104" i="9" s="1"/>
  <c r="M105" i="9" s="1"/>
  <c r="M106" i="9" s="1"/>
  <c r="M107" i="9" s="1"/>
  <c r="M108" i="9" s="1"/>
  <c r="M109" i="9" s="1"/>
  <c r="S10" i="10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S84" i="10" s="1"/>
  <c r="S85" i="10" s="1"/>
  <c r="S86" i="10" s="1"/>
  <c r="S87" i="10" s="1"/>
  <c r="S88" i="10" s="1"/>
  <c r="S89" i="10" s="1"/>
  <c r="S90" i="10" s="1"/>
  <c r="S91" i="10" s="1"/>
  <c r="S92" i="10" s="1"/>
  <c r="S93" i="10" s="1"/>
  <c r="S94" i="10" s="1"/>
  <c r="S95" i="10" s="1"/>
  <c r="S96" i="10" s="1"/>
  <c r="S97" i="10" s="1"/>
  <c r="S98" i="10" s="1"/>
  <c r="S99" i="10" s="1"/>
  <c r="S100" i="10" s="1"/>
  <c r="S101" i="10" s="1"/>
  <c r="S102" i="10" s="1"/>
  <c r="S103" i="10" s="1"/>
  <c r="S104" i="10" s="1"/>
  <c r="S105" i="10" s="1"/>
  <c r="S106" i="10" s="1"/>
  <c r="S107" i="10" s="1"/>
  <c r="S108" i="10" s="1"/>
  <c r="S109" i="10" s="1"/>
  <c r="P10" i="10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M103" i="11" s="1"/>
  <c r="M104" i="11" s="1"/>
  <c r="M105" i="11" s="1"/>
  <c r="M106" i="11" s="1"/>
  <c r="M107" i="11" s="1"/>
  <c r="M108" i="11" s="1"/>
  <c r="M109" i="11" s="1"/>
  <c r="V11" i="12" l="1"/>
  <c r="F7" i="18" s="1"/>
  <c r="V10" i="12"/>
  <c r="F6" i="18" s="1"/>
  <c r="X11" i="12"/>
  <c r="P6" i="18"/>
  <c r="AC10" i="12"/>
  <c r="AI10" i="12" s="1"/>
  <c r="V10" i="9"/>
  <c r="W11" i="9"/>
  <c r="AB10" i="9"/>
  <c r="AH10" i="9" s="1"/>
  <c r="AN10" i="9" s="1"/>
  <c r="R23" i="4"/>
  <c r="R24" i="4" s="1"/>
  <c r="V11" i="10"/>
  <c r="D7" i="18" s="1"/>
  <c r="V10" i="11"/>
  <c r="R23" i="9"/>
  <c r="R24" i="9" s="1"/>
  <c r="U11" i="9"/>
  <c r="V11" i="9"/>
  <c r="W11" i="11"/>
  <c r="AB10" i="11"/>
  <c r="AH10" i="11" s="1"/>
  <c r="AN10" i="11" s="1"/>
  <c r="X11" i="10"/>
  <c r="N7" i="18" s="1"/>
  <c r="AC10" i="10"/>
  <c r="U10" i="11"/>
  <c r="Y10" i="11" s="1"/>
  <c r="AE10" i="11" s="1"/>
  <c r="AK10" i="11" s="1"/>
  <c r="M11" i="12"/>
  <c r="U10" i="12"/>
  <c r="Y10" i="12" s="1"/>
  <c r="AE10" i="12" s="1"/>
  <c r="AK10" i="12" s="1"/>
  <c r="R25" i="12"/>
  <c r="R23" i="10"/>
  <c r="R24" i="10" s="1"/>
  <c r="X11" i="11"/>
  <c r="O7" i="18" s="1"/>
  <c r="AC10" i="11"/>
  <c r="U10" i="10"/>
  <c r="Y10" i="10" s="1"/>
  <c r="AE10" i="10" s="1"/>
  <c r="AK10" i="10" s="1"/>
  <c r="V11" i="11"/>
  <c r="V10" i="10"/>
  <c r="R23" i="11"/>
  <c r="R24" i="11" s="1"/>
  <c r="U10" i="9"/>
  <c r="Y10" i="9" s="1"/>
  <c r="AE10" i="9" s="1"/>
  <c r="AK10" i="9" s="1"/>
  <c r="AI10" i="9"/>
  <c r="AC11" i="9"/>
  <c r="X12" i="9"/>
  <c r="M8" i="18" s="1"/>
  <c r="W13" i="12"/>
  <c r="AB12" i="12"/>
  <c r="AH11" i="12"/>
  <c r="AN11" i="12" s="1"/>
  <c r="AB11" i="10"/>
  <c r="AH11" i="10" s="1"/>
  <c r="AN11" i="10" s="1"/>
  <c r="W12" i="10"/>
  <c r="X11" i="4"/>
  <c r="L7" i="18" s="1"/>
  <c r="AC10" i="4"/>
  <c r="AI10" i="4" s="1"/>
  <c r="W11" i="4"/>
  <c r="AB10" i="4"/>
  <c r="AH10" i="4" s="1"/>
  <c r="J11" i="4"/>
  <c r="V11" i="4" s="1"/>
  <c r="B7" i="18" s="1"/>
  <c r="I11" i="4"/>
  <c r="U11" i="4" s="1"/>
  <c r="O41" i="12"/>
  <c r="K42" i="4"/>
  <c r="V10" i="4"/>
  <c r="B6" i="18" s="1"/>
  <c r="U10" i="4"/>
  <c r="Y10" i="4" s="1"/>
  <c r="AE10" i="4" s="1"/>
  <c r="AK10" i="4" s="1"/>
  <c r="I11" i="11"/>
  <c r="U11" i="11" s="1"/>
  <c r="I11" i="10"/>
  <c r="U11" i="10" s="1"/>
  <c r="M12" i="4"/>
  <c r="J12" i="12"/>
  <c r="V12" i="12" s="1"/>
  <c r="J12" i="9"/>
  <c r="V12" i="9" s="1"/>
  <c r="C8" i="18" s="1"/>
  <c r="I13" i="12"/>
  <c r="J12" i="10"/>
  <c r="V12" i="10" s="1"/>
  <c r="J12" i="11"/>
  <c r="V12" i="11" s="1"/>
  <c r="E8" i="18" s="1"/>
  <c r="P12" i="4"/>
  <c r="I12" i="9"/>
  <c r="U12" i="9" s="1"/>
  <c r="Z10" i="12" l="1"/>
  <c r="AA10" i="12" s="1"/>
  <c r="Z11" i="12"/>
  <c r="AD10" i="9"/>
  <c r="Y11" i="11"/>
  <c r="AE11" i="11" s="1"/>
  <c r="AK11" i="11" s="1"/>
  <c r="AD10" i="12"/>
  <c r="Y12" i="9"/>
  <c r="Z10" i="10"/>
  <c r="AA10" i="10" s="1"/>
  <c r="D6" i="18"/>
  <c r="Z12" i="12"/>
  <c r="F8" i="18"/>
  <c r="Z10" i="9"/>
  <c r="AF10" i="9" s="1"/>
  <c r="AG10" i="9" s="1"/>
  <c r="C6" i="18"/>
  <c r="Z10" i="11"/>
  <c r="AA10" i="11" s="1"/>
  <c r="E6" i="18"/>
  <c r="Z11" i="11"/>
  <c r="E7" i="18"/>
  <c r="Z12" i="10"/>
  <c r="D8" i="18"/>
  <c r="Z11" i="9"/>
  <c r="C7" i="18"/>
  <c r="P7" i="18"/>
  <c r="X12" i="12"/>
  <c r="AC11" i="12"/>
  <c r="Y11" i="10"/>
  <c r="AE11" i="10" s="1"/>
  <c r="AK11" i="10" s="1"/>
  <c r="AH12" i="12"/>
  <c r="AN12" i="12" s="1"/>
  <c r="AB11" i="9"/>
  <c r="AH11" i="9" s="1"/>
  <c r="AN11" i="9" s="1"/>
  <c r="W12" i="9"/>
  <c r="Y11" i="9"/>
  <c r="AE11" i="9" s="1"/>
  <c r="AK11" i="9" s="1"/>
  <c r="AI10" i="11"/>
  <c r="AD10" i="11"/>
  <c r="R25" i="10"/>
  <c r="Z11" i="10"/>
  <c r="AC11" i="10"/>
  <c r="X12" i="10"/>
  <c r="N8" i="18" s="1"/>
  <c r="AB12" i="10"/>
  <c r="AH12" i="10" s="1"/>
  <c r="AN12" i="10" s="1"/>
  <c r="W13" i="10"/>
  <c r="R26" i="12"/>
  <c r="AO10" i="4"/>
  <c r="AJ10" i="4"/>
  <c r="Z12" i="11"/>
  <c r="R25" i="9"/>
  <c r="M12" i="12"/>
  <c r="U11" i="12"/>
  <c r="Y11" i="12" s="1"/>
  <c r="AD10" i="10"/>
  <c r="AI10" i="10"/>
  <c r="Z12" i="9"/>
  <c r="AB13" i="12"/>
  <c r="W14" i="12"/>
  <c r="R25" i="4"/>
  <c r="AO10" i="9"/>
  <c r="AP10" i="9" s="1"/>
  <c r="AJ10" i="9"/>
  <c r="W12" i="11"/>
  <c r="AB11" i="11"/>
  <c r="AH11" i="11" s="1"/>
  <c r="AN11" i="11" s="1"/>
  <c r="AC12" i="9"/>
  <c r="X13" i="9"/>
  <c r="M9" i="18" s="1"/>
  <c r="AN10" i="4"/>
  <c r="R25" i="11"/>
  <c r="X12" i="11"/>
  <c r="O8" i="18" s="1"/>
  <c r="AC11" i="11"/>
  <c r="AI11" i="9"/>
  <c r="AO10" i="12"/>
  <c r="AP10" i="12" s="1"/>
  <c r="AJ10" i="12"/>
  <c r="AD10" i="4"/>
  <c r="W12" i="4"/>
  <c r="AB11" i="4"/>
  <c r="AH11" i="4" s="1"/>
  <c r="X12" i="4"/>
  <c r="L8" i="18" s="1"/>
  <c r="AC11" i="4"/>
  <c r="I12" i="4"/>
  <c r="J12" i="4"/>
  <c r="V12" i="4" s="1"/>
  <c r="B8" i="18" s="1"/>
  <c r="Z10" i="4"/>
  <c r="AF10" i="4" s="1"/>
  <c r="AG10" i="4" s="1"/>
  <c r="O42" i="12"/>
  <c r="K43" i="4"/>
  <c r="Y11" i="4"/>
  <c r="AE11" i="4" s="1"/>
  <c r="AK11" i="4" s="1"/>
  <c r="Z11" i="4"/>
  <c r="J13" i="9"/>
  <c r="V13" i="9" s="1"/>
  <c r="J13" i="12"/>
  <c r="V13" i="12" s="1"/>
  <c r="P13" i="4"/>
  <c r="M13" i="4"/>
  <c r="J13" i="10"/>
  <c r="V13" i="10" s="1"/>
  <c r="I14" i="12"/>
  <c r="I13" i="9"/>
  <c r="U13" i="9" s="1"/>
  <c r="I12" i="10"/>
  <c r="U12" i="10" s="1"/>
  <c r="Y12" i="10" s="1"/>
  <c r="I12" i="11"/>
  <c r="U12" i="11" s="1"/>
  <c r="Y12" i="11" s="1"/>
  <c r="J13" i="11"/>
  <c r="V13" i="11" s="1"/>
  <c r="AF10" i="12" l="1"/>
  <c r="AF11" i="12" s="1"/>
  <c r="AL11" i="12" s="1"/>
  <c r="AA11" i="11"/>
  <c r="AA10" i="9"/>
  <c r="AA11" i="9"/>
  <c r="AE12" i="11"/>
  <c r="AK12" i="11" s="1"/>
  <c r="AF10" i="10"/>
  <c r="AF11" i="10" s="1"/>
  <c r="AD11" i="4"/>
  <c r="AA12" i="10"/>
  <c r="AF11" i="9"/>
  <c r="AF12" i="9" s="1"/>
  <c r="AF10" i="11"/>
  <c r="AG10" i="11" s="1"/>
  <c r="AL10" i="9"/>
  <c r="AM10" i="9" s="1"/>
  <c r="Z13" i="9"/>
  <c r="C9" i="18"/>
  <c r="AG10" i="12"/>
  <c r="Z13" i="10"/>
  <c r="D9" i="18"/>
  <c r="AL10" i="12"/>
  <c r="AM10" i="12" s="1"/>
  <c r="Z13" i="12"/>
  <c r="F9" i="18"/>
  <c r="AH13" i="12"/>
  <c r="AN13" i="12" s="1"/>
  <c r="P8" i="18"/>
  <c r="AC12" i="12"/>
  <c r="X13" i="12"/>
  <c r="Z13" i="11"/>
  <c r="E9" i="18"/>
  <c r="AD11" i="12"/>
  <c r="AI11" i="12"/>
  <c r="AE12" i="10"/>
  <c r="AK12" i="10" s="1"/>
  <c r="AE12" i="9"/>
  <c r="AK12" i="9" s="1"/>
  <c r="AB12" i="9"/>
  <c r="AH12" i="9" s="1"/>
  <c r="AN12" i="9" s="1"/>
  <c r="W13" i="9"/>
  <c r="AD11" i="9"/>
  <c r="AN11" i="4"/>
  <c r="R26" i="9"/>
  <c r="X14" i="9"/>
  <c r="M10" i="18" s="1"/>
  <c r="AC13" i="9"/>
  <c r="AC12" i="10"/>
  <c r="X13" i="10"/>
  <c r="N9" i="18" s="1"/>
  <c r="AI12" i="9"/>
  <c r="AA12" i="11"/>
  <c r="AD11" i="10"/>
  <c r="AI11" i="10"/>
  <c r="AL10" i="10"/>
  <c r="AM10" i="10" s="1"/>
  <c r="AG10" i="10"/>
  <c r="AA11" i="10"/>
  <c r="AO10" i="10"/>
  <c r="AP10" i="10" s="1"/>
  <c r="AJ10" i="10"/>
  <c r="AD11" i="11"/>
  <c r="AI11" i="11"/>
  <c r="R26" i="10"/>
  <c r="AP10" i="4"/>
  <c r="AI11" i="4"/>
  <c r="R26" i="4"/>
  <c r="AO10" i="11"/>
  <c r="AP10" i="11" s="1"/>
  <c r="AJ10" i="11"/>
  <c r="R26" i="11"/>
  <c r="W13" i="11"/>
  <c r="AB12" i="11"/>
  <c r="AH12" i="11" s="1"/>
  <c r="AN12" i="11" s="1"/>
  <c r="Y13" i="9"/>
  <c r="AE11" i="12"/>
  <c r="AA11" i="12"/>
  <c r="M13" i="12"/>
  <c r="U12" i="12"/>
  <c r="Y12" i="12" s="1"/>
  <c r="AO11" i="9"/>
  <c r="AP11" i="9" s="1"/>
  <c r="AJ11" i="9"/>
  <c r="W15" i="12"/>
  <c r="AB14" i="12"/>
  <c r="R27" i="12"/>
  <c r="R28" i="12" s="1"/>
  <c r="W14" i="10"/>
  <c r="AB13" i="10"/>
  <c r="AH13" i="10" s="1"/>
  <c r="AN13" i="10" s="1"/>
  <c r="AC12" i="11"/>
  <c r="X13" i="11"/>
  <c r="O9" i="18" s="1"/>
  <c r="AA12" i="9"/>
  <c r="X13" i="4"/>
  <c r="L9" i="18" s="1"/>
  <c r="AC12" i="4"/>
  <c r="W13" i="4"/>
  <c r="AB12" i="4"/>
  <c r="AH12" i="4" s="1"/>
  <c r="I13" i="4"/>
  <c r="U13" i="4" s="1"/>
  <c r="J13" i="4"/>
  <c r="V13" i="4" s="1"/>
  <c r="B9" i="18" s="1"/>
  <c r="U12" i="4"/>
  <c r="Y12" i="4" s="1"/>
  <c r="AE12" i="4" s="1"/>
  <c r="AK12" i="4" s="1"/>
  <c r="AF11" i="4"/>
  <c r="AL11" i="4" s="1"/>
  <c r="AM11" i="4" s="1"/>
  <c r="AL10" i="4"/>
  <c r="AM10" i="4" s="1"/>
  <c r="AA10" i="4"/>
  <c r="K44" i="4"/>
  <c r="O43" i="12"/>
  <c r="Z12" i="4"/>
  <c r="AA11" i="4"/>
  <c r="M14" i="4"/>
  <c r="I15" i="12"/>
  <c r="I13" i="10"/>
  <c r="U13" i="10" s="1"/>
  <c r="Y13" i="10" s="1"/>
  <c r="J14" i="10"/>
  <c r="V14" i="10" s="1"/>
  <c r="I14" i="9"/>
  <c r="U14" i="9" s="1"/>
  <c r="Y14" i="9" s="1"/>
  <c r="P14" i="4"/>
  <c r="J14" i="12"/>
  <c r="V14" i="12" s="1"/>
  <c r="J14" i="9"/>
  <c r="V14" i="9" s="1"/>
  <c r="J14" i="11"/>
  <c r="V14" i="11" s="1"/>
  <c r="I13" i="11"/>
  <c r="U13" i="11" s="1"/>
  <c r="Y13" i="11" s="1"/>
  <c r="AF12" i="12" l="1"/>
  <c r="AF13" i="12" s="1"/>
  <c r="AL13" i="12" s="1"/>
  <c r="AE13" i="11"/>
  <c r="AK13" i="11" s="1"/>
  <c r="AF11" i="11"/>
  <c r="AF12" i="11" s="1"/>
  <c r="AG12" i="11" s="1"/>
  <c r="AG11" i="9"/>
  <c r="AL11" i="9"/>
  <c r="AM11" i="9" s="1"/>
  <c r="AF13" i="9"/>
  <c r="AL13" i="9" s="1"/>
  <c r="AL10" i="11"/>
  <c r="AM10" i="11" s="1"/>
  <c r="AE13" i="9"/>
  <c r="AK13" i="9" s="1"/>
  <c r="P9" i="18"/>
  <c r="AC13" i="12"/>
  <c r="X14" i="12"/>
  <c r="AD12" i="12"/>
  <c r="AI12" i="12"/>
  <c r="AO11" i="12"/>
  <c r="AP11" i="12" s="1"/>
  <c r="AJ11" i="12"/>
  <c r="AD12" i="9"/>
  <c r="AL12" i="12"/>
  <c r="Z14" i="9"/>
  <c r="AA14" i="9" s="1"/>
  <c r="C10" i="18"/>
  <c r="Z14" i="11"/>
  <c r="E10" i="18"/>
  <c r="Z14" i="12"/>
  <c r="F10" i="18"/>
  <c r="AH14" i="12"/>
  <c r="AN14" i="12" s="1"/>
  <c r="Z14" i="10"/>
  <c r="D10" i="18"/>
  <c r="AE13" i="10"/>
  <c r="AK13" i="10" s="1"/>
  <c r="AA13" i="10"/>
  <c r="AA13" i="9"/>
  <c r="W14" i="9"/>
  <c r="AB13" i="9"/>
  <c r="AH13" i="9" s="1"/>
  <c r="AN13" i="9" s="1"/>
  <c r="AN12" i="4"/>
  <c r="AJ11" i="10"/>
  <c r="AO11" i="10"/>
  <c r="AP11" i="10" s="1"/>
  <c r="M14" i="12"/>
  <c r="U13" i="12"/>
  <c r="Y13" i="12" s="1"/>
  <c r="R27" i="4"/>
  <c r="R28" i="4" s="1"/>
  <c r="AJ11" i="4"/>
  <c r="AO11" i="4"/>
  <c r="AP11" i="4" s="1"/>
  <c r="AJ12" i="9"/>
  <c r="AO12" i="9"/>
  <c r="AP12" i="9" s="1"/>
  <c r="AL12" i="9"/>
  <c r="AM12" i="9" s="1"/>
  <c r="AG12" i="9"/>
  <c r="AC13" i="10"/>
  <c r="X14" i="10"/>
  <c r="N10" i="18" s="1"/>
  <c r="AI12" i="11"/>
  <c r="AD12" i="11"/>
  <c r="AA13" i="11"/>
  <c r="AI13" i="9"/>
  <c r="R27" i="10"/>
  <c r="R28" i="10" s="1"/>
  <c r="AC14" i="9"/>
  <c r="X15" i="9"/>
  <c r="M11" i="18" s="1"/>
  <c r="AK11" i="12"/>
  <c r="AM11" i="12" s="1"/>
  <c r="AG11" i="12"/>
  <c r="W14" i="11"/>
  <c r="AB13" i="11"/>
  <c r="AH13" i="11" s="1"/>
  <c r="AN13" i="11" s="1"/>
  <c r="AO11" i="11"/>
  <c r="AP11" i="11" s="1"/>
  <c r="AJ11" i="11"/>
  <c r="AE12" i="12"/>
  <c r="AA12" i="12"/>
  <c r="AB14" i="10"/>
  <c r="AH14" i="10" s="1"/>
  <c r="AN14" i="10" s="1"/>
  <c r="W15" i="10"/>
  <c r="R27" i="9"/>
  <c r="R28" i="9" s="1"/>
  <c r="AB15" i="12"/>
  <c r="W16" i="12"/>
  <c r="AL11" i="10"/>
  <c r="AM11" i="10" s="1"/>
  <c r="AG11" i="10"/>
  <c r="AF12" i="10"/>
  <c r="AC13" i="11"/>
  <c r="X14" i="11"/>
  <c r="O10" i="18" s="1"/>
  <c r="AD12" i="10"/>
  <c r="AI12" i="10"/>
  <c r="AI12" i="4"/>
  <c r="R27" i="11"/>
  <c r="R28" i="11" s="1"/>
  <c r="R29" i="12"/>
  <c r="AG11" i="11"/>
  <c r="W14" i="4"/>
  <c r="AB13" i="4"/>
  <c r="AH13" i="4" s="1"/>
  <c r="AD12" i="4"/>
  <c r="AA12" i="4"/>
  <c r="X14" i="4"/>
  <c r="L10" i="18" s="1"/>
  <c r="AC13" i="4"/>
  <c r="J14" i="4"/>
  <c r="V14" i="4" s="1"/>
  <c r="B10" i="18" s="1"/>
  <c r="Y13" i="4"/>
  <c r="AE13" i="4" s="1"/>
  <c r="AK13" i="4" s="1"/>
  <c r="I14" i="4"/>
  <c r="AG11" i="4"/>
  <c r="AF12" i="4"/>
  <c r="AL12" i="4" s="1"/>
  <c r="AM12" i="4" s="1"/>
  <c r="O44" i="12"/>
  <c r="K45" i="4"/>
  <c r="Z13" i="4"/>
  <c r="J15" i="11"/>
  <c r="V15" i="11" s="1"/>
  <c r="I14" i="10"/>
  <c r="U14" i="10" s="1"/>
  <c r="Y14" i="10" s="1"/>
  <c r="J15" i="12"/>
  <c r="V15" i="12" s="1"/>
  <c r="M15" i="4"/>
  <c r="J15" i="9"/>
  <c r="V15" i="9" s="1"/>
  <c r="J15" i="10"/>
  <c r="V15" i="10" s="1"/>
  <c r="P15" i="4"/>
  <c r="I16" i="12"/>
  <c r="I14" i="11"/>
  <c r="U14" i="11" s="1"/>
  <c r="Y14" i="11" s="1"/>
  <c r="AE14" i="11" s="1"/>
  <c r="AK14" i="11" s="1"/>
  <c r="I15" i="9"/>
  <c r="U15" i="9" s="1"/>
  <c r="Y15" i="9" s="1"/>
  <c r="AF14" i="12" l="1"/>
  <c r="AL11" i="11"/>
  <c r="AM11" i="11" s="1"/>
  <c r="AL12" i="11"/>
  <c r="AM12" i="11" s="1"/>
  <c r="AF13" i="11"/>
  <c r="AF14" i="11" s="1"/>
  <c r="AD13" i="9"/>
  <c r="AG13" i="9"/>
  <c r="AM13" i="9"/>
  <c r="AA14" i="10"/>
  <c r="AE14" i="9"/>
  <c r="AK14" i="9" s="1"/>
  <c r="AF14" i="9"/>
  <c r="AL14" i="9" s="1"/>
  <c r="Z15" i="9"/>
  <c r="AA15" i="9" s="1"/>
  <c r="C11" i="18"/>
  <c r="AA14" i="11"/>
  <c r="AE14" i="10"/>
  <c r="AK14" i="10" s="1"/>
  <c r="Z15" i="12"/>
  <c r="AF15" i="12" s="1"/>
  <c r="F11" i="18"/>
  <c r="Z15" i="10"/>
  <c r="D11" i="18"/>
  <c r="AJ12" i="12"/>
  <c r="AO12" i="12"/>
  <c r="AP12" i="12" s="1"/>
  <c r="Z15" i="11"/>
  <c r="E11" i="18"/>
  <c r="P10" i="18"/>
  <c r="X15" i="12"/>
  <c r="AC14" i="12"/>
  <c r="AH15" i="12"/>
  <c r="AN15" i="12" s="1"/>
  <c r="AI13" i="12"/>
  <c r="AD13" i="12"/>
  <c r="W15" i="9"/>
  <c r="AB14" i="9"/>
  <c r="AH14" i="9" s="1"/>
  <c r="AN14" i="9" s="1"/>
  <c r="AN13" i="4"/>
  <c r="W17" i="12"/>
  <c r="AB16" i="12"/>
  <c r="W16" i="10"/>
  <c r="AB15" i="10"/>
  <c r="AH15" i="10" s="1"/>
  <c r="AN15" i="10" s="1"/>
  <c r="R30" i="12"/>
  <c r="AC15" i="9"/>
  <c r="X16" i="9"/>
  <c r="M12" i="18" s="1"/>
  <c r="AL12" i="10"/>
  <c r="AM12" i="10" s="1"/>
  <c r="AG12" i="10"/>
  <c r="AF13" i="10"/>
  <c r="AO12" i="11"/>
  <c r="AP12" i="11" s="1"/>
  <c r="AJ12" i="11"/>
  <c r="R29" i="11"/>
  <c r="AE13" i="12"/>
  <c r="AA13" i="12"/>
  <c r="AD13" i="4"/>
  <c r="AI13" i="4"/>
  <c r="M15" i="12"/>
  <c r="U14" i="12"/>
  <c r="Y14" i="12" s="1"/>
  <c r="AC14" i="10"/>
  <c r="X15" i="10"/>
  <c r="N11" i="18" s="1"/>
  <c r="AI13" i="10"/>
  <c r="AD13" i="10"/>
  <c r="R29" i="9"/>
  <c r="AJ12" i="4"/>
  <c r="AO12" i="4"/>
  <c r="AP12" i="4" s="1"/>
  <c r="AC14" i="11"/>
  <c r="X15" i="11"/>
  <c r="O11" i="18" s="1"/>
  <c r="AI14" i="9"/>
  <c r="R29" i="10"/>
  <c r="AJ13" i="9"/>
  <c r="AO13" i="9"/>
  <c r="AP13" i="9" s="1"/>
  <c r="AL14" i="12"/>
  <c r="R29" i="4"/>
  <c r="AJ12" i="10"/>
  <c r="AO12" i="10"/>
  <c r="AP12" i="10" s="1"/>
  <c r="AK12" i="12"/>
  <c r="AM12" i="12" s="1"/>
  <c r="AG12" i="12"/>
  <c r="AI13" i="11"/>
  <c r="AD13" i="11"/>
  <c r="AB14" i="11"/>
  <c r="AH14" i="11" s="1"/>
  <c r="AN14" i="11" s="1"/>
  <c r="W15" i="11"/>
  <c r="AA13" i="4"/>
  <c r="X15" i="4"/>
  <c r="L11" i="18" s="1"/>
  <c r="AC14" i="4"/>
  <c r="W15" i="4"/>
  <c r="AB14" i="4"/>
  <c r="AH14" i="4" s="1"/>
  <c r="I15" i="4"/>
  <c r="U15" i="4" s="1"/>
  <c r="J15" i="4"/>
  <c r="V15" i="4" s="1"/>
  <c r="B11" i="18" s="1"/>
  <c r="U14" i="4"/>
  <c r="Y14" i="4" s="1"/>
  <c r="AE14" i="4" s="1"/>
  <c r="AK14" i="4" s="1"/>
  <c r="AG12" i="4"/>
  <c r="K46" i="4"/>
  <c r="O45" i="12"/>
  <c r="AF13" i="4"/>
  <c r="AL13" i="4" s="1"/>
  <c r="AM13" i="4" s="1"/>
  <c r="Z14" i="4"/>
  <c r="J16" i="12"/>
  <c r="V16" i="12" s="1"/>
  <c r="I15" i="10"/>
  <c r="U15" i="10" s="1"/>
  <c r="Y15" i="10" s="1"/>
  <c r="J16" i="10"/>
  <c r="V16" i="10" s="1"/>
  <c r="P16" i="4"/>
  <c r="I16" i="9"/>
  <c r="U16" i="9" s="1"/>
  <c r="Y16" i="9" s="1"/>
  <c r="M16" i="4"/>
  <c r="I15" i="11"/>
  <c r="U15" i="11" s="1"/>
  <c r="Y15" i="11" s="1"/>
  <c r="AE15" i="11" s="1"/>
  <c r="AK15" i="11" s="1"/>
  <c r="I17" i="12"/>
  <c r="J16" i="9"/>
  <c r="V16" i="9" s="1"/>
  <c r="J16" i="11"/>
  <c r="V16" i="11" s="1"/>
  <c r="AG14" i="11" l="1"/>
  <c r="AL14" i="11"/>
  <c r="AM14" i="11" s="1"/>
  <c r="AF15" i="11"/>
  <c r="AL15" i="11" s="1"/>
  <c r="AM15" i="11" s="1"/>
  <c r="AE15" i="9"/>
  <c r="AK15" i="9" s="1"/>
  <c r="AG13" i="11"/>
  <c r="AL13" i="11"/>
  <c r="AM13" i="11" s="1"/>
  <c r="AM14" i="9"/>
  <c r="AF15" i="9"/>
  <c r="AG14" i="9"/>
  <c r="AE15" i="10"/>
  <c r="AK15" i="10" s="1"/>
  <c r="AD14" i="9"/>
  <c r="Y15" i="4"/>
  <c r="AE15" i="4" s="1"/>
  <c r="AK15" i="4" s="1"/>
  <c r="AA15" i="10"/>
  <c r="Z16" i="12"/>
  <c r="AF16" i="12" s="1"/>
  <c r="F12" i="18"/>
  <c r="AI14" i="12"/>
  <c r="AD14" i="12"/>
  <c r="Z16" i="10"/>
  <c r="D12" i="18"/>
  <c r="Z16" i="11"/>
  <c r="AF16" i="11" s="1"/>
  <c r="E12" i="18"/>
  <c r="P11" i="18"/>
  <c r="X16" i="12"/>
  <c r="AC15" i="12"/>
  <c r="Z16" i="9"/>
  <c r="AA16" i="9" s="1"/>
  <c r="C12" i="18"/>
  <c r="AH16" i="12"/>
  <c r="AN16" i="12" s="1"/>
  <c r="AO13" i="12"/>
  <c r="AP13" i="12" s="1"/>
  <c r="AJ13" i="12"/>
  <c r="AI14" i="4"/>
  <c r="AO14" i="4" s="1"/>
  <c r="AB15" i="9"/>
  <c r="AH15" i="9" s="1"/>
  <c r="AN15" i="9" s="1"/>
  <c r="W16" i="9"/>
  <c r="AN14" i="4"/>
  <c r="AL13" i="10"/>
  <c r="AM13" i="10" s="1"/>
  <c r="AG13" i="10"/>
  <c r="AF14" i="10"/>
  <c r="AC16" i="9"/>
  <c r="X17" i="9"/>
  <c r="M13" i="18" s="1"/>
  <c r="AO13" i="10"/>
  <c r="AP13" i="10" s="1"/>
  <c r="AJ13" i="10"/>
  <c r="AC15" i="10"/>
  <c r="X16" i="10"/>
  <c r="N12" i="18" s="1"/>
  <c r="AI14" i="10"/>
  <c r="AD14" i="10"/>
  <c r="AJ13" i="4"/>
  <c r="AO13" i="4"/>
  <c r="AP13" i="4" s="1"/>
  <c r="R30" i="10"/>
  <c r="AK13" i="12"/>
  <c r="AM13" i="12" s="1"/>
  <c r="AG13" i="12"/>
  <c r="W17" i="10"/>
  <c r="AB16" i="10"/>
  <c r="AH16" i="10" s="1"/>
  <c r="AN16" i="10" s="1"/>
  <c r="R30" i="4"/>
  <c r="AI15" i="9"/>
  <c r="AE14" i="12"/>
  <c r="AA14" i="12"/>
  <c r="AJ14" i="9"/>
  <c r="AO14" i="9"/>
  <c r="AP14" i="9" s="1"/>
  <c r="R30" i="9"/>
  <c r="M16" i="12"/>
  <c r="U15" i="12"/>
  <c r="Y15" i="12" s="1"/>
  <c r="W16" i="11"/>
  <c r="AB15" i="11"/>
  <c r="AH15" i="11" s="1"/>
  <c r="AN15" i="11" s="1"/>
  <c r="R30" i="11"/>
  <c r="AL15" i="9"/>
  <c r="AM15" i="9" s="1"/>
  <c r="AG15" i="9"/>
  <c r="R31" i="12"/>
  <c r="R32" i="12" s="1"/>
  <c r="R33" i="12" s="1"/>
  <c r="R34" i="12" s="1"/>
  <c r="R35" i="12" s="1"/>
  <c r="R36" i="12" s="1"/>
  <c r="R37" i="12" s="1"/>
  <c r="R38" i="12" s="1"/>
  <c r="R39" i="12" s="1"/>
  <c r="R40" i="12" s="1"/>
  <c r="R41" i="12" s="1"/>
  <c r="R42" i="12" s="1"/>
  <c r="R43" i="12" s="1"/>
  <c r="R44" i="12" s="1"/>
  <c r="R45" i="12" s="1"/>
  <c r="R46" i="12" s="1"/>
  <c r="R47" i="12" s="1"/>
  <c r="R48" i="12" s="1"/>
  <c r="R49" i="12" s="1"/>
  <c r="R50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R63" i="12" s="1"/>
  <c r="R64" i="12" s="1"/>
  <c r="R65" i="12" s="1"/>
  <c r="R66" i="12" s="1"/>
  <c r="R67" i="12" s="1"/>
  <c r="R68" i="12" s="1"/>
  <c r="R69" i="12" s="1"/>
  <c r="R70" i="12" s="1"/>
  <c r="R71" i="12" s="1"/>
  <c r="R72" i="12" s="1"/>
  <c r="R73" i="12" s="1"/>
  <c r="R74" i="12" s="1"/>
  <c r="R75" i="12" s="1"/>
  <c r="R76" i="12" s="1"/>
  <c r="R77" i="12" s="1"/>
  <c r="R78" i="12" s="1"/>
  <c r="R79" i="12" s="1"/>
  <c r="R80" i="12" s="1"/>
  <c r="R81" i="12" s="1"/>
  <c r="R82" i="12" s="1"/>
  <c r="R83" i="12" s="1"/>
  <c r="R84" i="12" s="1"/>
  <c r="R85" i="12" s="1"/>
  <c r="R86" i="12" s="1"/>
  <c r="R87" i="12" s="1"/>
  <c r="R88" i="12" s="1"/>
  <c r="R89" i="12" s="1"/>
  <c r="R90" i="12" s="1"/>
  <c r="R91" i="12" s="1"/>
  <c r="R92" i="12" s="1"/>
  <c r="R93" i="12" s="1"/>
  <c r="R94" i="12" s="1"/>
  <c r="R95" i="12" s="1"/>
  <c r="R96" i="12" s="1"/>
  <c r="R97" i="12" s="1"/>
  <c r="R98" i="12" s="1"/>
  <c r="R99" i="12" s="1"/>
  <c r="R100" i="12" s="1"/>
  <c r="R101" i="12" s="1"/>
  <c r="R102" i="12" s="1"/>
  <c r="R103" i="12" s="1"/>
  <c r="R104" i="12" s="1"/>
  <c r="R105" i="12" s="1"/>
  <c r="R106" i="12" s="1"/>
  <c r="R107" i="12" s="1"/>
  <c r="R108" i="12" s="1"/>
  <c r="R109" i="12" s="1"/>
  <c r="AI14" i="11"/>
  <c r="AD14" i="11"/>
  <c r="AL15" i="12"/>
  <c r="AO13" i="11"/>
  <c r="AP13" i="11" s="1"/>
  <c r="AJ13" i="11"/>
  <c r="W18" i="12"/>
  <c r="AB17" i="12"/>
  <c r="X16" i="11"/>
  <c r="O12" i="18" s="1"/>
  <c r="AC15" i="11"/>
  <c r="AA15" i="11"/>
  <c r="W16" i="4"/>
  <c r="AB15" i="4"/>
  <c r="AH15" i="4" s="1"/>
  <c r="AD14" i="4"/>
  <c r="X16" i="4"/>
  <c r="L12" i="18" s="1"/>
  <c r="AC15" i="4"/>
  <c r="I16" i="4"/>
  <c r="U16" i="4" s="1"/>
  <c r="Y16" i="4" s="1"/>
  <c r="J16" i="4"/>
  <c r="V16" i="4" s="1"/>
  <c r="B12" i="18" s="1"/>
  <c r="AF14" i="4"/>
  <c r="AL14" i="4" s="1"/>
  <c r="AM14" i="4" s="1"/>
  <c r="AG13" i="4"/>
  <c r="K47" i="4"/>
  <c r="O46" i="12"/>
  <c r="AA14" i="4"/>
  <c r="Z15" i="4"/>
  <c r="I17" i="9"/>
  <c r="U17" i="9" s="1"/>
  <c r="Y17" i="9" s="1"/>
  <c r="P17" i="4"/>
  <c r="J17" i="10"/>
  <c r="V17" i="10" s="1"/>
  <c r="M17" i="4"/>
  <c r="J17" i="9"/>
  <c r="V17" i="9" s="1"/>
  <c r="I16" i="10"/>
  <c r="U16" i="10" s="1"/>
  <c r="Y16" i="10" s="1"/>
  <c r="I18" i="12"/>
  <c r="J17" i="12"/>
  <c r="V17" i="12" s="1"/>
  <c r="J17" i="11"/>
  <c r="V17" i="11" s="1"/>
  <c r="I16" i="11"/>
  <c r="U16" i="11" s="1"/>
  <c r="Y16" i="11" s="1"/>
  <c r="AE16" i="11" s="1"/>
  <c r="AK16" i="11" s="1"/>
  <c r="AE16" i="9" l="1"/>
  <c r="AK16" i="9" s="1"/>
  <c r="AG15" i="11"/>
  <c r="AE16" i="10"/>
  <c r="AK16" i="10" s="1"/>
  <c r="AD15" i="9"/>
  <c r="AP14" i="4"/>
  <c r="AA15" i="4"/>
  <c r="AF16" i="9"/>
  <c r="AL16" i="9" s="1"/>
  <c r="AM16" i="9" s="1"/>
  <c r="AA16" i="10"/>
  <c r="P12" i="18"/>
  <c r="X17" i="12"/>
  <c r="AC16" i="12"/>
  <c r="AD15" i="12"/>
  <c r="AI15" i="12"/>
  <c r="Z17" i="11"/>
  <c r="AF17" i="11" s="1"/>
  <c r="E13" i="18"/>
  <c r="AJ14" i="12"/>
  <c r="AO14" i="12"/>
  <c r="AP14" i="12" s="1"/>
  <c r="Z17" i="12"/>
  <c r="AF17" i="12" s="1"/>
  <c r="F13" i="18"/>
  <c r="AH17" i="12"/>
  <c r="AN17" i="12" s="1"/>
  <c r="AJ14" i="4"/>
  <c r="Z17" i="10"/>
  <c r="D13" i="18"/>
  <c r="Z17" i="9"/>
  <c r="C13" i="18"/>
  <c r="W17" i="9"/>
  <c r="AB16" i="9"/>
  <c r="AH16" i="9" s="1"/>
  <c r="AN16" i="9" s="1"/>
  <c r="AN15" i="4"/>
  <c r="R31" i="11"/>
  <c r="R32" i="11" s="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R50" i="11" s="1"/>
  <c r="R51" i="11" s="1"/>
  <c r="R52" i="11" s="1"/>
  <c r="R53" i="11" s="1"/>
  <c r="R54" i="11" s="1"/>
  <c r="R55" i="11" s="1"/>
  <c r="R56" i="11" s="1"/>
  <c r="R57" i="11" s="1"/>
  <c r="R58" i="11" s="1"/>
  <c r="R59" i="11" s="1"/>
  <c r="R60" i="11" s="1"/>
  <c r="R61" i="11" s="1"/>
  <c r="R62" i="11" s="1"/>
  <c r="R63" i="11" s="1"/>
  <c r="R64" i="11" s="1"/>
  <c r="R65" i="11" s="1"/>
  <c r="R66" i="11" s="1"/>
  <c r="R67" i="11" s="1"/>
  <c r="R68" i="11" s="1"/>
  <c r="R69" i="11" s="1"/>
  <c r="R70" i="11" s="1"/>
  <c r="R71" i="11" s="1"/>
  <c r="R72" i="11" s="1"/>
  <c r="R73" i="11" s="1"/>
  <c r="R74" i="11" s="1"/>
  <c r="R75" i="11" s="1"/>
  <c r="R76" i="11" s="1"/>
  <c r="R77" i="11" s="1"/>
  <c r="R78" i="11" s="1"/>
  <c r="R79" i="11" s="1"/>
  <c r="R80" i="11" s="1"/>
  <c r="R81" i="11" s="1"/>
  <c r="R82" i="11" s="1"/>
  <c r="R83" i="11" s="1"/>
  <c r="R84" i="11" s="1"/>
  <c r="R85" i="11" s="1"/>
  <c r="R86" i="11" s="1"/>
  <c r="R87" i="11" s="1"/>
  <c r="R88" i="11" s="1"/>
  <c r="R89" i="11" s="1"/>
  <c r="R90" i="11" s="1"/>
  <c r="R91" i="11" s="1"/>
  <c r="R92" i="11" s="1"/>
  <c r="R93" i="11" s="1"/>
  <c r="R94" i="11" s="1"/>
  <c r="R95" i="11" s="1"/>
  <c r="R96" i="11" s="1"/>
  <c r="R97" i="11" s="1"/>
  <c r="R98" i="11" s="1"/>
  <c r="R99" i="11" s="1"/>
  <c r="R100" i="11" s="1"/>
  <c r="R101" i="11" s="1"/>
  <c r="R102" i="11" s="1"/>
  <c r="R103" i="11" s="1"/>
  <c r="R104" i="11" s="1"/>
  <c r="R105" i="11" s="1"/>
  <c r="R106" i="11" s="1"/>
  <c r="R107" i="11" s="1"/>
  <c r="R108" i="11" s="1"/>
  <c r="R109" i="11" s="1"/>
  <c r="M17" i="12"/>
  <c r="U16" i="12"/>
  <c r="Y16" i="12" s="1"/>
  <c r="R31" i="10"/>
  <c r="R32" i="10" s="1"/>
  <c r="R33" i="10" s="1"/>
  <c r="R34" i="10" s="1"/>
  <c r="R35" i="10" s="1"/>
  <c r="R36" i="10" s="1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R51" i="10" s="1"/>
  <c r="R52" i="10" s="1"/>
  <c r="R53" i="10" s="1"/>
  <c r="R54" i="10" s="1"/>
  <c r="R55" i="10" s="1"/>
  <c r="R56" i="10" s="1"/>
  <c r="R57" i="10" s="1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R71" i="10" s="1"/>
  <c r="R72" i="10" s="1"/>
  <c r="R73" i="10" s="1"/>
  <c r="R74" i="10" s="1"/>
  <c r="R75" i="10" s="1"/>
  <c r="R76" i="10" s="1"/>
  <c r="R77" i="10" s="1"/>
  <c r="R78" i="10" s="1"/>
  <c r="R79" i="10" s="1"/>
  <c r="R80" i="10" s="1"/>
  <c r="R81" i="10" s="1"/>
  <c r="R82" i="10" s="1"/>
  <c r="R83" i="10" s="1"/>
  <c r="R84" i="10" s="1"/>
  <c r="R85" i="10" s="1"/>
  <c r="R86" i="10" s="1"/>
  <c r="R87" i="10" s="1"/>
  <c r="R88" i="10" s="1"/>
  <c r="R89" i="10" s="1"/>
  <c r="R90" i="10" s="1"/>
  <c r="R91" i="10" s="1"/>
  <c r="R92" i="10" s="1"/>
  <c r="R93" i="10" s="1"/>
  <c r="R94" i="10" s="1"/>
  <c r="R95" i="10" s="1"/>
  <c r="R96" i="10" s="1"/>
  <c r="R97" i="10" s="1"/>
  <c r="R98" i="10" s="1"/>
  <c r="R99" i="10" s="1"/>
  <c r="R100" i="10" s="1"/>
  <c r="R101" i="10" s="1"/>
  <c r="R102" i="10" s="1"/>
  <c r="R103" i="10" s="1"/>
  <c r="R104" i="10" s="1"/>
  <c r="R105" i="10" s="1"/>
  <c r="R106" i="10" s="1"/>
  <c r="R107" i="10" s="1"/>
  <c r="R108" i="10" s="1"/>
  <c r="R109" i="10" s="1"/>
  <c r="AE15" i="12"/>
  <c r="AA15" i="12"/>
  <c r="AD15" i="10"/>
  <c r="AI15" i="10"/>
  <c r="AB16" i="11"/>
  <c r="AH16" i="11" s="1"/>
  <c r="AN16" i="11" s="1"/>
  <c r="W17" i="11"/>
  <c r="AL16" i="12"/>
  <c r="X18" i="9"/>
  <c r="M14" i="18" s="1"/>
  <c r="AC17" i="9"/>
  <c r="X17" i="10"/>
  <c r="N13" i="18" s="1"/>
  <c r="AC16" i="10"/>
  <c r="AI16" i="9"/>
  <c r="W18" i="10"/>
  <c r="AB17" i="10"/>
  <c r="AH17" i="10" s="1"/>
  <c r="AN17" i="10" s="1"/>
  <c r="AI15" i="11"/>
  <c r="AD15" i="11"/>
  <c r="AK14" i="12"/>
  <c r="AM14" i="12" s="1"/>
  <c r="AG14" i="12"/>
  <c r="AL14" i="10"/>
  <c r="AM14" i="10" s="1"/>
  <c r="AG14" i="10"/>
  <c r="AF15" i="10"/>
  <c r="X17" i="11"/>
  <c r="O13" i="18" s="1"/>
  <c r="AC16" i="11"/>
  <c r="AO15" i="9"/>
  <c r="AP15" i="9" s="1"/>
  <c r="AJ15" i="9"/>
  <c r="AE16" i="4"/>
  <c r="AK16" i="4" s="1"/>
  <c r="R31" i="9"/>
  <c r="R32" i="9" s="1"/>
  <c r="R33" i="9" s="1"/>
  <c r="R34" i="9" s="1"/>
  <c r="R35" i="9" s="1"/>
  <c r="R36" i="9" s="1"/>
  <c r="R37" i="9" s="1"/>
  <c r="R38" i="9" s="1"/>
  <c r="R39" i="9" s="1"/>
  <c r="R40" i="9" s="1"/>
  <c r="R41" i="9" s="1"/>
  <c r="R42" i="9" s="1"/>
  <c r="R43" i="9" s="1"/>
  <c r="R44" i="9" s="1"/>
  <c r="R45" i="9" s="1"/>
  <c r="R46" i="9" s="1"/>
  <c r="R47" i="9" s="1"/>
  <c r="R48" i="9" s="1"/>
  <c r="R49" i="9" s="1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R67" i="9" s="1"/>
  <c r="R68" i="9" s="1"/>
  <c r="R69" i="9" s="1"/>
  <c r="R70" i="9" s="1"/>
  <c r="R71" i="9" s="1"/>
  <c r="R72" i="9" s="1"/>
  <c r="R73" i="9" s="1"/>
  <c r="R74" i="9" s="1"/>
  <c r="R75" i="9" s="1"/>
  <c r="R76" i="9" s="1"/>
  <c r="R77" i="9" s="1"/>
  <c r="R78" i="9" s="1"/>
  <c r="R79" i="9" s="1"/>
  <c r="R80" i="9" s="1"/>
  <c r="R81" i="9" s="1"/>
  <c r="R82" i="9" s="1"/>
  <c r="R83" i="9" s="1"/>
  <c r="R84" i="9" s="1"/>
  <c r="R85" i="9" s="1"/>
  <c r="R86" i="9" s="1"/>
  <c r="R87" i="9" s="1"/>
  <c r="R88" i="9" s="1"/>
  <c r="R89" i="9" s="1"/>
  <c r="R90" i="9" s="1"/>
  <c r="R91" i="9" s="1"/>
  <c r="R92" i="9" s="1"/>
  <c r="R93" i="9" s="1"/>
  <c r="R94" i="9" s="1"/>
  <c r="R95" i="9" s="1"/>
  <c r="R96" i="9" s="1"/>
  <c r="R97" i="9" s="1"/>
  <c r="R98" i="9" s="1"/>
  <c r="R99" i="9" s="1"/>
  <c r="R100" i="9" s="1"/>
  <c r="R101" i="9" s="1"/>
  <c r="R102" i="9" s="1"/>
  <c r="R103" i="9" s="1"/>
  <c r="R104" i="9" s="1"/>
  <c r="R105" i="9" s="1"/>
  <c r="R106" i="9" s="1"/>
  <c r="R107" i="9" s="1"/>
  <c r="R108" i="9" s="1"/>
  <c r="R109" i="9" s="1"/>
  <c r="W19" i="12"/>
  <c r="AB18" i="12"/>
  <c r="AL16" i="11"/>
  <c r="AM16" i="11" s="1"/>
  <c r="AG16" i="11"/>
  <c r="AO14" i="11"/>
  <c r="AP14" i="11" s="1"/>
  <c r="AJ14" i="11"/>
  <c r="AO14" i="10"/>
  <c r="AP14" i="10" s="1"/>
  <c r="AJ14" i="10"/>
  <c r="AD15" i="4"/>
  <c r="AI15" i="4"/>
  <c r="AA16" i="11"/>
  <c r="R31" i="4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X17" i="4"/>
  <c r="L13" i="18" s="1"/>
  <c r="AC16" i="4"/>
  <c r="W17" i="4"/>
  <c r="AB16" i="4"/>
  <c r="AH16" i="4" s="1"/>
  <c r="AG14" i="4"/>
  <c r="J17" i="4"/>
  <c r="V17" i="4" s="1"/>
  <c r="B13" i="18" s="1"/>
  <c r="I17" i="4"/>
  <c r="U17" i="4" s="1"/>
  <c r="Y17" i="4" s="1"/>
  <c r="O47" i="12"/>
  <c r="K48" i="4"/>
  <c r="AF15" i="4"/>
  <c r="AL15" i="4" s="1"/>
  <c r="AM15" i="4" s="1"/>
  <c r="Z16" i="4"/>
  <c r="AA16" i="4" s="1"/>
  <c r="J18" i="9"/>
  <c r="V18" i="9" s="1"/>
  <c r="M18" i="4"/>
  <c r="I17" i="10"/>
  <c r="U17" i="10" s="1"/>
  <c r="Y17" i="10" s="1"/>
  <c r="AE17" i="10" s="1"/>
  <c r="AK17" i="10" s="1"/>
  <c r="I17" i="11"/>
  <c r="U17" i="11" s="1"/>
  <c r="Y17" i="11" s="1"/>
  <c r="AE17" i="11" s="1"/>
  <c r="AK17" i="11" s="1"/>
  <c r="I18" i="9"/>
  <c r="U18" i="9" s="1"/>
  <c r="Y18" i="9" s="1"/>
  <c r="J18" i="12"/>
  <c r="V18" i="12" s="1"/>
  <c r="J18" i="10"/>
  <c r="V18" i="10" s="1"/>
  <c r="I19" i="12"/>
  <c r="J18" i="11"/>
  <c r="V18" i="11" s="1"/>
  <c r="P18" i="4"/>
  <c r="AE17" i="9" l="1"/>
  <c r="AK17" i="9" s="1"/>
  <c r="AG16" i="9"/>
  <c r="AF17" i="9"/>
  <c r="AH18" i="12"/>
  <c r="AN18" i="12" s="1"/>
  <c r="Z18" i="10"/>
  <c r="D14" i="18"/>
  <c r="AJ15" i="12"/>
  <c r="AO15" i="12"/>
  <c r="AP15" i="12" s="1"/>
  <c r="AD16" i="9"/>
  <c r="Z18" i="12"/>
  <c r="AF18" i="12" s="1"/>
  <c r="F14" i="18"/>
  <c r="AD16" i="12"/>
  <c r="AI16" i="12"/>
  <c r="AA17" i="9"/>
  <c r="P13" i="18"/>
  <c r="X18" i="12"/>
  <c r="AC17" i="12"/>
  <c r="Z18" i="11"/>
  <c r="AF18" i="11" s="1"/>
  <c r="E14" i="18"/>
  <c r="AE17" i="4"/>
  <c r="AK17" i="4" s="1"/>
  <c r="Z18" i="9"/>
  <c r="C14" i="18"/>
  <c r="AI16" i="4"/>
  <c r="AO16" i="4" s="1"/>
  <c r="W18" i="9"/>
  <c r="AB17" i="9"/>
  <c r="AH17" i="9" s="1"/>
  <c r="AN17" i="9" s="1"/>
  <c r="AN16" i="4"/>
  <c r="AB19" i="12"/>
  <c r="W20" i="12"/>
  <c r="AJ15" i="10"/>
  <c r="AO15" i="10"/>
  <c r="AP15" i="10" s="1"/>
  <c r="W19" i="10"/>
  <c r="AB18" i="10"/>
  <c r="AH18" i="10" s="1"/>
  <c r="AN18" i="10" s="1"/>
  <c r="X19" i="9"/>
  <c r="M15" i="18" s="1"/>
  <c r="AC18" i="9"/>
  <c r="AK15" i="12"/>
  <c r="AM15" i="12" s="1"/>
  <c r="AG15" i="12"/>
  <c r="AA17" i="10"/>
  <c r="AJ16" i="9"/>
  <c r="AO16" i="9"/>
  <c r="AP16" i="9" s="1"/>
  <c r="AO15" i="11"/>
  <c r="AP15" i="11" s="1"/>
  <c r="AJ15" i="11"/>
  <c r="AD16" i="11"/>
  <c r="AI16" i="11"/>
  <c r="AL17" i="12"/>
  <c r="M18" i="12"/>
  <c r="U17" i="12"/>
  <c r="Y17" i="12" s="1"/>
  <c r="AG15" i="10"/>
  <c r="AL15" i="10"/>
  <c r="AM15" i="10" s="1"/>
  <c r="AF16" i="10"/>
  <c r="AE16" i="12"/>
  <c r="AA16" i="12"/>
  <c r="AC17" i="11"/>
  <c r="X18" i="11"/>
  <c r="O14" i="18" s="1"/>
  <c r="AI17" i="9"/>
  <c r="W18" i="11"/>
  <c r="AB17" i="11"/>
  <c r="AH17" i="11" s="1"/>
  <c r="AN17" i="11" s="1"/>
  <c r="AG17" i="9"/>
  <c r="AL17" i="9"/>
  <c r="AM17" i="9" s="1"/>
  <c r="AL17" i="11"/>
  <c r="AM17" i="11" s="1"/>
  <c r="AG17" i="11"/>
  <c r="AO15" i="4"/>
  <c r="AP15" i="4" s="1"/>
  <c r="AJ15" i="4"/>
  <c r="AA17" i="11"/>
  <c r="AC17" i="10"/>
  <c r="X18" i="10"/>
  <c r="N14" i="18" s="1"/>
  <c r="AI16" i="10"/>
  <c r="AD16" i="10"/>
  <c r="W18" i="4"/>
  <c r="AB17" i="4"/>
  <c r="AH17" i="4" s="1"/>
  <c r="AD16" i="4"/>
  <c r="X18" i="4"/>
  <c r="L14" i="18" s="1"/>
  <c r="AC17" i="4"/>
  <c r="I18" i="4"/>
  <c r="U18" i="4" s="1"/>
  <c r="Y18" i="4" s="1"/>
  <c r="J18" i="4"/>
  <c r="AF16" i="4"/>
  <c r="AL16" i="4" s="1"/>
  <c r="AM16" i="4" s="1"/>
  <c r="AG15" i="4"/>
  <c r="O48" i="12"/>
  <c r="K49" i="4"/>
  <c r="Z17" i="4"/>
  <c r="J19" i="11"/>
  <c r="V19" i="11" s="1"/>
  <c r="J19" i="12"/>
  <c r="V19" i="12" s="1"/>
  <c r="I20" i="12"/>
  <c r="I18" i="11"/>
  <c r="U18" i="11" s="1"/>
  <c r="Y18" i="11" s="1"/>
  <c r="AE18" i="11" s="1"/>
  <c r="AK18" i="11" s="1"/>
  <c r="J19" i="10"/>
  <c r="V19" i="10" s="1"/>
  <c r="P19" i="4"/>
  <c r="M19" i="4"/>
  <c r="I19" i="9"/>
  <c r="U19" i="9" s="1"/>
  <c r="Y19" i="9" s="1"/>
  <c r="I18" i="10"/>
  <c r="U18" i="10" s="1"/>
  <c r="Y18" i="10" s="1"/>
  <c r="AE18" i="10" s="1"/>
  <c r="AK18" i="10" s="1"/>
  <c r="J19" i="9"/>
  <c r="V19" i="9" s="1"/>
  <c r="AE18" i="9" l="1"/>
  <c r="AK18" i="9" s="1"/>
  <c r="AF18" i="9"/>
  <c r="AH19" i="12"/>
  <c r="AN19" i="12" s="1"/>
  <c r="AA18" i="9"/>
  <c r="AP16" i="4"/>
  <c r="AE18" i="4"/>
  <c r="AK18" i="4" s="1"/>
  <c r="AI17" i="4"/>
  <c r="AO17" i="4" s="1"/>
  <c r="Z19" i="9"/>
  <c r="AA19" i="9" s="1"/>
  <c r="C15" i="18"/>
  <c r="AD17" i="9"/>
  <c r="P14" i="18"/>
  <c r="AC18" i="12"/>
  <c r="X19" i="12"/>
  <c r="AO16" i="12"/>
  <c r="AP16" i="12" s="1"/>
  <c r="AJ16" i="12"/>
  <c r="AJ16" i="4"/>
  <c r="Z19" i="11"/>
  <c r="AF19" i="11" s="1"/>
  <c r="E15" i="18"/>
  <c r="AD17" i="12"/>
  <c r="AI17" i="12"/>
  <c r="Z19" i="10"/>
  <c r="D15" i="18"/>
  <c r="Z19" i="12"/>
  <c r="AF19" i="12" s="1"/>
  <c r="F15" i="18"/>
  <c r="AB18" i="9"/>
  <c r="AH18" i="9" s="1"/>
  <c r="AN18" i="9" s="1"/>
  <c r="W19" i="9"/>
  <c r="AN17" i="4"/>
  <c r="X19" i="10"/>
  <c r="N15" i="18" s="1"/>
  <c r="AC18" i="10"/>
  <c r="X19" i="11"/>
  <c r="O15" i="18" s="1"/>
  <c r="AC18" i="11"/>
  <c r="AD17" i="11"/>
  <c r="AI17" i="11"/>
  <c r="AJ17" i="4"/>
  <c r="AK16" i="12"/>
  <c r="AM16" i="12" s="1"/>
  <c r="AG16" i="12"/>
  <c r="X20" i="9"/>
  <c r="M16" i="18" s="1"/>
  <c r="AC19" i="9"/>
  <c r="AL18" i="12"/>
  <c r="AL16" i="10"/>
  <c r="AM16" i="10" s="1"/>
  <c r="AG16" i="10"/>
  <c r="AF17" i="10"/>
  <c r="AE17" i="12"/>
  <c r="AA17" i="12"/>
  <c r="M19" i="12"/>
  <c r="U18" i="12"/>
  <c r="Y18" i="12" s="1"/>
  <c r="AO16" i="10"/>
  <c r="AP16" i="10" s="1"/>
  <c r="AJ16" i="10"/>
  <c r="AB19" i="10"/>
  <c r="AH19" i="10" s="1"/>
  <c r="AN19" i="10" s="1"/>
  <c r="W20" i="10"/>
  <c r="AJ16" i="11"/>
  <c r="AO16" i="11"/>
  <c r="AP16" i="11" s="1"/>
  <c r="AJ17" i="9"/>
  <c r="AO17" i="9"/>
  <c r="AP17" i="9" s="1"/>
  <c r="W21" i="12"/>
  <c r="AB20" i="12"/>
  <c r="AA18" i="10"/>
  <c r="AL18" i="11"/>
  <c r="AM18" i="11" s="1"/>
  <c r="AG18" i="11"/>
  <c r="AB18" i="11"/>
  <c r="AH18" i="11" s="1"/>
  <c r="AN18" i="11" s="1"/>
  <c r="W19" i="11"/>
  <c r="AI17" i="10"/>
  <c r="AD17" i="10"/>
  <c r="AI18" i="9"/>
  <c r="AA18" i="11"/>
  <c r="AB18" i="4"/>
  <c r="AH18" i="4" s="1"/>
  <c r="W19" i="4"/>
  <c r="AD17" i="4"/>
  <c r="X19" i="4"/>
  <c r="L15" i="18" s="1"/>
  <c r="AC18" i="4"/>
  <c r="I19" i="4"/>
  <c r="U19" i="4" s="1"/>
  <c r="Y19" i="4" s="1"/>
  <c r="J19" i="4"/>
  <c r="V19" i="4" s="1"/>
  <c r="B15" i="18" s="1"/>
  <c r="V18" i="4"/>
  <c r="AG16" i="4"/>
  <c r="AF17" i="4"/>
  <c r="AL17" i="4" s="1"/>
  <c r="AM17" i="4" s="1"/>
  <c r="AA17" i="4"/>
  <c r="K50" i="4"/>
  <c r="O49" i="12"/>
  <c r="I19" i="10"/>
  <c r="U19" i="10" s="1"/>
  <c r="Y19" i="10" s="1"/>
  <c r="AE19" i="10" s="1"/>
  <c r="AK19" i="10" s="1"/>
  <c r="P20" i="4"/>
  <c r="M20" i="4"/>
  <c r="J20" i="12"/>
  <c r="V20" i="12" s="1"/>
  <c r="I19" i="11"/>
  <c r="U19" i="11" s="1"/>
  <c r="Y19" i="11" s="1"/>
  <c r="AE19" i="11" s="1"/>
  <c r="AK19" i="11" s="1"/>
  <c r="J20" i="10"/>
  <c r="V20" i="10" s="1"/>
  <c r="J20" i="9"/>
  <c r="V20" i="9" s="1"/>
  <c r="I20" i="9"/>
  <c r="U20" i="9" s="1"/>
  <c r="Y20" i="9" s="1"/>
  <c r="I21" i="12"/>
  <c r="J20" i="11"/>
  <c r="V20" i="11" s="1"/>
  <c r="AG18" i="9" l="1"/>
  <c r="AE19" i="9"/>
  <c r="AK19" i="9" s="1"/>
  <c r="AL18" i="9"/>
  <c r="AM18" i="9" s="1"/>
  <c r="AE19" i="4"/>
  <c r="AK19" i="4" s="1"/>
  <c r="AH20" i="12"/>
  <c r="AN20" i="12" s="1"/>
  <c r="AF19" i="9"/>
  <c r="AL19" i="9" s="1"/>
  <c r="AM19" i="9" s="1"/>
  <c r="AG17" i="4"/>
  <c r="Z18" i="4"/>
  <c r="AA18" i="4" s="1"/>
  <c r="B14" i="18"/>
  <c r="AP17" i="4"/>
  <c r="P15" i="18"/>
  <c r="AC19" i="12"/>
  <c r="X20" i="12"/>
  <c r="Z20" i="11"/>
  <c r="AF20" i="11" s="1"/>
  <c r="E16" i="18"/>
  <c r="AD18" i="12"/>
  <c r="AI18" i="12"/>
  <c r="Z20" i="9"/>
  <c r="AA20" i="9" s="1"/>
  <c r="C16" i="18"/>
  <c r="AO17" i="12"/>
  <c r="AP17" i="12" s="1"/>
  <c r="AJ17" i="12"/>
  <c r="AD18" i="9"/>
  <c r="Z20" i="10"/>
  <c r="D16" i="18"/>
  <c r="Z20" i="12"/>
  <c r="AF20" i="12" s="1"/>
  <c r="F16" i="18"/>
  <c r="AA19" i="11"/>
  <c r="W20" i="9"/>
  <c r="AB19" i="9"/>
  <c r="AH19" i="9" s="1"/>
  <c r="AN19" i="9" s="1"/>
  <c r="AN18" i="4"/>
  <c r="AI19" i="9"/>
  <c r="X21" i="9"/>
  <c r="M17" i="18" s="1"/>
  <c r="AC20" i="9"/>
  <c r="AJ17" i="10"/>
  <c r="AO17" i="10"/>
  <c r="AP17" i="10" s="1"/>
  <c r="AG19" i="11"/>
  <c r="AL19" i="11"/>
  <c r="AM19" i="11" s="1"/>
  <c r="AE18" i="12"/>
  <c r="AA18" i="12"/>
  <c r="W20" i="11"/>
  <c r="AB19" i="11"/>
  <c r="AH19" i="11" s="1"/>
  <c r="AN19" i="11" s="1"/>
  <c r="AD18" i="11"/>
  <c r="AI18" i="11"/>
  <c r="AB20" i="10"/>
  <c r="AH20" i="10" s="1"/>
  <c r="AN20" i="10" s="1"/>
  <c r="W21" i="10"/>
  <c r="AO18" i="9"/>
  <c r="AP18" i="9" s="1"/>
  <c r="AJ18" i="9"/>
  <c r="AA19" i="10"/>
  <c r="X20" i="11"/>
  <c r="O16" i="18" s="1"/>
  <c r="AC19" i="11"/>
  <c r="AD18" i="10"/>
  <c r="AI18" i="10"/>
  <c r="AC19" i="10"/>
  <c r="X20" i="10"/>
  <c r="N16" i="18" s="1"/>
  <c r="AL19" i="12"/>
  <c r="AG17" i="10"/>
  <c r="AL17" i="10"/>
  <c r="AM17" i="10" s="1"/>
  <c r="AF18" i="10"/>
  <c r="M20" i="12"/>
  <c r="U19" i="12"/>
  <c r="Y19" i="12" s="1"/>
  <c r="AO17" i="11"/>
  <c r="AP17" i="11" s="1"/>
  <c r="AJ17" i="11"/>
  <c r="AK17" i="12"/>
  <c r="AM17" i="12" s="1"/>
  <c r="AG17" i="12"/>
  <c r="AD18" i="4"/>
  <c r="AI18" i="4"/>
  <c r="AB21" i="12"/>
  <c r="W22" i="12"/>
  <c r="X20" i="4"/>
  <c r="L16" i="18" s="1"/>
  <c r="AC19" i="4"/>
  <c r="W20" i="4"/>
  <c r="AB19" i="4"/>
  <c r="AH19" i="4" s="1"/>
  <c r="I20" i="4"/>
  <c r="U20" i="4" s="1"/>
  <c r="Y20" i="4" s="1"/>
  <c r="J20" i="4"/>
  <c r="O50" i="12"/>
  <c r="K51" i="4"/>
  <c r="Z19" i="4"/>
  <c r="AA19" i="4" s="1"/>
  <c r="I21" i="9"/>
  <c r="U21" i="9" s="1"/>
  <c r="Y21" i="9" s="1"/>
  <c r="J21" i="11"/>
  <c r="V21" i="11" s="1"/>
  <c r="M21" i="4"/>
  <c r="J21" i="10"/>
  <c r="V21" i="10" s="1"/>
  <c r="P21" i="4"/>
  <c r="I22" i="12"/>
  <c r="I20" i="11"/>
  <c r="U20" i="11" s="1"/>
  <c r="Y20" i="11" s="1"/>
  <c r="AE20" i="11" s="1"/>
  <c r="AK20" i="11" s="1"/>
  <c r="J21" i="12"/>
  <c r="V21" i="12" s="1"/>
  <c r="J21" i="9"/>
  <c r="V21" i="9" s="1"/>
  <c r="I20" i="10"/>
  <c r="U20" i="10" s="1"/>
  <c r="Y20" i="10" s="1"/>
  <c r="AE20" i="10" s="1"/>
  <c r="AK20" i="10" s="1"/>
  <c r="AE20" i="9" l="1"/>
  <c r="AK20" i="9" s="1"/>
  <c r="AE20" i="4"/>
  <c r="AK20" i="4" s="1"/>
  <c r="AH21" i="12"/>
  <c r="AN21" i="12" s="1"/>
  <c r="AG19" i="9"/>
  <c r="AF18" i="4"/>
  <c r="AL18" i="4" s="1"/>
  <c r="AM18" i="4" s="1"/>
  <c r="AA20" i="10"/>
  <c r="AO18" i="12"/>
  <c r="AP18" i="12" s="1"/>
  <c r="AJ18" i="12"/>
  <c r="P16" i="18"/>
  <c r="AC20" i="12"/>
  <c r="X21" i="12"/>
  <c r="Z21" i="10"/>
  <c r="D17" i="18"/>
  <c r="AI19" i="12"/>
  <c r="AD19" i="12"/>
  <c r="Z21" i="9"/>
  <c r="AA21" i="9" s="1"/>
  <c r="C17" i="18"/>
  <c r="Z21" i="11"/>
  <c r="AF21" i="11" s="1"/>
  <c r="E17" i="18"/>
  <c r="AF20" i="9"/>
  <c r="AL20" i="9" s="1"/>
  <c r="AM20" i="9" s="1"/>
  <c r="Z21" i="12"/>
  <c r="AF21" i="12" s="1"/>
  <c r="F17" i="18"/>
  <c r="AD19" i="9"/>
  <c r="W21" i="9"/>
  <c r="AB20" i="9"/>
  <c r="AH20" i="9" s="1"/>
  <c r="AN20" i="9" s="1"/>
  <c r="AN19" i="4"/>
  <c r="AO18" i="4"/>
  <c r="AP18" i="4" s="1"/>
  <c r="AJ18" i="4"/>
  <c r="AO18" i="10"/>
  <c r="AP18" i="10" s="1"/>
  <c r="AJ18" i="10"/>
  <c r="AI19" i="4"/>
  <c r="AE19" i="12"/>
  <c r="AA19" i="12"/>
  <c r="AD19" i="11"/>
  <c r="AI19" i="11"/>
  <c r="X21" i="10"/>
  <c r="N17" i="18" s="1"/>
  <c r="AC20" i="10"/>
  <c r="W23" i="12"/>
  <c r="AB22" i="12"/>
  <c r="M21" i="12"/>
  <c r="U20" i="12"/>
  <c r="Y20" i="12" s="1"/>
  <c r="AC20" i="11"/>
  <c r="X21" i="11"/>
  <c r="O17" i="18" s="1"/>
  <c r="AI19" i="10"/>
  <c r="AD19" i="10"/>
  <c r="AL20" i="11"/>
  <c r="AM20" i="11" s="1"/>
  <c r="AG20" i="11"/>
  <c r="AA20" i="11"/>
  <c r="AL18" i="10"/>
  <c r="AM18" i="10" s="1"/>
  <c r="AG18" i="10"/>
  <c r="AF19" i="10"/>
  <c r="AI20" i="9"/>
  <c r="X22" i="9"/>
  <c r="M18" i="18" s="1"/>
  <c r="AC21" i="9"/>
  <c r="AJ19" i="9"/>
  <c r="AO19" i="9"/>
  <c r="AP19" i="9" s="1"/>
  <c r="AB20" i="11"/>
  <c r="AH20" i="11" s="1"/>
  <c r="AN20" i="11" s="1"/>
  <c r="W21" i="11"/>
  <c r="W22" i="10"/>
  <c r="AB21" i="10"/>
  <c r="AH21" i="10" s="1"/>
  <c r="AN21" i="10" s="1"/>
  <c r="AK18" i="12"/>
  <c r="AM18" i="12" s="1"/>
  <c r="AG18" i="12"/>
  <c r="AL20" i="12"/>
  <c r="AO18" i="11"/>
  <c r="AP18" i="11" s="1"/>
  <c r="AJ18" i="11"/>
  <c r="AD19" i="4"/>
  <c r="W21" i="4"/>
  <c r="AB20" i="4"/>
  <c r="AH20" i="4" s="1"/>
  <c r="X21" i="4"/>
  <c r="L17" i="18" s="1"/>
  <c r="AC20" i="4"/>
  <c r="I21" i="4"/>
  <c r="U21" i="4" s="1"/>
  <c r="Y21" i="4" s="1"/>
  <c r="J21" i="4"/>
  <c r="V21" i="4" s="1"/>
  <c r="B17" i="18" s="1"/>
  <c r="V20" i="4"/>
  <c r="K52" i="4"/>
  <c r="O51" i="12"/>
  <c r="AF19" i="4"/>
  <c r="AG19" i="4" s="1"/>
  <c r="J22" i="11"/>
  <c r="V22" i="11" s="1"/>
  <c r="I22" i="9"/>
  <c r="U22" i="9" s="1"/>
  <c r="Y22" i="9" s="1"/>
  <c r="I23" i="12"/>
  <c r="J22" i="10"/>
  <c r="V22" i="10" s="1"/>
  <c r="M22" i="4"/>
  <c r="J22" i="12"/>
  <c r="V22" i="12" s="1"/>
  <c r="I21" i="11"/>
  <c r="U21" i="11" s="1"/>
  <c r="Y21" i="11" s="1"/>
  <c r="AE21" i="11" s="1"/>
  <c r="AK21" i="11" s="1"/>
  <c r="I21" i="10"/>
  <c r="U21" i="10" s="1"/>
  <c r="Y21" i="10" s="1"/>
  <c r="AE21" i="10" s="1"/>
  <c r="AK21" i="10" s="1"/>
  <c r="J22" i="9"/>
  <c r="V22" i="9" s="1"/>
  <c r="P22" i="4"/>
  <c r="AE21" i="9" l="1"/>
  <c r="AK21" i="9" s="1"/>
  <c r="AE21" i="4"/>
  <c r="AK21" i="4" s="1"/>
  <c r="AH22" i="12"/>
  <c r="AN22" i="12" s="1"/>
  <c r="AG18" i="4"/>
  <c r="Z20" i="4"/>
  <c r="AA20" i="4" s="1"/>
  <c r="B16" i="18"/>
  <c r="AO19" i="12"/>
  <c r="AP19" i="12" s="1"/>
  <c r="AJ19" i="12"/>
  <c r="AF21" i="9"/>
  <c r="AD20" i="9"/>
  <c r="Z22" i="10"/>
  <c r="D18" i="18"/>
  <c r="P17" i="18"/>
  <c r="X22" i="12"/>
  <c r="AC21" i="12"/>
  <c r="AG20" i="9"/>
  <c r="AI20" i="12"/>
  <c r="AD20" i="12"/>
  <c r="Z22" i="9"/>
  <c r="C18" i="18"/>
  <c r="Z22" i="12"/>
  <c r="AF22" i="12" s="1"/>
  <c r="F18" i="18"/>
  <c r="Z22" i="11"/>
  <c r="AF22" i="11" s="1"/>
  <c r="E18" i="18"/>
  <c r="W22" i="9"/>
  <c r="AB21" i="9"/>
  <c r="AH21" i="9" s="1"/>
  <c r="AN21" i="9" s="1"/>
  <c r="AN20" i="4"/>
  <c r="AA21" i="10"/>
  <c r="AL21" i="12"/>
  <c r="W22" i="11"/>
  <c r="AB21" i="11"/>
  <c r="AH21" i="11" s="1"/>
  <c r="AN21" i="11" s="1"/>
  <c r="AG19" i="10"/>
  <c r="AL19" i="10"/>
  <c r="AM19" i="10" s="1"/>
  <c r="AF20" i="10"/>
  <c r="AD20" i="4"/>
  <c r="AI20" i="4"/>
  <c r="AJ19" i="11"/>
  <c r="AO19" i="11"/>
  <c r="AP19" i="11" s="1"/>
  <c r="AO19" i="10"/>
  <c r="AP19" i="10" s="1"/>
  <c r="AJ19" i="10"/>
  <c r="AC21" i="11"/>
  <c r="X22" i="11"/>
  <c r="O18" i="18" s="1"/>
  <c r="X22" i="10"/>
  <c r="N18" i="18" s="1"/>
  <c r="AC21" i="10"/>
  <c r="AI20" i="11"/>
  <c r="AD20" i="11"/>
  <c r="AO19" i="4"/>
  <c r="AP19" i="4" s="1"/>
  <c r="AJ19" i="4"/>
  <c r="AL21" i="11"/>
  <c r="AM21" i="11" s="1"/>
  <c r="AG21" i="11"/>
  <c r="AE20" i="12"/>
  <c r="AA20" i="12"/>
  <c r="AB22" i="10"/>
  <c r="AH22" i="10" s="1"/>
  <c r="AN22" i="10" s="1"/>
  <c r="W23" i="10"/>
  <c r="M22" i="12"/>
  <c r="U21" i="12"/>
  <c r="Y21" i="12" s="1"/>
  <c r="AI21" i="9"/>
  <c r="AD20" i="10"/>
  <c r="AI20" i="10"/>
  <c r="X23" i="9"/>
  <c r="M19" i="18" s="1"/>
  <c r="AC22" i="9"/>
  <c r="AK19" i="12"/>
  <c r="AM19" i="12" s="1"/>
  <c r="AG19" i="12"/>
  <c r="AJ20" i="9"/>
  <c r="AO20" i="9"/>
  <c r="AP20" i="9" s="1"/>
  <c r="AA21" i="11"/>
  <c r="W24" i="12"/>
  <c r="AB23" i="12"/>
  <c r="X22" i="4"/>
  <c r="L18" i="18" s="1"/>
  <c r="AC21" i="4"/>
  <c r="W22" i="4"/>
  <c r="AB21" i="4"/>
  <c r="AH21" i="4" s="1"/>
  <c r="I22" i="4"/>
  <c r="U22" i="4" s="1"/>
  <c r="Y22" i="4" s="1"/>
  <c r="J22" i="4"/>
  <c r="V22" i="4" s="1"/>
  <c r="B18" i="18" s="1"/>
  <c r="O52" i="12"/>
  <c r="K53" i="4"/>
  <c r="AF20" i="4"/>
  <c r="AL19" i="4"/>
  <c r="AM19" i="4" s="1"/>
  <c r="Z21" i="4"/>
  <c r="AA21" i="4" s="1"/>
  <c r="J23" i="12"/>
  <c r="V23" i="12" s="1"/>
  <c r="I24" i="12"/>
  <c r="I22" i="10"/>
  <c r="U22" i="10" s="1"/>
  <c r="Y22" i="10" s="1"/>
  <c r="AE22" i="10" s="1"/>
  <c r="AK22" i="10" s="1"/>
  <c r="I22" i="11"/>
  <c r="U22" i="11" s="1"/>
  <c r="Y22" i="11" s="1"/>
  <c r="AE22" i="11" s="1"/>
  <c r="AK22" i="11" s="1"/>
  <c r="J23" i="9"/>
  <c r="V23" i="9" s="1"/>
  <c r="M23" i="4"/>
  <c r="I23" i="9"/>
  <c r="U23" i="9" s="1"/>
  <c r="Y23" i="9" s="1"/>
  <c r="P23" i="4"/>
  <c r="J23" i="11"/>
  <c r="V23" i="11" s="1"/>
  <c r="J23" i="10"/>
  <c r="V23" i="10" s="1"/>
  <c r="AG21" i="9" l="1"/>
  <c r="AE22" i="4"/>
  <c r="AK22" i="4" s="1"/>
  <c r="AE22" i="9"/>
  <c r="AK22" i="9" s="1"/>
  <c r="AH23" i="12"/>
  <c r="AN23" i="12" s="1"/>
  <c r="AF22" i="9"/>
  <c r="AL21" i="9"/>
  <c r="AM21" i="9" s="1"/>
  <c r="Z23" i="11"/>
  <c r="AF23" i="11" s="1"/>
  <c r="E19" i="18"/>
  <c r="Z23" i="9"/>
  <c r="AA23" i="9" s="1"/>
  <c r="C19" i="18"/>
  <c r="AI21" i="12"/>
  <c r="AD21" i="12"/>
  <c r="P18" i="18"/>
  <c r="AC22" i="12"/>
  <c r="X23" i="12"/>
  <c r="Z23" i="10"/>
  <c r="D19" i="18"/>
  <c r="AD21" i="9"/>
  <c r="AA22" i="9"/>
  <c r="Z23" i="12"/>
  <c r="AF23" i="12" s="1"/>
  <c r="F19" i="18"/>
  <c r="AJ20" i="12"/>
  <c r="AO20" i="12"/>
  <c r="AP20" i="12" s="1"/>
  <c r="AA22" i="10"/>
  <c r="AB22" i="9"/>
  <c r="AH22" i="9" s="1"/>
  <c r="AN22" i="9" s="1"/>
  <c r="W23" i="9"/>
  <c r="AN21" i="4"/>
  <c r="AL20" i="10"/>
  <c r="AM20" i="10" s="1"/>
  <c r="AG20" i="10"/>
  <c r="AF21" i="10"/>
  <c r="AO20" i="11"/>
  <c r="AP20" i="11" s="1"/>
  <c r="AJ20" i="11"/>
  <c r="AB24" i="12"/>
  <c r="W25" i="12"/>
  <c r="AO20" i="4"/>
  <c r="AP20" i="4" s="1"/>
  <c r="AJ20" i="4"/>
  <c r="AI22" i="9"/>
  <c r="AB22" i="11"/>
  <c r="AH22" i="11" s="1"/>
  <c r="AN22" i="11" s="1"/>
  <c r="W23" i="11"/>
  <c r="AF23" i="9"/>
  <c r="AC22" i="10"/>
  <c r="X23" i="10"/>
  <c r="N19" i="18" s="1"/>
  <c r="X23" i="11"/>
  <c r="O19" i="18" s="1"/>
  <c r="AC22" i="11"/>
  <c r="AI21" i="11"/>
  <c r="AD21" i="11"/>
  <c r="AI21" i="4"/>
  <c r="AO21" i="9"/>
  <c r="AP21" i="9" s="1"/>
  <c r="AJ21" i="9"/>
  <c r="AE21" i="12"/>
  <c r="AA21" i="12"/>
  <c r="M23" i="12"/>
  <c r="U22" i="12"/>
  <c r="Y22" i="12" s="1"/>
  <c r="AL22" i="12"/>
  <c r="AK20" i="12"/>
  <c r="AM20" i="12" s="1"/>
  <c r="AG20" i="12"/>
  <c r="AD21" i="10"/>
  <c r="AI21" i="10"/>
  <c r="W24" i="10"/>
  <c r="AB23" i="10"/>
  <c r="AH23" i="10" s="1"/>
  <c r="AN23" i="10" s="1"/>
  <c r="AO20" i="10"/>
  <c r="AP20" i="10" s="1"/>
  <c r="AJ20" i="10"/>
  <c r="AL22" i="11"/>
  <c r="AM22" i="11" s="1"/>
  <c r="AG22" i="11"/>
  <c r="AL22" i="9"/>
  <c r="AC23" i="9"/>
  <c r="X24" i="9"/>
  <c r="M20" i="18" s="1"/>
  <c r="AA22" i="11"/>
  <c r="W23" i="4"/>
  <c r="AB22" i="4"/>
  <c r="AH22" i="4" s="1"/>
  <c r="AD21" i="4"/>
  <c r="X23" i="4"/>
  <c r="L19" i="18" s="1"/>
  <c r="AC22" i="4"/>
  <c r="J23" i="4"/>
  <c r="V23" i="4" s="1"/>
  <c r="B19" i="18" s="1"/>
  <c r="I23" i="4"/>
  <c r="AF21" i="4"/>
  <c r="AG21" i="4" s="1"/>
  <c r="AL20" i="4"/>
  <c r="AM20" i="4" s="1"/>
  <c r="AG20" i="4"/>
  <c r="K54" i="4"/>
  <c r="O53" i="12"/>
  <c r="Z22" i="4"/>
  <c r="AA22" i="4" s="1"/>
  <c r="J24" i="11"/>
  <c r="V24" i="11" s="1"/>
  <c r="I25" i="12"/>
  <c r="I23" i="10"/>
  <c r="U23" i="10" s="1"/>
  <c r="Y23" i="10" s="1"/>
  <c r="AE23" i="10" s="1"/>
  <c r="AK23" i="10" s="1"/>
  <c r="P24" i="4"/>
  <c r="I24" i="9"/>
  <c r="U24" i="9" s="1"/>
  <c r="Y24" i="9" s="1"/>
  <c r="M24" i="4"/>
  <c r="J24" i="9"/>
  <c r="V24" i="9" s="1"/>
  <c r="I23" i="11"/>
  <c r="U23" i="11" s="1"/>
  <c r="Y23" i="11" s="1"/>
  <c r="AE23" i="11" s="1"/>
  <c r="AK23" i="11" s="1"/>
  <c r="J24" i="10"/>
  <c r="V24" i="10" s="1"/>
  <c r="J24" i="12"/>
  <c r="V24" i="12" s="1"/>
  <c r="AM22" i="9" l="1"/>
  <c r="AH24" i="12"/>
  <c r="AN24" i="12" s="1"/>
  <c r="AG22" i="9"/>
  <c r="AE23" i="9"/>
  <c r="AK23" i="9" s="1"/>
  <c r="AD22" i="9"/>
  <c r="Z24" i="11"/>
  <c r="AF24" i="11" s="1"/>
  <c r="E20" i="18"/>
  <c r="P19" i="18"/>
  <c r="AC23" i="12"/>
  <c r="X24" i="12"/>
  <c r="AI22" i="12"/>
  <c r="AD22" i="12"/>
  <c r="Z24" i="9"/>
  <c r="AA24" i="9" s="1"/>
  <c r="C20" i="18"/>
  <c r="AO21" i="12"/>
  <c r="AP21" i="12" s="1"/>
  <c r="AJ21" i="12"/>
  <c r="Z24" i="12"/>
  <c r="AF24" i="12" s="1"/>
  <c r="F20" i="18"/>
  <c r="Z24" i="10"/>
  <c r="D20" i="18"/>
  <c r="AA23" i="10"/>
  <c r="W24" i="9"/>
  <c r="AB23" i="9"/>
  <c r="AH23" i="9" s="1"/>
  <c r="AN23" i="9" s="1"/>
  <c r="AL21" i="4"/>
  <c r="AM21" i="4" s="1"/>
  <c r="AN22" i="4"/>
  <c r="AI23" i="9"/>
  <c r="AO21" i="4"/>
  <c r="AP21" i="4" s="1"/>
  <c r="AJ21" i="4"/>
  <c r="AJ21" i="10"/>
  <c r="AO21" i="10"/>
  <c r="AP21" i="10" s="1"/>
  <c r="AB23" i="11"/>
  <c r="AH23" i="11" s="1"/>
  <c r="AN23" i="11" s="1"/>
  <c r="W24" i="11"/>
  <c r="AL23" i="11"/>
  <c r="AM23" i="11" s="1"/>
  <c r="AG23" i="11"/>
  <c r="AL23" i="12"/>
  <c r="AL23" i="9"/>
  <c r="W25" i="10"/>
  <c r="AB24" i="10"/>
  <c r="AH24" i="10" s="1"/>
  <c r="AN24" i="10" s="1"/>
  <c r="AA23" i="11"/>
  <c r="W26" i="12"/>
  <c r="AB25" i="12"/>
  <c r="AG21" i="10"/>
  <c r="AL21" i="10"/>
  <c r="AM21" i="10" s="1"/>
  <c r="AF22" i="10"/>
  <c r="AK21" i="12"/>
  <c r="AM21" i="12" s="1"/>
  <c r="AG21" i="12"/>
  <c r="AO22" i="9"/>
  <c r="AP22" i="9" s="1"/>
  <c r="AJ22" i="9"/>
  <c r="AC24" i="9"/>
  <c r="X25" i="9"/>
  <c r="M21" i="18" s="1"/>
  <c r="AJ21" i="11"/>
  <c r="AO21" i="11"/>
  <c r="AP21" i="11" s="1"/>
  <c r="AE22" i="12"/>
  <c r="AA22" i="12"/>
  <c r="AC23" i="11"/>
  <c r="X24" i="11"/>
  <c r="O20" i="18" s="1"/>
  <c r="AI22" i="10"/>
  <c r="AD22" i="10"/>
  <c r="AI22" i="11"/>
  <c r="AD22" i="11"/>
  <c r="AD22" i="4"/>
  <c r="AI22" i="4"/>
  <c r="M24" i="12"/>
  <c r="U23" i="12"/>
  <c r="Y23" i="12" s="1"/>
  <c r="X24" i="10"/>
  <c r="N20" i="18" s="1"/>
  <c r="AC23" i="10"/>
  <c r="AC23" i="4"/>
  <c r="X24" i="4"/>
  <c r="L20" i="18" s="1"/>
  <c r="W24" i="4"/>
  <c r="AB23" i="4"/>
  <c r="AH23" i="4" s="1"/>
  <c r="I24" i="4"/>
  <c r="U24" i="4" s="1"/>
  <c r="U23" i="4"/>
  <c r="Y23" i="4" s="1"/>
  <c r="AE23" i="4" s="1"/>
  <c r="AK23" i="4" s="1"/>
  <c r="J24" i="4"/>
  <c r="V24" i="4" s="1"/>
  <c r="B20" i="18" s="1"/>
  <c r="AF22" i="4"/>
  <c r="AG22" i="4" s="1"/>
  <c r="O54" i="12"/>
  <c r="K55" i="4"/>
  <c r="Z23" i="4"/>
  <c r="I25" i="9"/>
  <c r="U25" i="9" s="1"/>
  <c r="Y25" i="9" s="1"/>
  <c r="P25" i="4"/>
  <c r="J25" i="12"/>
  <c r="V25" i="12" s="1"/>
  <c r="I26" i="12"/>
  <c r="J25" i="10"/>
  <c r="V25" i="10" s="1"/>
  <c r="J25" i="11"/>
  <c r="V25" i="11" s="1"/>
  <c r="J25" i="9"/>
  <c r="V25" i="9" s="1"/>
  <c r="M25" i="4"/>
  <c r="I24" i="11"/>
  <c r="U24" i="11" s="1"/>
  <c r="Y24" i="11" s="1"/>
  <c r="AE24" i="11" s="1"/>
  <c r="AK24" i="11" s="1"/>
  <c r="I24" i="10"/>
  <c r="U24" i="10" s="1"/>
  <c r="Y24" i="10" s="1"/>
  <c r="AE24" i="10" s="1"/>
  <c r="AK24" i="10" s="1"/>
  <c r="AH25" i="12" l="1"/>
  <c r="AN25" i="12" s="1"/>
  <c r="AG23" i="9"/>
  <c r="AM23" i="9"/>
  <c r="AE24" i="9"/>
  <c r="AK24" i="9" s="1"/>
  <c r="AF24" i="9"/>
  <c r="AO22" i="12"/>
  <c r="AP22" i="12" s="1"/>
  <c r="AJ22" i="12"/>
  <c r="Z25" i="12"/>
  <c r="AF25" i="12" s="1"/>
  <c r="F21" i="18"/>
  <c r="P20" i="18"/>
  <c r="AC24" i="12"/>
  <c r="X25" i="12"/>
  <c r="AD23" i="12"/>
  <c r="AI23" i="12"/>
  <c r="Z25" i="9"/>
  <c r="AA25" i="9" s="1"/>
  <c r="C21" i="18"/>
  <c r="AA24" i="11"/>
  <c r="Z25" i="10"/>
  <c r="D21" i="18"/>
  <c r="Y24" i="4"/>
  <c r="AE24" i="4" s="1"/>
  <c r="AK24" i="4" s="1"/>
  <c r="Z25" i="11"/>
  <c r="AF25" i="11" s="1"/>
  <c r="E21" i="18"/>
  <c r="AD23" i="9"/>
  <c r="W25" i="9"/>
  <c r="AB24" i="9"/>
  <c r="AH24" i="9" s="1"/>
  <c r="AN24" i="9" s="1"/>
  <c r="AN23" i="4"/>
  <c r="AE23" i="12"/>
  <c r="AA23" i="12"/>
  <c r="AB24" i="11"/>
  <c r="AH24" i="11" s="1"/>
  <c r="AN24" i="11" s="1"/>
  <c r="W25" i="11"/>
  <c r="AL22" i="10"/>
  <c r="AM22" i="10" s="1"/>
  <c r="AG22" i="10"/>
  <c r="AF23" i="10"/>
  <c r="AO22" i="10"/>
  <c r="AP22" i="10" s="1"/>
  <c r="AJ22" i="10"/>
  <c r="X26" i="9"/>
  <c r="M22" i="18" s="1"/>
  <c r="AC25" i="9"/>
  <c r="AI23" i="10"/>
  <c r="AD23" i="10"/>
  <c r="X25" i="10"/>
  <c r="N21" i="18" s="1"/>
  <c r="AC24" i="10"/>
  <c r="AI24" i="9"/>
  <c r="AI23" i="11"/>
  <c r="AD23" i="11"/>
  <c r="AB25" i="10"/>
  <c r="AH25" i="10" s="1"/>
  <c r="AN25" i="10" s="1"/>
  <c r="W26" i="10"/>
  <c r="M25" i="12"/>
  <c r="U24" i="12"/>
  <c r="Y24" i="12" s="1"/>
  <c r="AI23" i="4"/>
  <c r="AO22" i="11"/>
  <c r="AP22" i="11" s="1"/>
  <c r="AJ22" i="11"/>
  <c r="W27" i="12"/>
  <c r="AB26" i="12"/>
  <c r="X25" i="11"/>
  <c r="O21" i="18" s="1"/>
  <c r="AC24" i="11"/>
  <c r="AK22" i="12"/>
  <c r="AM22" i="12" s="1"/>
  <c r="AG22" i="12"/>
  <c r="AO23" i="9"/>
  <c r="AP23" i="9" s="1"/>
  <c r="AJ23" i="9"/>
  <c r="AL24" i="9"/>
  <c r="AL22" i="4"/>
  <c r="AM22" i="4" s="1"/>
  <c r="AL24" i="12"/>
  <c r="AO22" i="4"/>
  <c r="AP22" i="4" s="1"/>
  <c r="AJ22" i="4"/>
  <c r="AL24" i="11"/>
  <c r="AM24" i="11" s="1"/>
  <c r="AG24" i="11"/>
  <c r="AA24" i="10"/>
  <c r="W25" i="4"/>
  <c r="AB24" i="4"/>
  <c r="AH24" i="4" s="1"/>
  <c r="X25" i="4"/>
  <c r="L21" i="18" s="1"/>
  <c r="AC24" i="4"/>
  <c r="AD23" i="4"/>
  <c r="AF23" i="4"/>
  <c r="AG23" i="4" s="1"/>
  <c r="J25" i="4"/>
  <c r="I25" i="4"/>
  <c r="U25" i="4" s="1"/>
  <c r="Y25" i="4" s="1"/>
  <c r="AA23" i="4"/>
  <c r="K56" i="4"/>
  <c r="O55" i="12"/>
  <c r="Z24" i="4"/>
  <c r="J26" i="11"/>
  <c r="V26" i="11" s="1"/>
  <c r="I25" i="10"/>
  <c r="U25" i="10" s="1"/>
  <c r="Y25" i="10" s="1"/>
  <c r="AE25" i="10" s="1"/>
  <c r="AK25" i="10" s="1"/>
  <c r="I25" i="11"/>
  <c r="U25" i="11" s="1"/>
  <c r="Y25" i="11" s="1"/>
  <c r="AE25" i="11" s="1"/>
  <c r="AK25" i="11" s="1"/>
  <c r="P26" i="4"/>
  <c r="I26" i="9"/>
  <c r="U26" i="9" s="1"/>
  <c r="Y26" i="9" s="1"/>
  <c r="I27" i="12"/>
  <c r="J26" i="12"/>
  <c r="V26" i="12" s="1"/>
  <c r="M26" i="4"/>
  <c r="J26" i="9"/>
  <c r="V26" i="9" s="1"/>
  <c r="J26" i="10"/>
  <c r="V26" i="10" s="1"/>
  <c r="AG24" i="9" l="1"/>
  <c r="AM24" i="9"/>
  <c r="AH26" i="12"/>
  <c r="AN26" i="12" s="1"/>
  <c r="AE25" i="9"/>
  <c r="AK25" i="9" s="1"/>
  <c r="Z26" i="10"/>
  <c r="D22" i="18"/>
  <c r="AJ23" i="12"/>
  <c r="AO23" i="12"/>
  <c r="AP23" i="12" s="1"/>
  <c r="Z26" i="12"/>
  <c r="AF26" i="12" s="1"/>
  <c r="F22" i="18"/>
  <c r="P21" i="18"/>
  <c r="X26" i="12"/>
  <c r="AC25" i="12"/>
  <c r="Z26" i="11"/>
  <c r="AF26" i="11" s="1"/>
  <c r="E22" i="18"/>
  <c r="AE25" i="4"/>
  <c r="AK25" i="4" s="1"/>
  <c r="AF25" i="9"/>
  <c r="AG25" i="9" s="1"/>
  <c r="AI24" i="12"/>
  <c r="AD24" i="12"/>
  <c r="Z26" i="9"/>
  <c r="C22" i="18"/>
  <c r="AD24" i="9"/>
  <c r="W26" i="9"/>
  <c r="AB25" i="9"/>
  <c r="AH25" i="9" s="1"/>
  <c r="AN25" i="9" s="1"/>
  <c r="AN24" i="4"/>
  <c r="AO23" i="4"/>
  <c r="AP23" i="4" s="1"/>
  <c r="AJ23" i="4"/>
  <c r="AE24" i="12"/>
  <c r="AA24" i="12"/>
  <c r="M26" i="12"/>
  <c r="U25" i="12"/>
  <c r="Y25" i="12" s="1"/>
  <c r="AB26" i="10"/>
  <c r="AH26" i="10" s="1"/>
  <c r="AN26" i="10" s="1"/>
  <c r="W27" i="10"/>
  <c r="AL23" i="4"/>
  <c r="AM23" i="4" s="1"/>
  <c r="AB27" i="12"/>
  <c r="AH27" i="12" s="1"/>
  <c r="AN27" i="12" s="1"/>
  <c r="W28" i="12"/>
  <c r="X27" i="9"/>
  <c r="M23" i="18" s="1"/>
  <c r="AC26" i="9"/>
  <c r="AO23" i="11"/>
  <c r="AP23" i="11" s="1"/>
  <c r="AJ23" i="11"/>
  <c r="AL25" i="12"/>
  <c r="AB25" i="11"/>
  <c r="AH25" i="11" s="1"/>
  <c r="AN25" i="11" s="1"/>
  <c r="W26" i="11"/>
  <c r="X26" i="11"/>
  <c r="O22" i="18" s="1"/>
  <c r="AC25" i="11"/>
  <c r="X26" i="10"/>
  <c r="N22" i="18" s="1"/>
  <c r="AC25" i="10"/>
  <c r="AL23" i="10"/>
  <c r="AM23" i="10" s="1"/>
  <c r="AG23" i="10"/>
  <c r="AF24" i="10"/>
  <c r="AD24" i="10"/>
  <c r="AI24" i="10"/>
  <c r="AO23" i="10"/>
  <c r="AP23" i="10" s="1"/>
  <c r="AJ23" i="10"/>
  <c r="AI25" i="9"/>
  <c r="AD24" i="11"/>
  <c r="AI24" i="11"/>
  <c r="AD24" i="4"/>
  <c r="AI24" i="4"/>
  <c r="AA25" i="10"/>
  <c r="AK23" i="12"/>
  <c r="AM23" i="12" s="1"/>
  <c r="AG23" i="12"/>
  <c r="AG25" i="11"/>
  <c r="AL25" i="11"/>
  <c r="AM25" i="11" s="1"/>
  <c r="AJ24" i="9"/>
  <c r="AO24" i="9"/>
  <c r="AP24" i="9" s="1"/>
  <c r="AF24" i="4"/>
  <c r="AL24" i="4" s="1"/>
  <c r="AM24" i="4" s="1"/>
  <c r="AA25" i="11"/>
  <c r="X26" i="4"/>
  <c r="L22" i="18" s="1"/>
  <c r="AC25" i="4"/>
  <c r="W26" i="4"/>
  <c r="AB25" i="4"/>
  <c r="AH25" i="4" s="1"/>
  <c r="I26" i="4"/>
  <c r="U26" i="4" s="1"/>
  <c r="Y26" i="4" s="1"/>
  <c r="J26" i="4"/>
  <c r="V26" i="4" s="1"/>
  <c r="B22" i="18" s="1"/>
  <c r="V25" i="4"/>
  <c r="K57" i="4"/>
  <c r="O56" i="12"/>
  <c r="AA24" i="4"/>
  <c r="I26" i="11"/>
  <c r="U26" i="11" s="1"/>
  <c r="Y26" i="11" s="1"/>
  <c r="AE26" i="11" s="1"/>
  <c r="AK26" i="11" s="1"/>
  <c r="I28" i="12"/>
  <c r="J27" i="11"/>
  <c r="V27" i="11" s="1"/>
  <c r="M27" i="4"/>
  <c r="P27" i="4"/>
  <c r="I27" i="9"/>
  <c r="U27" i="9" s="1"/>
  <c r="Y27" i="9" s="1"/>
  <c r="J27" i="9"/>
  <c r="V27" i="9" s="1"/>
  <c r="J27" i="12"/>
  <c r="V27" i="12" s="1"/>
  <c r="I26" i="10"/>
  <c r="U26" i="10" s="1"/>
  <c r="Y26" i="10" s="1"/>
  <c r="AE26" i="10" s="1"/>
  <c r="AK26" i="10" s="1"/>
  <c r="J27" i="10"/>
  <c r="V27" i="10" s="1"/>
  <c r="AE26" i="9" l="1"/>
  <c r="AK26" i="9" s="1"/>
  <c r="AF26" i="9"/>
  <c r="AL26" i="9" s="1"/>
  <c r="AA26" i="9"/>
  <c r="AE26" i="4"/>
  <c r="AK26" i="4" s="1"/>
  <c r="AI25" i="4"/>
  <c r="AO25" i="4" s="1"/>
  <c r="Z27" i="9"/>
  <c r="AA27" i="9" s="1"/>
  <c r="C23" i="18"/>
  <c r="AD25" i="12"/>
  <c r="AI25" i="12"/>
  <c r="P22" i="18"/>
  <c r="X27" i="12"/>
  <c r="AC26" i="12"/>
  <c r="Z27" i="12"/>
  <c r="AF27" i="12" s="1"/>
  <c r="F23" i="18"/>
  <c r="Z27" i="10"/>
  <c r="D23" i="18"/>
  <c r="Z27" i="11"/>
  <c r="AF27" i="11" s="1"/>
  <c r="E23" i="18"/>
  <c r="AD25" i="9"/>
  <c r="AL25" i="9"/>
  <c r="AM25" i="9" s="1"/>
  <c r="Z25" i="4"/>
  <c r="AA25" i="4" s="1"/>
  <c r="B21" i="18"/>
  <c r="AO24" i="12"/>
  <c r="AP24" i="12" s="1"/>
  <c r="AJ24" i="12"/>
  <c r="AA26" i="11"/>
  <c r="W27" i="9"/>
  <c r="AB26" i="9"/>
  <c r="AH26" i="9" s="1"/>
  <c r="AN26" i="9" s="1"/>
  <c r="AN25" i="4"/>
  <c r="W28" i="10"/>
  <c r="AB27" i="10"/>
  <c r="AH27" i="10" s="1"/>
  <c r="AN27" i="10" s="1"/>
  <c r="M27" i="12"/>
  <c r="U26" i="12"/>
  <c r="Y26" i="12" s="1"/>
  <c r="AL24" i="10"/>
  <c r="AM24" i="10" s="1"/>
  <c r="AG24" i="10"/>
  <c r="AF25" i="10"/>
  <c r="W29" i="12"/>
  <c r="AB28" i="12"/>
  <c r="AH28" i="12" s="1"/>
  <c r="AN28" i="12" s="1"/>
  <c r="AG24" i="4"/>
  <c r="AI25" i="11"/>
  <c r="AD25" i="11"/>
  <c r="AK24" i="12"/>
  <c r="AM24" i="12" s="1"/>
  <c r="AG24" i="12"/>
  <c r="AC26" i="10"/>
  <c r="X27" i="10"/>
  <c r="N23" i="18" s="1"/>
  <c r="W27" i="11"/>
  <c r="AB26" i="11"/>
  <c r="AH26" i="11" s="1"/>
  <c r="AN26" i="11" s="1"/>
  <c r="AE25" i="12"/>
  <c r="AA25" i="12"/>
  <c r="AO24" i="11"/>
  <c r="AP24" i="11" s="1"/>
  <c r="AJ24" i="11"/>
  <c r="AO25" i="9"/>
  <c r="AP25" i="9" s="1"/>
  <c r="AJ25" i="9"/>
  <c r="AJ24" i="10"/>
  <c r="AO24" i="10"/>
  <c r="AP24" i="10" s="1"/>
  <c r="AL26" i="11"/>
  <c r="AM26" i="11" s="1"/>
  <c r="AG26" i="11"/>
  <c r="AC26" i="11"/>
  <c r="X27" i="11"/>
  <c r="O23" i="18" s="1"/>
  <c r="AL26" i="12"/>
  <c r="AA26" i="10"/>
  <c r="AI25" i="10"/>
  <c r="AD25" i="10"/>
  <c r="AC27" i="9"/>
  <c r="X28" i="9"/>
  <c r="M24" i="18" s="1"/>
  <c r="AO24" i="4"/>
  <c r="AP24" i="4" s="1"/>
  <c r="AJ24" i="4"/>
  <c r="AI26" i="9"/>
  <c r="W27" i="4"/>
  <c r="AB26" i="4"/>
  <c r="AH26" i="4" s="1"/>
  <c r="AD25" i="4"/>
  <c r="X27" i="4"/>
  <c r="L23" i="18" s="1"/>
  <c r="AC26" i="4"/>
  <c r="J27" i="4"/>
  <c r="V27" i="4" s="1"/>
  <c r="B23" i="18" s="1"/>
  <c r="I27" i="4"/>
  <c r="O57" i="12"/>
  <c r="K58" i="4"/>
  <c r="Z26" i="4"/>
  <c r="AA26" i="4" s="1"/>
  <c r="I27" i="11"/>
  <c r="U27" i="11" s="1"/>
  <c r="Y27" i="11" s="1"/>
  <c r="AE27" i="11" s="1"/>
  <c r="AK27" i="11" s="1"/>
  <c r="J28" i="9"/>
  <c r="V28" i="9" s="1"/>
  <c r="I28" i="9"/>
  <c r="U28" i="9" s="1"/>
  <c r="Y28" i="9" s="1"/>
  <c r="P28" i="4"/>
  <c r="M28" i="4"/>
  <c r="J28" i="11"/>
  <c r="V28" i="11" s="1"/>
  <c r="J28" i="10"/>
  <c r="V28" i="10" s="1"/>
  <c r="I27" i="10"/>
  <c r="U27" i="10" s="1"/>
  <c r="Y27" i="10" s="1"/>
  <c r="AE27" i="10" s="1"/>
  <c r="AK27" i="10" s="1"/>
  <c r="I29" i="12"/>
  <c r="J28" i="12"/>
  <c r="V28" i="12" s="1"/>
  <c r="AG26" i="9" l="1"/>
  <c r="AM26" i="9"/>
  <c r="AE27" i="9"/>
  <c r="AK27" i="9" s="1"/>
  <c r="AF27" i="9"/>
  <c r="AJ25" i="4"/>
  <c r="AP25" i="4"/>
  <c r="AB29" i="12"/>
  <c r="AH29" i="12" s="1"/>
  <c r="W30" i="12"/>
  <c r="AA27" i="10"/>
  <c r="AF25" i="4"/>
  <c r="AG25" i="4" s="1"/>
  <c r="Z28" i="9"/>
  <c r="C24" i="18"/>
  <c r="Z28" i="11"/>
  <c r="AF28" i="11" s="1"/>
  <c r="E24" i="18"/>
  <c r="AD26" i="12"/>
  <c r="AI26" i="12"/>
  <c r="P23" i="18"/>
  <c r="X28" i="12"/>
  <c r="AC27" i="12"/>
  <c r="AJ25" i="12"/>
  <c r="AO25" i="12"/>
  <c r="AP25" i="12" s="1"/>
  <c r="Z28" i="10"/>
  <c r="D24" i="18"/>
  <c r="Z28" i="12"/>
  <c r="AF28" i="12" s="1"/>
  <c r="F24" i="18"/>
  <c r="AD26" i="9"/>
  <c r="AA27" i="11"/>
  <c r="AB27" i="9"/>
  <c r="AH27" i="9" s="1"/>
  <c r="AN27" i="9" s="1"/>
  <c r="W28" i="9"/>
  <c r="AN26" i="4"/>
  <c r="AJ26" i="9"/>
  <c r="AO26" i="9"/>
  <c r="AP26" i="9" s="1"/>
  <c r="AL27" i="11"/>
  <c r="AM27" i="11" s="1"/>
  <c r="AG27" i="11"/>
  <c r="AG27" i="9"/>
  <c r="AL27" i="9"/>
  <c r="AM27" i="9" s="1"/>
  <c r="AJ25" i="11"/>
  <c r="AO25" i="11"/>
  <c r="AP25" i="11" s="1"/>
  <c r="AI27" i="9"/>
  <c r="AE26" i="12"/>
  <c r="AA26" i="12"/>
  <c r="M28" i="12"/>
  <c r="U27" i="12"/>
  <c r="Y27" i="12" s="1"/>
  <c r="X28" i="11"/>
  <c r="O24" i="18" s="1"/>
  <c r="AC27" i="11"/>
  <c r="AB27" i="11"/>
  <c r="AH27" i="11" s="1"/>
  <c r="AN27" i="11" s="1"/>
  <c r="W28" i="11"/>
  <c r="AI26" i="10"/>
  <c r="AD26" i="10"/>
  <c r="AD26" i="11"/>
  <c r="AI26" i="11"/>
  <c r="X29" i="9"/>
  <c r="AC28" i="9"/>
  <c r="AL27" i="12"/>
  <c r="AL25" i="10"/>
  <c r="AM25" i="10" s="1"/>
  <c r="AG25" i="10"/>
  <c r="AF26" i="10"/>
  <c r="AK25" i="12"/>
  <c r="AM25" i="12" s="1"/>
  <c r="AG25" i="12"/>
  <c r="AA28" i="9"/>
  <c r="AF28" i="9"/>
  <c r="AD26" i="4"/>
  <c r="AI26" i="4"/>
  <c r="AJ25" i="10"/>
  <c r="AO25" i="10"/>
  <c r="AP25" i="10" s="1"/>
  <c r="AC27" i="10"/>
  <c r="X28" i="10"/>
  <c r="N24" i="18" s="1"/>
  <c r="AB28" i="10"/>
  <c r="AH28" i="10" s="1"/>
  <c r="AN28" i="10" s="1"/>
  <c r="W29" i="10"/>
  <c r="X28" i="4"/>
  <c r="L24" i="18" s="1"/>
  <c r="AC27" i="4"/>
  <c r="W28" i="4"/>
  <c r="AB27" i="4"/>
  <c r="AH27" i="4" s="1"/>
  <c r="I28" i="4"/>
  <c r="U28" i="4" s="1"/>
  <c r="J28" i="4"/>
  <c r="U27" i="4"/>
  <c r="Y27" i="4" s="1"/>
  <c r="AE27" i="4" s="1"/>
  <c r="AK27" i="4" s="1"/>
  <c r="K59" i="4"/>
  <c r="O58" i="12"/>
  <c r="I30" i="12"/>
  <c r="Z27" i="4"/>
  <c r="I28" i="11"/>
  <c r="U28" i="11" s="1"/>
  <c r="Y28" i="11" s="1"/>
  <c r="AE28" i="11" s="1"/>
  <c r="AK28" i="11" s="1"/>
  <c r="I29" i="9"/>
  <c r="U29" i="9" s="1"/>
  <c r="Y29" i="9" s="1"/>
  <c r="P29" i="4"/>
  <c r="J29" i="10"/>
  <c r="V29" i="10" s="1"/>
  <c r="D25" i="18" s="1"/>
  <c r="J29" i="11"/>
  <c r="V29" i="11" s="1"/>
  <c r="E25" i="18" s="1"/>
  <c r="J29" i="12"/>
  <c r="V29" i="12" s="1"/>
  <c r="F25" i="18" s="1"/>
  <c r="M29" i="4"/>
  <c r="J29" i="9"/>
  <c r="V29" i="9" s="1"/>
  <c r="C25" i="18" s="1"/>
  <c r="I28" i="10"/>
  <c r="U28" i="10" s="1"/>
  <c r="Y28" i="10" s="1"/>
  <c r="AE28" i="10" s="1"/>
  <c r="AK28" i="10" s="1"/>
  <c r="AE28" i="9" l="1"/>
  <c r="AK28" i="9" s="1"/>
  <c r="AL25" i="4"/>
  <c r="AM25" i="4" s="1"/>
  <c r="AF26" i="4"/>
  <c r="AG26" i="4" s="1"/>
  <c r="M25" i="18"/>
  <c r="X30" i="9"/>
  <c r="AB30" i="12"/>
  <c r="AH30" i="12" s="1"/>
  <c r="AN30" i="12" s="1"/>
  <c r="W31" i="12"/>
  <c r="AB29" i="10"/>
  <c r="AH29" i="10" s="1"/>
  <c r="AN29" i="10" s="1"/>
  <c r="W30" i="10"/>
  <c r="AD27" i="9"/>
  <c r="P24" i="18"/>
  <c r="X29" i="12"/>
  <c r="AC28" i="12"/>
  <c r="AJ26" i="12"/>
  <c r="AO26" i="12"/>
  <c r="AP26" i="12" s="1"/>
  <c r="AI27" i="4"/>
  <c r="AO27" i="4" s="1"/>
  <c r="AD27" i="12"/>
  <c r="AI27" i="12"/>
  <c r="AA27" i="4"/>
  <c r="Y28" i="4"/>
  <c r="AE28" i="4" s="1"/>
  <c r="AK28" i="4" s="1"/>
  <c r="W29" i="9"/>
  <c r="AB28" i="9"/>
  <c r="AH28" i="9" s="1"/>
  <c r="AN28" i="9" s="1"/>
  <c r="AN27" i="4"/>
  <c r="AI28" i="9"/>
  <c r="AL28" i="12"/>
  <c r="X29" i="10"/>
  <c r="AC28" i="10"/>
  <c r="AL28" i="11"/>
  <c r="AM28" i="11" s="1"/>
  <c r="AG28" i="11"/>
  <c r="AJ27" i="9"/>
  <c r="AO27" i="9"/>
  <c r="AP27" i="9" s="1"/>
  <c r="AK26" i="12"/>
  <c r="AM26" i="12" s="1"/>
  <c r="AG26" i="12"/>
  <c r="AA28" i="10"/>
  <c r="AB28" i="11"/>
  <c r="AH28" i="11" s="1"/>
  <c r="AN28" i="11" s="1"/>
  <c r="W29" i="11"/>
  <c r="AO26" i="4"/>
  <c r="AP26" i="4" s="1"/>
  <c r="AJ26" i="4"/>
  <c r="AC29" i="9"/>
  <c r="AJ26" i="11"/>
  <c r="AO26" i="11"/>
  <c r="AP26" i="11" s="1"/>
  <c r="Z29" i="9"/>
  <c r="AL28" i="9"/>
  <c r="AG28" i="9"/>
  <c r="AD27" i="11"/>
  <c r="AI27" i="11"/>
  <c r="AI27" i="10"/>
  <c r="AD27" i="10"/>
  <c r="AL26" i="10"/>
  <c r="AM26" i="10" s="1"/>
  <c r="AG26" i="10"/>
  <c r="AF27" i="10"/>
  <c r="AN29" i="12"/>
  <c r="AA28" i="11"/>
  <c r="AO26" i="10"/>
  <c r="AP26" i="10" s="1"/>
  <c r="AJ26" i="10"/>
  <c r="X29" i="11"/>
  <c r="AC28" i="11"/>
  <c r="Z29" i="10"/>
  <c r="M29" i="12"/>
  <c r="U28" i="12"/>
  <c r="Y28" i="12" s="1"/>
  <c r="Z29" i="12"/>
  <c r="Z29" i="11"/>
  <c r="AE27" i="12"/>
  <c r="AA27" i="12"/>
  <c r="AD27" i="4"/>
  <c r="W29" i="4"/>
  <c r="AB28" i="4"/>
  <c r="AH28" i="4" s="1"/>
  <c r="X29" i="4"/>
  <c r="AC28" i="4"/>
  <c r="J29" i="4"/>
  <c r="V29" i="4" s="1"/>
  <c r="I29" i="4"/>
  <c r="U29" i="4" s="1"/>
  <c r="Y29" i="4" s="1"/>
  <c r="V28" i="4"/>
  <c r="B24" i="18" s="1"/>
  <c r="K60" i="4"/>
  <c r="O59" i="12"/>
  <c r="M30" i="4"/>
  <c r="P30" i="4"/>
  <c r="J30" i="11"/>
  <c r="V30" i="11" s="1"/>
  <c r="J30" i="12"/>
  <c r="V30" i="12" s="1"/>
  <c r="I31" i="12"/>
  <c r="J30" i="10"/>
  <c r="V30" i="10" s="1"/>
  <c r="I30" i="9"/>
  <c r="U30" i="9" s="1"/>
  <c r="Y30" i="9" s="1"/>
  <c r="AE30" i="9" s="1"/>
  <c r="AK30" i="9" s="1"/>
  <c r="J30" i="9"/>
  <c r="V30" i="9" s="1"/>
  <c r="I29" i="11"/>
  <c r="U29" i="11" s="1"/>
  <c r="Y29" i="11" s="1"/>
  <c r="AE29" i="11" s="1"/>
  <c r="I29" i="10"/>
  <c r="U29" i="10" s="1"/>
  <c r="Y29" i="10" s="1"/>
  <c r="AE29" i="10" s="1"/>
  <c r="AM28" i="9" l="1"/>
  <c r="AE29" i="9"/>
  <c r="AK29" i="9" s="1"/>
  <c r="AF27" i="4"/>
  <c r="AG27" i="4" s="1"/>
  <c r="AL26" i="4"/>
  <c r="AM26" i="4" s="1"/>
  <c r="Z28" i="4"/>
  <c r="AA28" i="4" s="1"/>
  <c r="AP27" i="4"/>
  <c r="X30" i="12"/>
  <c r="D26" i="18"/>
  <c r="Z30" i="10"/>
  <c r="F26" i="18"/>
  <c r="Z30" i="12"/>
  <c r="O25" i="18"/>
  <c r="X30" i="11"/>
  <c r="C26" i="18"/>
  <c r="Z30" i="9"/>
  <c r="E26" i="18"/>
  <c r="Z30" i="11"/>
  <c r="AB29" i="11"/>
  <c r="AH29" i="11" s="1"/>
  <c r="W30" i="11"/>
  <c r="AB30" i="10"/>
  <c r="AH30" i="10" s="1"/>
  <c r="AN30" i="10" s="1"/>
  <c r="W31" i="10"/>
  <c r="AB29" i="9"/>
  <c r="AD29" i="9" s="1"/>
  <c r="W30" i="9"/>
  <c r="AB29" i="4"/>
  <c r="AH29" i="4" s="1"/>
  <c r="W30" i="4"/>
  <c r="N25" i="18"/>
  <c r="X30" i="10"/>
  <c r="AB31" i="12"/>
  <c r="AH31" i="12" s="1"/>
  <c r="AN31" i="12" s="1"/>
  <c r="W32" i="12"/>
  <c r="L25" i="18"/>
  <c r="X30" i="4"/>
  <c r="AJ27" i="4"/>
  <c r="M26" i="18"/>
  <c r="X31" i="9"/>
  <c r="AC30" i="9"/>
  <c r="AE29" i="4"/>
  <c r="AK29" i="4" s="1"/>
  <c r="AI28" i="4"/>
  <c r="AO28" i="4" s="1"/>
  <c r="AJ27" i="12"/>
  <c r="AO27" i="12"/>
  <c r="AP27" i="12" s="1"/>
  <c r="B25" i="18"/>
  <c r="AD28" i="9"/>
  <c r="AI28" i="12"/>
  <c r="AD28" i="12"/>
  <c r="P25" i="18"/>
  <c r="AC29" i="12"/>
  <c r="AN28" i="4"/>
  <c r="AK29" i="11"/>
  <c r="AE28" i="12"/>
  <c r="AA28" i="12"/>
  <c r="M30" i="12"/>
  <c r="U29" i="12"/>
  <c r="Y29" i="12" s="1"/>
  <c r="AK27" i="12"/>
  <c r="AM27" i="12" s="1"/>
  <c r="AG27" i="12"/>
  <c r="AA29" i="11"/>
  <c r="AF29" i="11"/>
  <c r="AA29" i="9"/>
  <c r="AF29" i="9"/>
  <c r="AA29" i="10"/>
  <c r="AI28" i="11"/>
  <c r="AD28" i="11"/>
  <c r="AI29" i="9"/>
  <c r="AO27" i="10"/>
  <c r="AP27" i="10" s="1"/>
  <c r="AJ27" i="10"/>
  <c r="AD28" i="10"/>
  <c r="AI28" i="10"/>
  <c r="AK29" i="10"/>
  <c r="AC29" i="10"/>
  <c r="AD29" i="10" s="1"/>
  <c r="AO28" i="9"/>
  <c r="AP28" i="9" s="1"/>
  <c r="AJ28" i="9"/>
  <c r="AC29" i="11"/>
  <c r="AG27" i="10"/>
  <c r="AL27" i="10"/>
  <c r="AM27" i="10" s="1"/>
  <c r="AF28" i="10"/>
  <c r="AF29" i="10" s="1"/>
  <c r="AC29" i="4"/>
  <c r="AO27" i="11"/>
  <c r="AP27" i="11" s="1"/>
  <c r="AJ27" i="11"/>
  <c r="AF29" i="12"/>
  <c r="AD28" i="4"/>
  <c r="J30" i="4"/>
  <c r="J31" i="4" s="1"/>
  <c r="J32" i="4" s="1"/>
  <c r="J33" i="4" s="1"/>
  <c r="J34" i="4" s="1"/>
  <c r="J35" i="4" s="1"/>
  <c r="I30" i="4"/>
  <c r="I31" i="4" s="1"/>
  <c r="I32" i="4" s="1"/>
  <c r="I33" i="4" s="1"/>
  <c r="I34" i="4" s="1"/>
  <c r="I35" i="4" s="1"/>
  <c r="Z29" i="4"/>
  <c r="AA29" i="4" s="1"/>
  <c r="O60" i="12"/>
  <c r="K61" i="4"/>
  <c r="I30" i="11"/>
  <c r="U30" i="11" s="1"/>
  <c r="Y30" i="11" s="1"/>
  <c r="AE30" i="11" s="1"/>
  <c r="AK30" i="11" s="1"/>
  <c r="J31" i="9"/>
  <c r="V31" i="9" s="1"/>
  <c r="J31" i="10"/>
  <c r="V31" i="10" s="1"/>
  <c r="J31" i="12"/>
  <c r="V31" i="12" s="1"/>
  <c r="J31" i="11"/>
  <c r="V31" i="11" s="1"/>
  <c r="I31" i="9"/>
  <c r="U31" i="9" s="1"/>
  <c r="Y31" i="9" s="1"/>
  <c r="AE31" i="9" s="1"/>
  <c r="AK31" i="9" s="1"/>
  <c r="I32" i="12"/>
  <c r="AL27" i="4"/>
  <c r="AM27" i="4" s="1"/>
  <c r="P31" i="4"/>
  <c r="M31" i="4"/>
  <c r="I30" i="10"/>
  <c r="U30" i="10" s="1"/>
  <c r="Y30" i="10" s="1"/>
  <c r="AE30" i="10" s="1"/>
  <c r="AK30" i="10" s="1"/>
  <c r="AH29" i="9" l="1"/>
  <c r="AJ29" i="9" s="1"/>
  <c r="AF28" i="4"/>
  <c r="AL28" i="4" s="1"/>
  <c r="AM28" i="4" s="1"/>
  <c r="AJ28" i="4"/>
  <c r="AE29" i="12"/>
  <c r="AK29" i="12" s="1"/>
  <c r="I36" i="4"/>
  <c r="J36" i="4"/>
  <c r="AA30" i="11"/>
  <c r="AF30" i="11"/>
  <c r="AI30" i="9"/>
  <c r="AF30" i="9"/>
  <c r="AA30" i="9"/>
  <c r="M27" i="18"/>
  <c r="X32" i="9"/>
  <c r="AC31" i="9"/>
  <c r="O26" i="18"/>
  <c r="X31" i="11"/>
  <c r="AC30" i="11"/>
  <c r="E27" i="18"/>
  <c r="Z31" i="11"/>
  <c r="D27" i="18"/>
  <c r="Z31" i="10"/>
  <c r="C27" i="18"/>
  <c r="Z31" i="9"/>
  <c r="W31" i="9"/>
  <c r="AB30" i="9"/>
  <c r="AH30" i="9" s="1"/>
  <c r="AN30" i="9" s="1"/>
  <c r="W31" i="11"/>
  <c r="AB30" i="11"/>
  <c r="AH30" i="11" s="1"/>
  <c r="AN30" i="11" s="1"/>
  <c r="AF30" i="12"/>
  <c r="W31" i="4"/>
  <c r="AB30" i="4"/>
  <c r="AH30" i="4" s="1"/>
  <c r="AN30" i="4" s="1"/>
  <c r="M31" i="12"/>
  <c r="U30" i="12"/>
  <c r="Y30" i="12" s="1"/>
  <c r="AE30" i="12" s="1"/>
  <c r="AK30" i="12" s="1"/>
  <c r="L26" i="18"/>
  <c r="AC30" i="4"/>
  <c r="X31" i="4"/>
  <c r="AB31" i="10"/>
  <c r="AH31" i="10" s="1"/>
  <c r="AN31" i="10" s="1"/>
  <c r="W32" i="10"/>
  <c r="U30" i="4"/>
  <c r="Y30" i="4" s="1"/>
  <c r="AE30" i="4" s="1"/>
  <c r="AK30" i="4" s="1"/>
  <c r="V30" i="4"/>
  <c r="B26" i="18" s="1"/>
  <c r="AF30" i="10"/>
  <c r="AA30" i="10"/>
  <c r="AB32" i="12"/>
  <c r="AH32" i="12" s="1"/>
  <c r="AN32" i="12" s="1"/>
  <c r="W33" i="12"/>
  <c r="P26" i="18"/>
  <c r="AC30" i="12"/>
  <c r="X31" i="12"/>
  <c r="F27" i="18"/>
  <c r="Z31" i="12"/>
  <c r="N26" i="18"/>
  <c r="X31" i="10"/>
  <c r="AC30" i="10"/>
  <c r="AI29" i="12"/>
  <c r="AD29" i="12"/>
  <c r="AA29" i="12"/>
  <c r="AO28" i="12"/>
  <c r="AP28" i="12" s="1"/>
  <c r="AJ28" i="12"/>
  <c r="AP28" i="4"/>
  <c r="AL29" i="10"/>
  <c r="AG29" i="10"/>
  <c r="AL29" i="9"/>
  <c r="AG29" i="9"/>
  <c r="AD29" i="11"/>
  <c r="AI29" i="11"/>
  <c r="AL29" i="11"/>
  <c r="AG29" i="11"/>
  <c r="AD29" i="4"/>
  <c r="AI29" i="4"/>
  <c r="AK28" i="12"/>
  <c r="AM28" i="12" s="1"/>
  <c r="AG28" i="12"/>
  <c r="AG28" i="10"/>
  <c r="AL28" i="10"/>
  <c r="AM28" i="10" s="1"/>
  <c r="AJ28" i="11"/>
  <c r="AO28" i="11"/>
  <c r="AP28" i="11" s="1"/>
  <c r="AI29" i="10"/>
  <c r="AO28" i="10"/>
  <c r="AP28" i="10" s="1"/>
  <c r="AJ28" i="10"/>
  <c r="AO29" i="9"/>
  <c r="AN29" i="11"/>
  <c r="AL29" i="12"/>
  <c r="AN29" i="4"/>
  <c r="K62" i="4"/>
  <c r="O61" i="12"/>
  <c r="M32" i="4"/>
  <c r="U31" i="4"/>
  <c r="I32" i="9"/>
  <c r="U32" i="9" s="1"/>
  <c r="Y32" i="9" s="1"/>
  <c r="J32" i="11"/>
  <c r="V32" i="11" s="1"/>
  <c r="J32" i="12"/>
  <c r="V32" i="12" s="1"/>
  <c r="J32" i="10"/>
  <c r="V32" i="10" s="1"/>
  <c r="P32" i="4"/>
  <c r="V31" i="4"/>
  <c r="B27" i="18" s="1"/>
  <c r="I31" i="10"/>
  <c r="U31" i="10" s="1"/>
  <c r="Y31" i="10" s="1"/>
  <c r="AE31" i="10" s="1"/>
  <c r="AK31" i="10" s="1"/>
  <c r="J32" i="9"/>
  <c r="V32" i="9" s="1"/>
  <c r="I31" i="11"/>
  <c r="U31" i="11" s="1"/>
  <c r="Y31" i="11" s="1"/>
  <c r="AE31" i="11" s="1"/>
  <c r="AK31" i="11" s="1"/>
  <c r="I33" i="12"/>
  <c r="AG28" i="4" l="1"/>
  <c r="AF29" i="4"/>
  <c r="AL29" i="4" s="1"/>
  <c r="AM29" i="4" s="1"/>
  <c r="AN29" i="9"/>
  <c r="AG29" i="12"/>
  <c r="AD30" i="9"/>
  <c r="AB33" i="12"/>
  <c r="AH33" i="12" s="1"/>
  <c r="AN33" i="12" s="1"/>
  <c r="W34" i="12"/>
  <c r="AF31" i="11"/>
  <c r="AA31" i="11"/>
  <c r="AB32" i="10"/>
  <c r="AH32" i="10" s="1"/>
  <c r="AN32" i="10" s="1"/>
  <c r="W33" i="10"/>
  <c r="C28" i="18"/>
  <c r="Z32" i="9"/>
  <c r="L27" i="18"/>
  <c r="X32" i="4"/>
  <c r="AC31" i="4"/>
  <c r="AI31" i="9"/>
  <c r="AF31" i="9"/>
  <c r="AA31" i="9"/>
  <c r="AI30" i="4"/>
  <c r="AD30" i="4"/>
  <c r="AD30" i="10"/>
  <c r="AI30" i="10"/>
  <c r="AJ30" i="9"/>
  <c r="AO30" i="9"/>
  <c r="AP30" i="9" s="1"/>
  <c r="AA31" i="10"/>
  <c r="AF31" i="10"/>
  <c r="M28" i="18"/>
  <c r="AC32" i="9"/>
  <c r="X33" i="9"/>
  <c r="N27" i="18"/>
  <c r="X32" i="10"/>
  <c r="AC31" i="10"/>
  <c r="W32" i="4"/>
  <c r="AB31" i="4"/>
  <c r="AH31" i="4" s="1"/>
  <c r="AN31" i="4" s="1"/>
  <c r="AL30" i="10"/>
  <c r="AM30" i="10" s="1"/>
  <c r="AG30" i="10"/>
  <c r="D28" i="18"/>
  <c r="Z32" i="10"/>
  <c r="Z30" i="4"/>
  <c r="AA30" i="4" s="1"/>
  <c r="M32" i="12"/>
  <c r="U31" i="12"/>
  <c r="Y31" i="12" s="1"/>
  <c r="AE31" i="12" s="1"/>
  <c r="AK31" i="12" s="1"/>
  <c r="AA30" i="12"/>
  <c r="AG30" i="11"/>
  <c r="AL30" i="11"/>
  <c r="AM30" i="11" s="1"/>
  <c r="F28" i="18"/>
  <c r="Z32" i="12"/>
  <c r="AF31" i="12"/>
  <c r="AG30" i="12"/>
  <c r="AL30" i="12"/>
  <c r="AM30" i="12" s="1"/>
  <c r="AI30" i="11"/>
  <c r="AD30" i="11"/>
  <c r="J37" i="4"/>
  <c r="P27" i="18"/>
  <c r="X32" i="12"/>
  <c r="AC31" i="12"/>
  <c r="W32" i="11"/>
  <c r="AB31" i="11"/>
  <c r="AH31" i="11" s="1"/>
  <c r="AN31" i="11" s="1"/>
  <c r="O27" i="18"/>
  <c r="AC31" i="11"/>
  <c r="X32" i="11"/>
  <c r="AI30" i="12"/>
  <c r="AD30" i="12"/>
  <c r="I37" i="4"/>
  <c r="AG30" i="9"/>
  <c r="AL30" i="9"/>
  <c r="AM30" i="9" s="1"/>
  <c r="E28" i="18"/>
  <c r="Z32" i="11"/>
  <c r="AE32" i="9"/>
  <c r="AK32" i="9" s="1"/>
  <c r="Y31" i="4"/>
  <c r="AE31" i="4" s="1"/>
  <c r="AK31" i="4" s="1"/>
  <c r="W32" i="9"/>
  <c r="AB31" i="9"/>
  <c r="AH31" i="9" s="1"/>
  <c r="AN31" i="9" s="1"/>
  <c r="AJ29" i="12"/>
  <c r="AO29" i="12"/>
  <c r="AJ29" i="10"/>
  <c r="AO29" i="10"/>
  <c r="AM29" i="12"/>
  <c r="AO29" i="11"/>
  <c r="AJ29" i="11"/>
  <c r="AM29" i="11"/>
  <c r="AJ29" i="4"/>
  <c r="AO29" i="4"/>
  <c r="AM29" i="9"/>
  <c r="AM29" i="10"/>
  <c r="AP29" i="9"/>
  <c r="O62" i="12"/>
  <c r="K63" i="4"/>
  <c r="J33" i="10"/>
  <c r="V33" i="10" s="1"/>
  <c r="J33" i="12"/>
  <c r="V33" i="12" s="1"/>
  <c r="J33" i="11"/>
  <c r="V33" i="11" s="1"/>
  <c r="I34" i="12"/>
  <c r="I32" i="11"/>
  <c r="U32" i="11" s="1"/>
  <c r="Y32" i="11" s="1"/>
  <c r="AE32" i="11" s="1"/>
  <c r="AK32" i="11" s="1"/>
  <c r="I33" i="9"/>
  <c r="U33" i="9" s="1"/>
  <c r="Y33" i="9" s="1"/>
  <c r="P33" i="4"/>
  <c r="V32" i="4"/>
  <c r="B28" i="18" s="1"/>
  <c r="J33" i="9"/>
  <c r="V33" i="9" s="1"/>
  <c r="Z31" i="4"/>
  <c r="I32" i="10"/>
  <c r="U32" i="10" s="1"/>
  <c r="Y32" i="10" s="1"/>
  <c r="AE32" i="10" s="1"/>
  <c r="AK32" i="10" s="1"/>
  <c r="M33" i="4"/>
  <c r="U32" i="4"/>
  <c r="Y32" i="4" s="1"/>
  <c r="AG29" i="4" l="1"/>
  <c r="AE32" i="4"/>
  <c r="AK32" i="4" s="1"/>
  <c r="AE33" i="9"/>
  <c r="AK33" i="9" s="1"/>
  <c r="AD31" i="9"/>
  <c r="AB34" i="12"/>
  <c r="AH34" i="12" s="1"/>
  <c r="AN34" i="12" s="1"/>
  <c r="W35" i="12"/>
  <c r="AO30" i="4"/>
  <c r="AP30" i="4" s="1"/>
  <c r="AJ30" i="4"/>
  <c r="AF32" i="10"/>
  <c r="AA32" i="10"/>
  <c r="AG31" i="12"/>
  <c r="AL31" i="12"/>
  <c r="AM31" i="12" s="1"/>
  <c r="AD31" i="4"/>
  <c r="AI31" i="4"/>
  <c r="AF30" i="4"/>
  <c r="AF31" i="4" s="1"/>
  <c r="AI31" i="12"/>
  <c r="AD31" i="12"/>
  <c r="X33" i="4"/>
  <c r="L28" i="18"/>
  <c r="AC32" i="4"/>
  <c r="P28" i="18"/>
  <c r="X33" i="12"/>
  <c r="AC32" i="12"/>
  <c r="AF32" i="12"/>
  <c r="I38" i="4"/>
  <c r="AJ30" i="12"/>
  <c r="AO30" i="12"/>
  <c r="AP30" i="12" s="1"/>
  <c r="AI31" i="11"/>
  <c r="AD31" i="11"/>
  <c r="AB32" i="4"/>
  <c r="AH32" i="4" s="1"/>
  <c r="AN32" i="4" s="1"/>
  <c r="W33" i="4"/>
  <c r="AF32" i="9"/>
  <c r="J38" i="4"/>
  <c r="AI31" i="10"/>
  <c r="AD31" i="10"/>
  <c r="AJ30" i="10"/>
  <c r="AO30" i="10"/>
  <c r="AP30" i="10" s="1"/>
  <c r="O28" i="18"/>
  <c r="AC32" i="11"/>
  <c r="X33" i="11"/>
  <c r="M33" i="12"/>
  <c r="U32" i="12"/>
  <c r="Y32" i="12" s="1"/>
  <c r="AE32" i="12" s="1"/>
  <c r="AK32" i="12" s="1"/>
  <c r="AJ31" i="9"/>
  <c r="AO31" i="9"/>
  <c r="AP31" i="9" s="1"/>
  <c r="W33" i="9"/>
  <c r="AB32" i="9"/>
  <c r="AH32" i="9" s="1"/>
  <c r="AN32" i="9" s="1"/>
  <c r="N28" i="18"/>
  <c r="AC32" i="10"/>
  <c r="X33" i="10"/>
  <c r="AB33" i="10"/>
  <c r="AH33" i="10" s="1"/>
  <c r="AN33" i="10" s="1"/>
  <c r="W34" i="10"/>
  <c r="W33" i="11"/>
  <c r="AB32" i="11"/>
  <c r="AH32" i="11" s="1"/>
  <c r="AN32" i="11" s="1"/>
  <c r="C29" i="18"/>
  <c r="Z33" i="9"/>
  <c r="AJ30" i="11"/>
  <c r="AO30" i="11"/>
  <c r="AP30" i="11" s="1"/>
  <c r="M29" i="18"/>
  <c r="X34" i="9"/>
  <c r="X35" i="9" s="1"/>
  <c r="AC33" i="9"/>
  <c r="AG31" i="9"/>
  <c r="AL31" i="9"/>
  <c r="AM31" i="9" s="1"/>
  <c r="I35" i="12"/>
  <c r="AA32" i="9"/>
  <c r="AI32" i="9"/>
  <c r="AL31" i="11"/>
  <c r="AM31" i="11" s="1"/>
  <c r="AG31" i="11"/>
  <c r="D29" i="18"/>
  <c r="Z33" i="10"/>
  <c r="AA32" i="11"/>
  <c r="AF32" i="11"/>
  <c r="E29" i="18"/>
  <c r="Z33" i="11"/>
  <c r="F29" i="18"/>
  <c r="Z33" i="12"/>
  <c r="AA31" i="12"/>
  <c r="AL31" i="10"/>
  <c r="AM31" i="10" s="1"/>
  <c r="AG31" i="10"/>
  <c r="AP29" i="12"/>
  <c r="AP29" i="11"/>
  <c r="AP29" i="4"/>
  <c r="AP29" i="10"/>
  <c r="K64" i="4"/>
  <c r="O63" i="12"/>
  <c r="J34" i="11"/>
  <c r="M34" i="4"/>
  <c r="U33" i="4"/>
  <c r="Y33" i="4" s="1"/>
  <c r="J34" i="9"/>
  <c r="I33" i="10"/>
  <c r="U33" i="10" s="1"/>
  <c r="Y33" i="10" s="1"/>
  <c r="AE33" i="10" s="1"/>
  <c r="AK33" i="10" s="1"/>
  <c r="Z32" i="4"/>
  <c r="P34" i="4"/>
  <c r="V33" i="4"/>
  <c r="B29" i="18" s="1"/>
  <c r="I34" i="9"/>
  <c r="I33" i="11"/>
  <c r="U33" i="11" s="1"/>
  <c r="Y33" i="11" s="1"/>
  <c r="AE33" i="11" s="1"/>
  <c r="AK33" i="11" s="1"/>
  <c r="AA31" i="4"/>
  <c r="J34" i="12"/>
  <c r="J34" i="10"/>
  <c r="AE33" i="4" l="1"/>
  <c r="AK33" i="4" s="1"/>
  <c r="I36" i="12"/>
  <c r="M31" i="18"/>
  <c r="X36" i="9"/>
  <c r="AC35" i="9"/>
  <c r="AB34" i="10"/>
  <c r="AH34" i="10" s="1"/>
  <c r="AN34" i="10" s="1"/>
  <c r="W35" i="10"/>
  <c r="AG30" i="4"/>
  <c r="AL30" i="4"/>
  <c r="AM30" i="4" s="1"/>
  <c r="W36" i="12"/>
  <c r="AB35" i="12"/>
  <c r="AH35" i="12" s="1"/>
  <c r="AN35" i="12" s="1"/>
  <c r="AI33" i="9"/>
  <c r="I35" i="9"/>
  <c r="U34" i="9"/>
  <c r="Y34" i="9" s="1"/>
  <c r="AD32" i="9"/>
  <c r="AJ32" i="9"/>
  <c r="AO32" i="9"/>
  <c r="AP32" i="9" s="1"/>
  <c r="P29" i="18"/>
  <c r="X34" i="12"/>
  <c r="X35" i="12" s="1"/>
  <c r="AC33" i="12"/>
  <c r="AC34" i="9"/>
  <c r="M30" i="18"/>
  <c r="J39" i="4"/>
  <c r="AO31" i="4"/>
  <c r="AP31" i="4" s="1"/>
  <c r="AJ31" i="4"/>
  <c r="AD32" i="12"/>
  <c r="AI32" i="12"/>
  <c r="V34" i="9"/>
  <c r="J35" i="9"/>
  <c r="U34" i="4"/>
  <c r="Y34" i="4" s="1"/>
  <c r="AE34" i="4" s="1"/>
  <c r="AK34" i="4" s="1"/>
  <c r="M35" i="4"/>
  <c r="AG32" i="9"/>
  <c r="AL32" i="9"/>
  <c r="AM32" i="9" s="1"/>
  <c r="W34" i="11"/>
  <c r="AB33" i="11"/>
  <c r="AH33" i="11" s="1"/>
  <c r="AN33" i="11" s="1"/>
  <c r="AB33" i="4"/>
  <c r="AH33" i="4" s="1"/>
  <c r="AN33" i="4" s="1"/>
  <c r="W34" i="4"/>
  <c r="I39" i="4"/>
  <c r="AA32" i="12"/>
  <c r="AI32" i="11"/>
  <c r="AD32" i="11"/>
  <c r="V34" i="11"/>
  <c r="J35" i="11"/>
  <c r="L29" i="18"/>
  <c r="AC33" i="4"/>
  <c r="X34" i="4"/>
  <c r="X35" i="4" s="1"/>
  <c r="AJ31" i="10"/>
  <c r="AO31" i="10"/>
  <c r="AP31" i="10" s="1"/>
  <c r="AF33" i="11"/>
  <c r="AA33" i="11"/>
  <c r="AF33" i="12"/>
  <c r="AL32" i="12"/>
  <c r="AM32" i="12" s="1"/>
  <c r="AG32" i="12"/>
  <c r="V34" i="4"/>
  <c r="Z34" i="4" s="1"/>
  <c r="P35" i="4"/>
  <c r="V34" i="12"/>
  <c r="J35" i="12"/>
  <c r="AL32" i="10"/>
  <c r="AM32" i="10" s="1"/>
  <c r="AG32" i="10"/>
  <c r="AB33" i="9"/>
  <c r="AH33" i="9" s="1"/>
  <c r="AN33" i="9" s="1"/>
  <c r="W34" i="9"/>
  <c r="M34" i="12"/>
  <c r="U33" i="12"/>
  <c r="Y33" i="12" s="1"/>
  <c r="AE33" i="12" s="1"/>
  <c r="AK33" i="12" s="1"/>
  <c r="O29" i="18"/>
  <c r="X34" i="11"/>
  <c r="X35" i="11" s="1"/>
  <c r="AC33" i="11"/>
  <c r="AD32" i="4"/>
  <c r="AI32" i="4"/>
  <c r="AG32" i="11"/>
  <c r="AL32" i="11"/>
  <c r="AM32" i="11" s="1"/>
  <c r="AF33" i="10"/>
  <c r="AA33" i="10"/>
  <c r="N29" i="18"/>
  <c r="AC33" i="10"/>
  <c r="X34" i="10"/>
  <c r="X35" i="10" s="1"/>
  <c r="AJ31" i="11"/>
  <c r="AO31" i="11"/>
  <c r="AP31" i="11" s="1"/>
  <c r="AO31" i="12"/>
  <c r="AP31" i="12" s="1"/>
  <c r="AJ31" i="12"/>
  <c r="AA33" i="9"/>
  <c r="AF33" i="9"/>
  <c r="V34" i="10"/>
  <c r="J35" i="10"/>
  <c r="AD32" i="10"/>
  <c r="AI32" i="10"/>
  <c r="O64" i="12"/>
  <c r="K65" i="4"/>
  <c r="AA32" i="4"/>
  <c r="AF32" i="4"/>
  <c r="I34" i="11"/>
  <c r="Z33" i="4"/>
  <c r="AG31" i="4"/>
  <c r="AL31" i="4"/>
  <c r="AM31" i="4" s="1"/>
  <c r="I34" i="10"/>
  <c r="AB34" i="9" l="1"/>
  <c r="W35" i="9"/>
  <c r="AB34" i="4"/>
  <c r="AH34" i="4" s="1"/>
  <c r="AN34" i="4" s="1"/>
  <c r="W35" i="4"/>
  <c r="W37" i="12"/>
  <c r="AB36" i="12"/>
  <c r="AH36" i="12" s="1"/>
  <c r="AN36" i="12" s="1"/>
  <c r="N31" i="18"/>
  <c r="AC35" i="10"/>
  <c r="X36" i="10"/>
  <c r="AB35" i="10"/>
  <c r="AH35" i="10" s="1"/>
  <c r="AN35" i="10" s="1"/>
  <c r="W36" i="10"/>
  <c r="AI35" i="9"/>
  <c r="M32" i="18"/>
  <c r="AC36" i="9"/>
  <c r="X37" i="9"/>
  <c r="P31" i="18"/>
  <c r="X36" i="12"/>
  <c r="AC35" i="12"/>
  <c r="I36" i="9"/>
  <c r="U35" i="9"/>
  <c r="Y35" i="9" s="1"/>
  <c r="O31" i="18"/>
  <c r="AC35" i="11"/>
  <c r="X36" i="11"/>
  <c r="AB34" i="11"/>
  <c r="W35" i="11"/>
  <c r="L31" i="18"/>
  <c r="X36" i="4"/>
  <c r="AC35" i="4"/>
  <c r="I37" i="12"/>
  <c r="AC34" i="4"/>
  <c r="L30" i="18"/>
  <c r="O30" i="18"/>
  <c r="AC34" i="11"/>
  <c r="P30" i="18"/>
  <c r="AC34" i="12"/>
  <c r="AO32" i="4"/>
  <c r="AP32" i="4" s="1"/>
  <c r="AJ32" i="4"/>
  <c r="M36" i="4"/>
  <c r="U35" i="4"/>
  <c r="Y35" i="4" s="1"/>
  <c r="AE35" i="4" s="1"/>
  <c r="AK35" i="4" s="1"/>
  <c r="J36" i="9"/>
  <c r="V35" i="9"/>
  <c r="AG33" i="11"/>
  <c r="AL33" i="11"/>
  <c r="AM33" i="11" s="1"/>
  <c r="AD33" i="4"/>
  <c r="AI33" i="4"/>
  <c r="E30" i="18"/>
  <c r="Z34" i="11"/>
  <c r="AI34" i="9"/>
  <c r="AD34" i="9"/>
  <c r="J36" i="10"/>
  <c r="V35" i="10"/>
  <c r="D30" i="18"/>
  <c r="Z34" i="10"/>
  <c r="U34" i="10"/>
  <c r="Y34" i="10" s="1"/>
  <c r="AE34" i="10" s="1"/>
  <c r="AK34" i="10" s="1"/>
  <c r="I35" i="10"/>
  <c r="AJ32" i="11"/>
  <c r="AO32" i="11"/>
  <c r="AP32" i="11" s="1"/>
  <c r="AD33" i="12"/>
  <c r="AI33" i="12"/>
  <c r="F30" i="18"/>
  <c r="Z34" i="12"/>
  <c r="AG33" i="12"/>
  <c r="AL33" i="12"/>
  <c r="AM33" i="12" s="1"/>
  <c r="AD33" i="11"/>
  <c r="AI33" i="11"/>
  <c r="J40" i="4"/>
  <c r="J36" i="11"/>
  <c r="V35" i="11"/>
  <c r="AG33" i="9"/>
  <c r="AL33" i="9"/>
  <c r="AM33" i="9" s="1"/>
  <c r="I35" i="11"/>
  <c r="U34" i="11"/>
  <c r="Y34" i="11" s="1"/>
  <c r="AE34" i="11" s="1"/>
  <c r="AK34" i="11" s="1"/>
  <c r="AA33" i="12"/>
  <c r="AE34" i="9"/>
  <c r="AK34" i="9" s="1"/>
  <c r="C30" i="18"/>
  <c r="Z34" i="9"/>
  <c r="AF34" i="9" s="1"/>
  <c r="AO32" i="12"/>
  <c r="AP32" i="12" s="1"/>
  <c r="AJ32" i="12"/>
  <c r="M35" i="12"/>
  <c r="U34" i="12"/>
  <c r="Y34" i="12" s="1"/>
  <c r="AE34" i="12" s="1"/>
  <c r="AK34" i="12" s="1"/>
  <c r="AH34" i="9"/>
  <c r="AN34" i="9" s="1"/>
  <c r="J36" i="12"/>
  <c r="V35" i="12"/>
  <c r="P36" i="4"/>
  <c r="V35" i="4"/>
  <c r="N30" i="18"/>
  <c r="AC34" i="10"/>
  <c r="B30" i="18"/>
  <c r="AD33" i="9"/>
  <c r="AL33" i="10"/>
  <c r="AM33" i="10" s="1"/>
  <c r="AG33" i="10"/>
  <c r="AJ32" i="10"/>
  <c r="AO32" i="10"/>
  <c r="AP32" i="10" s="1"/>
  <c r="I40" i="4"/>
  <c r="AH34" i="11"/>
  <c r="AN34" i="11" s="1"/>
  <c r="AD33" i="10"/>
  <c r="AI33" i="10"/>
  <c r="AJ33" i="9"/>
  <c r="AO33" i="9"/>
  <c r="AP33" i="9" s="1"/>
  <c r="O65" i="12"/>
  <c r="K66" i="4"/>
  <c r="AL32" i="4"/>
  <c r="AM32" i="4" s="1"/>
  <c r="AG32" i="4"/>
  <c r="AA34" i="4"/>
  <c r="AA33" i="4"/>
  <c r="AF33" i="4"/>
  <c r="AF34" i="4" s="1"/>
  <c r="M36" i="12" l="1"/>
  <c r="U35" i="12"/>
  <c r="Y35" i="12" s="1"/>
  <c r="AE35" i="12" s="1"/>
  <c r="X37" i="12"/>
  <c r="AC36" i="12"/>
  <c r="P32" i="18"/>
  <c r="I36" i="10"/>
  <c r="U35" i="10"/>
  <c r="Y35" i="10" s="1"/>
  <c r="AE35" i="10" s="1"/>
  <c r="AK35" i="10" s="1"/>
  <c r="AE35" i="9"/>
  <c r="AK35" i="9" s="1"/>
  <c r="AD35" i="12"/>
  <c r="W37" i="10"/>
  <c r="AB36" i="10"/>
  <c r="AH36" i="10" s="1"/>
  <c r="AN36" i="10" s="1"/>
  <c r="N32" i="18"/>
  <c r="AC36" i="10"/>
  <c r="X37" i="10"/>
  <c r="I38" i="12"/>
  <c r="AD35" i="10"/>
  <c r="AI35" i="4"/>
  <c r="AD35" i="4"/>
  <c r="L32" i="18"/>
  <c r="X37" i="4"/>
  <c r="AC36" i="4"/>
  <c r="I37" i="9"/>
  <c r="U36" i="9"/>
  <c r="Y36" i="9" s="1"/>
  <c r="D31" i="18"/>
  <c r="Z35" i="10"/>
  <c r="I36" i="11"/>
  <c r="U35" i="11"/>
  <c r="Y35" i="11" s="1"/>
  <c r="AE35" i="11" s="1"/>
  <c r="AK35" i="11" s="1"/>
  <c r="AB37" i="12"/>
  <c r="AH37" i="12" s="1"/>
  <c r="AN37" i="12" s="1"/>
  <c r="W38" i="12"/>
  <c r="M33" i="18"/>
  <c r="AC37" i="9"/>
  <c r="X38" i="9"/>
  <c r="AI36" i="9"/>
  <c r="AB35" i="11"/>
  <c r="AH35" i="11" s="1"/>
  <c r="AN35" i="11" s="1"/>
  <c r="W36" i="11"/>
  <c r="AB35" i="4"/>
  <c r="AH35" i="4" s="1"/>
  <c r="AN35" i="4" s="1"/>
  <c r="W36" i="4"/>
  <c r="E31" i="18"/>
  <c r="Z35" i="11"/>
  <c r="C31" i="18"/>
  <c r="Z35" i="9"/>
  <c r="AF35" i="9" s="1"/>
  <c r="AO35" i="9"/>
  <c r="O32" i="18"/>
  <c r="AC36" i="11"/>
  <c r="X37" i="11"/>
  <c r="AB35" i="9"/>
  <c r="W36" i="9"/>
  <c r="Z35" i="4"/>
  <c r="AF35" i="4" s="1"/>
  <c r="B31" i="18"/>
  <c r="F31" i="18"/>
  <c r="Z35" i="12"/>
  <c r="P37" i="4"/>
  <c r="V36" i="4"/>
  <c r="AG34" i="9"/>
  <c r="AL34" i="9"/>
  <c r="AM34" i="9" s="1"/>
  <c r="M37" i="4"/>
  <c r="U36" i="4"/>
  <c r="Y36" i="4" s="1"/>
  <c r="AE36" i="4" s="1"/>
  <c r="AK36" i="4" s="1"/>
  <c r="AO34" i="9"/>
  <c r="AP34" i="9" s="1"/>
  <c r="AJ34" i="9"/>
  <c r="AO33" i="4"/>
  <c r="AP33" i="4" s="1"/>
  <c r="AJ33" i="4"/>
  <c r="J41" i="4"/>
  <c r="AJ33" i="11"/>
  <c r="AO33" i="11"/>
  <c r="AP33" i="11" s="1"/>
  <c r="AD34" i="12"/>
  <c r="AI34" i="12"/>
  <c r="AI35" i="12" s="1"/>
  <c r="J37" i="11"/>
  <c r="V36" i="11"/>
  <c r="I41" i="4"/>
  <c r="AI34" i="11"/>
  <c r="AI35" i="11" s="1"/>
  <c r="AD34" i="11"/>
  <c r="AF34" i="12"/>
  <c r="AA34" i="12"/>
  <c r="J37" i="9"/>
  <c r="V36" i="9"/>
  <c r="AA34" i="10"/>
  <c r="AF34" i="10"/>
  <c r="J37" i="10"/>
  <c r="V36" i="10"/>
  <c r="AD34" i="10"/>
  <c r="AI34" i="10"/>
  <c r="AI35" i="10" s="1"/>
  <c r="AF34" i="11"/>
  <c r="AA34" i="11"/>
  <c r="J37" i="12"/>
  <c r="V36" i="12"/>
  <c r="AJ33" i="12"/>
  <c r="AO33" i="12"/>
  <c r="AP33" i="12" s="1"/>
  <c r="AA34" i="9"/>
  <c r="AJ33" i="10"/>
  <c r="AO33" i="10"/>
  <c r="AP33" i="10" s="1"/>
  <c r="AD34" i="4"/>
  <c r="AI34" i="4"/>
  <c r="K67" i="4"/>
  <c r="O66" i="12"/>
  <c r="AG34" i="4"/>
  <c r="AL34" i="4"/>
  <c r="AM34" i="4" s="1"/>
  <c r="AL33" i="4"/>
  <c r="AM33" i="4" s="1"/>
  <c r="AG33" i="4"/>
  <c r="AD35" i="11" l="1"/>
  <c r="AA35" i="9"/>
  <c r="AO35" i="11"/>
  <c r="AP35" i="11" s="1"/>
  <c r="AJ35" i="11"/>
  <c r="AO35" i="12"/>
  <c r="AP35" i="12" s="1"/>
  <c r="AJ35" i="12"/>
  <c r="AB36" i="11"/>
  <c r="AH36" i="11" s="1"/>
  <c r="AN36" i="11" s="1"/>
  <c r="W37" i="11"/>
  <c r="I39" i="12"/>
  <c r="AO35" i="4"/>
  <c r="AP35" i="4" s="1"/>
  <c r="AJ35" i="4"/>
  <c r="AA35" i="12"/>
  <c r="AF35" i="12"/>
  <c r="AB36" i="9"/>
  <c r="W37" i="9"/>
  <c r="AH35" i="9"/>
  <c r="AD35" i="9"/>
  <c r="I37" i="11"/>
  <c r="U36" i="11"/>
  <c r="O33" i="18"/>
  <c r="AC37" i="11"/>
  <c r="X38" i="11"/>
  <c r="AF35" i="10"/>
  <c r="AA35" i="10"/>
  <c r="AI36" i="10"/>
  <c r="AD36" i="10"/>
  <c r="AA35" i="4"/>
  <c r="AD36" i="11"/>
  <c r="AI36" i="11"/>
  <c r="I37" i="10"/>
  <c r="U36" i="10"/>
  <c r="Y36" i="10" s="1"/>
  <c r="AE36" i="10" s="1"/>
  <c r="AK36" i="10" s="1"/>
  <c r="W37" i="4"/>
  <c r="AB36" i="4"/>
  <c r="AH36" i="4" s="1"/>
  <c r="AN36" i="4" s="1"/>
  <c r="F32" i="18"/>
  <c r="Z36" i="12"/>
  <c r="AE36" i="9"/>
  <c r="AK36" i="9" s="1"/>
  <c r="E32" i="18"/>
  <c r="Z36" i="11"/>
  <c r="N33" i="18"/>
  <c r="X38" i="10"/>
  <c r="AC37" i="10"/>
  <c r="AO36" i="9"/>
  <c r="M34" i="18"/>
  <c r="X39" i="9"/>
  <c r="AC38" i="9"/>
  <c r="AI37" i="9"/>
  <c r="AB37" i="10"/>
  <c r="AH37" i="10" s="1"/>
  <c r="AN37" i="10" s="1"/>
  <c r="W38" i="10"/>
  <c r="I38" i="9"/>
  <c r="U37" i="9"/>
  <c r="Y37" i="9" s="1"/>
  <c r="AD36" i="12"/>
  <c r="AI36" i="12"/>
  <c r="AJ35" i="10"/>
  <c r="AO35" i="10"/>
  <c r="AP35" i="10" s="1"/>
  <c r="D32" i="18"/>
  <c r="Z36" i="10"/>
  <c r="AI36" i="4"/>
  <c r="P33" i="18"/>
  <c r="AC37" i="12"/>
  <c r="X38" i="12"/>
  <c r="AL35" i="9"/>
  <c r="AM35" i="9" s="1"/>
  <c r="AG35" i="9"/>
  <c r="L33" i="18"/>
  <c r="X38" i="4"/>
  <c r="AC37" i="4"/>
  <c r="AK35" i="12"/>
  <c r="AF35" i="11"/>
  <c r="AA35" i="11"/>
  <c r="Z36" i="4"/>
  <c r="B32" i="18"/>
  <c r="AB38" i="12"/>
  <c r="AH38" i="12" s="1"/>
  <c r="AN38" i="12" s="1"/>
  <c r="W39" i="12"/>
  <c r="C32" i="18"/>
  <c r="Z36" i="9"/>
  <c r="M37" i="12"/>
  <c r="U36" i="12"/>
  <c r="Y36" i="12" s="1"/>
  <c r="AE36" i="12" s="1"/>
  <c r="AK36" i="12" s="1"/>
  <c r="AO34" i="10"/>
  <c r="AP34" i="10" s="1"/>
  <c r="AJ34" i="10"/>
  <c r="AL35" i="4"/>
  <c r="AM35" i="4" s="1"/>
  <c r="AG35" i="4"/>
  <c r="AO34" i="12"/>
  <c r="AP34" i="12" s="1"/>
  <c r="AJ34" i="12"/>
  <c r="J38" i="12"/>
  <c r="V37" i="12"/>
  <c r="J42" i="4"/>
  <c r="J38" i="11"/>
  <c r="V37" i="11"/>
  <c r="I42" i="4"/>
  <c r="J38" i="10"/>
  <c r="V37" i="10"/>
  <c r="AL34" i="12"/>
  <c r="AM34" i="12" s="1"/>
  <c r="AG34" i="12"/>
  <c r="AL34" i="11"/>
  <c r="AM34" i="11" s="1"/>
  <c r="AG34" i="11"/>
  <c r="M38" i="4"/>
  <c r="U37" i="4"/>
  <c r="Y37" i="4" s="1"/>
  <c r="AE37" i="4" s="1"/>
  <c r="AK37" i="4" s="1"/>
  <c r="AA36" i="4"/>
  <c r="AF36" i="4"/>
  <c r="AL34" i="10"/>
  <c r="AM34" i="10" s="1"/>
  <c r="AG34" i="10"/>
  <c r="J38" i="9"/>
  <c r="V37" i="9"/>
  <c r="AJ34" i="4"/>
  <c r="AO34" i="4"/>
  <c r="AP34" i="4" s="1"/>
  <c r="AJ34" i="11"/>
  <c r="AO34" i="11"/>
  <c r="AP34" i="11" s="1"/>
  <c r="P38" i="4"/>
  <c r="V37" i="4"/>
  <c r="K68" i="4"/>
  <c r="O67" i="12"/>
  <c r="N34" i="18" l="1"/>
  <c r="AC38" i="10"/>
  <c r="X39" i="10"/>
  <c r="I38" i="11"/>
  <c r="U37" i="11"/>
  <c r="Y37" i="11" s="1"/>
  <c r="AD36" i="4"/>
  <c r="AB37" i="4"/>
  <c r="AH37" i="4" s="1"/>
  <c r="AN37" i="4" s="1"/>
  <c r="W38" i="4"/>
  <c r="AI37" i="4"/>
  <c r="AO36" i="4"/>
  <c r="AP36" i="4" s="1"/>
  <c r="AJ36" i="4"/>
  <c r="AF36" i="11"/>
  <c r="AA36" i="11"/>
  <c r="W40" i="12"/>
  <c r="AB39" i="12"/>
  <c r="AH39" i="12" s="1"/>
  <c r="AN39" i="12" s="1"/>
  <c r="AE37" i="9"/>
  <c r="AK37" i="9" s="1"/>
  <c r="AD37" i="10"/>
  <c r="AI37" i="10"/>
  <c r="AA36" i="10"/>
  <c r="AF36" i="10"/>
  <c r="I38" i="10"/>
  <c r="U37" i="10"/>
  <c r="Y37" i="10" s="1"/>
  <c r="AE37" i="10" s="1"/>
  <c r="AK37" i="10" s="1"/>
  <c r="AN35" i="9"/>
  <c r="AP35" i="9" s="1"/>
  <c r="AJ35" i="9"/>
  <c r="D33" i="18"/>
  <c r="Z37" i="10"/>
  <c r="E33" i="18"/>
  <c r="Z37" i="11"/>
  <c r="AO36" i="11"/>
  <c r="AP36" i="11" s="1"/>
  <c r="AJ36" i="11"/>
  <c r="I40" i="12"/>
  <c r="AC38" i="12"/>
  <c r="P34" i="18"/>
  <c r="X39" i="12"/>
  <c r="AD37" i="12"/>
  <c r="AI37" i="12"/>
  <c r="AL35" i="12"/>
  <c r="AM35" i="12" s="1"/>
  <c r="AG35" i="12"/>
  <c r="I39" i="9"/>
  <c r="U38" i="9"/>
  <c r="AB38" i="10"/>
  <c r="AH38" i="10" s="1"/>
  <c r="AN38" i="10" s="1"/>
  <c r="W39" i="10"/>
  <c r="W38" i="11"/>
  <c r="AB37" i="11"/>
  <c r="AH37" i="11" s="1"/>
  <c r="AN37" i="11" s="1"/>
  <c r="Y36" i="11"/>
  <c r="AE36" i="11" s="1"/>
  <c r="O34" i="18"/>
  <c r="X39" i="11"/>
  <c r="AC38" i="11"/>
  <c r="AA36" i="9"/>
  <c r="AF36" i="9"/>
  <c r="Z37" i="4"/>
  <c r="AA37" i="4" s="1"/>
  <c r="B33" i="18"/>
  <c r="M38" i="12"/>
  <c r="U37" i="12"/>
  <c r="Y37" i="12" s="1"/>
  <c r="AE37" i="12" s="1"/>
  <c r="AK37" i="12" s="1"/>
  <c r="W38" i="9"/>
  <c r="AB37" i="9"/>
  <c r="AH36" i="9"/>
  <c r="AD36" i="9"/>
  <c r="AD37" i="4"/>
  <c r="AO37" i="9"/>
  <c r="AO36" i="10"/>
  <c r="AP36" i="10" s="1"/>
  <c r="AJ36" i="10"/>
  <c r="AI37" i="11"/>
  <c r="AO36" i="12"/>
  <c r="AP36" i="12" s="1"/>
  <c r="AJ36" i="12"/>
  <c r="AL35" i="11"/>
  <c r="AM35" i="11" s="1"/>
  <c r="AG35" i="11"/>
  <c r="L34" i="18"/>
  <c r="AC38" i="4"/>
  <c r="X39" i="4"/>
  <c r="AI38" i="9"/>
  <c r="AA36" i="12"/>
  <c r="AF36" i="12"/>
  <c r="F33" i="18"/>
  <c r="Z37" i="12"/>
  <c r="C33" i="18"/>
  <c r="Z37" i="9"/>
  <c r="AA37" i="9" s="1"/>
  <c r="M35" i="18"/>
  <c r="X40" i="9"/>
  <c r="AC39" i="9"/>
  <c r="AG35" i="10"/>
  <c r="AL35" i="10"/>
  <c r="AM35" i="10" s="1"/>
  <c r="I43" i="4"/>
  <c r="M39" i="4"/>
  <c r="U38" i="4"/>
  <c r="Y38" i="4" s="1"/>
  <c r="AE38" i="4" s="1"/>
  <c r="AK38" i="4" s="1"/>
  <c r="J39" i="11"/>
  <c r="V38" i="11"/>
  <c r="AF37" i="4"/>
  <c r="P39" i="4"/>
  <c r="V38" i="4"/>
  <c r="J43" i="4"/>
  <c r="J39" i="9"/>
  <c r="V38" i="9"/>
  <c r="AG36" i="4"/>
  <c r="AL36" i="4"/>
  <c r="AM36" i="4" s="1"/>
  <c r="J39" i="10"/>
  <c r="V38" i="10"/>
  <c r="J39" i="12"/>
  <c r="V38" i="12"/>
  <c r="K69" i="4"/>
  <c r="O68" i="12"/>
  <c r="AO37" i="10" l="1"/>
  <c r="AP37" i="10" s="1"/>
  <c r="AJ37" i="10"/>
  <c r="W39" i="9"/>
  <c r="AB38" i="9"/>
  <c r="Z38" i="4"/>
  <c r="AA38" i="4" s="1"/>
  <c r="B34" i="18"/>
  <c r="AG36" i="12"/>
  <c r="AL36" i="12"/>
  <c r="AM36" i="12" s="1"/>
  <c r="AO38" i="9"/>
  <c r="F34" i="18"/>
  <c r="Z38" i="12"/>
  <c r="AJ37" i="12"/>
  <c r="AO37" i="12"/>
  <c r="AP37" i="12" s="1"/>
  <c r="AB40" i="12"/>
  <c r="AH40" i="12" s="1"/>
  <c r="AN40" i="12" s="1"/>
  <c r="W41" i="12"/>
  <c r="L35" i="18"/>
  <c r="X40" i="4"/>
  <c r="AC39" i="4"/>
  <c r="AF37" i="9"/>
  <c r="AG36" i="9"/>
  <c r="AL36" i="9"/>
  <c r="AM36" i="9" s="1"/>
  <c r="I41" i="12"/>
  <c r="AJ37" i="4"/>
  <c r="AO37" i="4"/>
  <c r="AP37" i="4" s="1"/>
  <c r="Y38" i="9"/>
  <c r="AE38" i="9" s="1"/>
  <c r="AK38" i="9" s="1"/>
  <c r="AI38" i="12"/>
  <c r="AD38" i="12"/>
  <c r="E34" i="18"/>
  <c r="Z38" i="11"/>
  <c r="AI38" i="4"/>
  <c r="AB38" i="4"/>
  <c r="AH38" i="4" s="1"/>
  <c r="AN38" i="4" s="1"/>
  <c r="W39" i="4"/>
  <c r="I39" i="10"/>
  <c r="U38" i="10"/>
  <c r="Y38" i="10" s="1"/>
  <c r="AE38" i="10" s="1"/>
  <c r="AK38" i="10" s="1"/>
  <c r="I40" i="9"/>
  <c r="U39" i="9"/>
  <c r="Y39" i="9" s="1"/>
  <c r="AH37" i="9"/>
  <c r="AD37" i="9"/>
  <c r="AF37" i="11"/>
  <c r="AG36" i="11"/>
  <c r="AL36" i="11"/>
  <c r="AM36" i="11" s="1"/>
  <c r="AI38" i="11"/>
  <c r="AD38" i="11"/>
  <c r="AB39" i="10"/>
  <c r="AH39" i="10" s="1"/>
  <c r="AN39" i="10" s="1"/>
  <c r="W40" i="10"/>
  <c r="AI39" i="9"/>
  <c r="AN36" i="9"/>
  <c r="AP36" i="9" s="1"/>
  <c r="AJ36" i="9"/>
  <c r="AC39" i="11"/>
  <c r="X40" i="11"/>
  <c r="O35" i="18"/>
  <c r="AA37" i="11"/>
  <c r="AG36" i="10"/>
  <c r="AL36" i="10"/>
  <c r="AM36" i="10" s="1"/>
  <c r="D34" i="18"/>
  <c r="Z38" i="10"/>
  <c r="C34" i="18"/>
  <c r="Z38" i="9"/>
  <c r="AE37" i="11"/>
  <c r="AK37" i="11" s="1"/>
  <c r="AK36" i="11"/>
  <c r="AF37" i="10"/>
  <c r="AA37" i="10"/>
  <c r="I39" i="11"/>
  <c r="U38" i="11"/>
  <c r="Y38" i="11" s="1"/>
  <c r="N35" i="18"/>
  <c r="AC39" i="10"/>
  <c r="X40" i="10"/>
  <c r="M36" i="18"/>
  <c r="X41" i="9"/>
  <c r="AC40" i="9"/>
  <c r="AF37" i="12"/>
  <c r="AA37" i="12"/>
  <c r="AC39" i="12"/>
  <c r="X40" i="12"/>
  <c r="P35" i="18"/>
  <c r="AJ37" i="11"/>
  <c r="AO37" i="11"/>
  <c r="AP37" i="11" s="1"/>
  <c r="AI38" i="10"/>
  <c r="AD38" i="10"/>
  <c r="M39" i="12"/>
  <c r="U38" i="12"/>
  <c r="Y38" i="12" s="1"/>
  <c r="AE38" i="12" s="1"/>
  <c r="AK38" i="12" s="1"/>
  <c r="AD37" i="11"/>
  <c r="AB38" i="11"/>
  <c r="AH38" i="11" s="1"/>
  <c r="AN38" i="11" s="1"/>
  <c r="W39" i="11"/>
  <c r="J44" i="4"/>
  <c r="J40" i="12"/>
  <c r="V39" i="12"/>
  <c r="J40" i="9"/>
  <c r="V39" i="9"/>
  <c r="P40" i="4"/>
  <c r="V39" i="4"/>
  <c r="AG37" i="4"/>
  <c r="AL37" i="4"/>
  <c r="AM37" i="4" s="1"/>
  <c r="J40" i="11"/>
  <c r="V39" i="11"/>
  <c r="J40" i="10"/>
  <c r="V39" i="10"/>
  <c r="M40" i="4"/>
  <c r="U39" i="4"/>
  <c r="Y39" i="4" s="1"/>
  <c r="AE39" i="4" s="1"/>
  <c r="AK39" i="4" s="1"/>
  <c r="I44" i="4"/>
  <c r="O69" i="12"/>
  <c r="K70" i="4"/>
  <c r="AF38" i="4" l="1"/>
  <c r="AF38" i="11"/>
  <c r="AE39" i="9"/>
  <c r="AK39" i="9" s="1"/>
  <c r="AF38" i="9"/>
  <c r="AA38" i="9"/>
  <c r="AN37" i="9"/>
  <c r="AP37" i="9" s="1"/>
  <c r="AJ37" i="9"/>
  <c r="I40" i="10"/>
  <c r="U39" i="10"/>
  <c r="Y39" i="10" s="1"/>
  <c r="AE39" i="10" s="1"/>
  <c r="AK39" i="10" s="1"/>
  <c r="AB41" i="12"/>
  <c r="AH41" i="12" s="1"/>
  <c r="AN41" i="12" s="1"/>
  <c r="W42" i="12"/>
  <c r="M40" i="12"/>
  <c r="U39" i="12"/>
  <c r="Y39" i="12" s="1"/>
  <c r="AE39" i="12" s="1"/>
  <c r="AK39" i="12" s="1"/>
  <c r="E35" i="18"/>
  <c r="Z39" i="11"/>
  <c r="M37" i="18"/>
  <c r="AC41" i="9"/>
  <c r="X42" i="9"/>
  <c r="AL37" i="9"/>
  <c r="AM37" i="9" s="1"/>
  <c r="AG37" i="9"/>
  <c r="O36" i="18"/>
  <c r="X41" i="11"/>
  <c r="AC40" i="11"/>
  <c r="AJ38" i="12"/>
  <c r="AO38" i="12"/>
  <c r="AP38" i="12" s="1"/>
  <c r="AO38" i="10"/>
  <c r="AP38" i="10" s="1"/>
  <c r="AJ38" i="10"/>
  <c r="AL38" i="11"/>
  <c r="C35" i="18"/>
  <c r="Z39" i="9"/>
  <c r="AF39" i="9" s="1"/>
  <c r="F35" i="18"/>
  <c r="Z39" i="12"/>
  <c r="N36" i="18"/>
  <c r="X41" i="10"/>
  <c r="AC40" i="10"/>
  <c r="AO39" i="9"/>
  <c r="Z39" i="4"/>
  <c r="AA39" i="4" s="1"/>
  <c r="B35" i="18"/>
  <c r="AD39" i="10"/>
  <c r="AI39" i="10"/>
  <c r="W41" i="10"/>
  <c r="AB40" i="10"/>
  <c r="AH40" i="10" s="1"/>
  <c r="AN40" i="10" s="1"/>
  <c r="AF38" i="10"/>
  <c r="AA38" i="10"/>
  <c r="AB39" i="4"/>
  <c r="AH39" i="4" s="1"/>
  <c r="AN39" i="4" s="1"/>
  <c r="W40" i="4"/>
  <c r="X41" i="12"/>
  <c r="P36" i="18"/>
  <c r="AC40" i="12"/>
  <c r="D35" i="18"/>
  <c r="Z39" i="10"/>
  <c r="AI40" i="9"/>
  <c r="AA38" i="11"/>
  <c r="AE38" i="11"/>
  <c r="AK38" i="11" s="1"/>
  <c r="AH38" i="9"/>
  <c r="AD38" i="9"/>
  <c r="L36" i="18"/>
  <c r="AC40" i="4"/>
  <c r="X41" i="4"/>
  <c r="AD39" i="12"/>
  <c r="AI39" i="12"/>
  <c r="AG37" i="12"/>
  <c r="AL37" i="12"/>
  <c r="AM37" i="12" s="1"/>
  <c r="I40" i="11"/>
  <c r="U39" i="11"/>
  <c r="Y39" i="11" s="1"/>
  <c r="AO38" i="11"/>
  <c r="AP38" i="11" s="1"/>
  <c r="AJ38" i="11"/>
  <c r="W40" i="9"/>
  <c r="AB39" i="9"/>
  <c r="AI39" i="4"/>
  <c r="AO38" i="4"/>
  <c r="AP38" i="4" s="1"/>
  <c r="AJ38" i="4"/>
  <c r="AF38" i="12"/>
  <c r="AA38" i="12"/>
  <c r="W40" i="11"/>
  <c r="AB39" i="11"/>
  <c r="AH39" i="11" s="1"/>
  <c r="AN39" i="11" s="1"/>
  <c r="I41" i="9"/>
  <c r="U40" i="9"/>
  <c r="Y40" i="9" s="1"/>
  <c r="AE40" i="9" s="1"/>
  <c r="AK40" i="9" s="1"/>
  <c r="AD38" i="4"/>
  <c r="AI39" i="11"/>
  <c r="AD39" i="11"/>
  <c r="AG37" i="10"/>
  <c r="AL37" i="10"/>
  <c r="AM37" i="10" s="1"/>
  <c r="I42" i="12"/>
  <c r="AL37" i="11"/>
  <c r="AM37" i="11" s="1"/>
  <c r="AG37" i="11"/>
  <c r="M41" i="4"/>
  <c r="U40" i="4"/>
  <c r="Y40" i="4" s="1"/>
  <c r="AE40" i="4" s="1"/>
  <c r="AK40" i="4" s="1"/>
  <c r="P41" i="4"/>
  <c r="V40" i="4"/>
  <c r="J41" i="10"/>
  <c r="V40" i="10"/>
  <c r="AG38" i="4"/>
  <c r="AL38" i="4"/>
  <c r="AM38" i="4" s="1"/>
  <c r="J41" i="9"/>
  <c r="V40" i="9"/>
  <c r="J41" i="12"/>
  <c r="V40" i="12"/>
  <c r="J45" i="4"/>
  <c r="I45" i="4"/>
  <c r="J41" i="11"/>
  <c r="V40" i="11"/>
  <c r="K71" i="4"/>
  <c r="O70" i="12"/>
  <c r="AD39" i="4" l="1"/>
  <c r="AB41" i="10"/>
  <c r="AH41" i="10" s="1"/>
  <c r="AN41" i="10" s="1"/>
  <c r="W42" i="10"/>
  <c r="AO39" i="11"/>
  <c r="AP39" i="11" s="1"/>
  <c r="AJ39" i="11"/>
  <c r="E36" i="18"/>
  <c r="Z40" i="11"/>
  <c r="O37" i="18"/>
  <c r="AC41" i="11"/>
  <c r="X42" i="11"/>
  <c r="AI41" i="9"/>
  <c r="N37" i="18"/>
  <c r="AC41" i="10"/>
  <c r="X42" i="10"/>
  <c r="AI40" i="4"/>
  <c r="AA39" i="10"/>
  <c r="AF39" i="10"/>
  <c r="AB42" i="12"/>
  <c r="AH42" i="12" s="1"/>
  <c r="AN42" i="12" s="1"/>
  <c r="W43" i="12"/>
  <c r="AD40" i="10"/>
  <c r="AI40" i="10"/>
  <c r="AF39" i="11"/>
  <c r="AA39" i="11"/>
  <c r="M41" i="12"/>
  <c r="U40" i="12"/>
  <c r="Y40" i="12" s="1"/>
  <c r="AJ39" i="4"/>
  <c r="AO39" i="4"/>
  <c r="AP39" i="4" s="1"/>
  <c r="AL39" i="9"/>
  <c r="AM39" i="9" s="1"/>
  <c r="AG39" i="9"/>
  <c r="F36" i="18"/>
  <c r="Z40" i="12"/>
  <c r="AH39" i="9"/>
  <c r="AD39" i="9"/>
  <c r="AM38" i="11"/>
  <c r="I41" i="10"/>
  <c r="U40" i="10"/>
  <c r="Y40" i="10" s="1"/>
  <c r="AE40" i="10" s="1"/>
  <c r="AK40" i="10" s="1"/>
  <c r="AJ39" i="12"/>
  <c r="AO39" i="12"/>
  <c r="AP39" i="12" s="1"/>
  <c r="AG38" i="11"/>
  <c r="AB40" i="9"/>
  <c r="W41" i="9"/>
  <c r="AB40" i="4"/>
  <c r="AH40" i="4" s="1"/>
  <c r="AN40" i="4" s="1"/>
  <c r="W41" i="4"/>
  <c r="C36" i="18"/>
  <c r="Z40" i="9"/>
  <c r="I42" i="9"/>
  <c r="U41" i="9"/>
  <c r="Y41" i="9" s="1"/>
  <c r="AE41" i="9" s="1"/>
  <c r="AK41" i="9" s="1"/>
  <c r="AI40" i="12"/>
  <c r="AD40" i="12"/>
  <c r="AE39" i="11"/>
  <c r="AK39" i="11" s="1"/>
  <c r="AL38" i="9"/>
  <c r="AM38" i="9" s="1"/>
  <c r="AG38" i="9"/>
  <c r="AN38" i="9"/>
  <c r="AP38" i="9" s="1"/>
  <c r="AJ38" i="9"/>
  <c r="D36" i="18"/>
  <c r="Z40" i="10"/>
  <c r="AL38" i="12"/>
  <c r="AM38" i="12" s="1"/>
  <c r="AG38" i="12"/>
  <c r="AA39" i="12"/>
  <c r="AF39" i="12"/>
  <c r="I41" i="11"/>
  <c r="U40" i="11"/>
  <c r="Y40" i="11" s="1"/>
  <c r="AE40" i="11" s="1"/>
  <c r="AK40" i="11" s="1"/>
  <c r="AL38" i="10"/>
  <c r="AM38" i="10" s="1"/>
  <c r="AG38" i="10"/>
  <c r="AJ39" i="10"/>
  <c r="AO39" i="10"/>
  <c r="AP39" i="10" s="1"/>
  <c r="L37" i="18"/>
  <c r="X42" i="4"/>
  <c r="AC41" i="4"/>
  <c r="AC42" i="9"/>
  <c r="M38" i="18"/>
  <c r="X43" i="9"/>
  <c r="W41" i="11"/>
  <c r="AB40" i="11"/>
  <c r="AH40" i="11" s="1"/>
  <c r="AN40" i="11" s="1"/>
  <c r="AO40" i="9"/>
  <c r="Z40" i="4"/>
  <c r="AA40" i="4" s="1"/>
  <c r="B36" i="18"/>
  <c r="P37" i="18"/>
  <c r="AC41" i="12"/>
  <c r="X42" i="12"/>
  <c r="AF39" i="4"/>
  <c r="AL39" i="4" s="1"/>
  <c r="AM39" i="4" s="1"/>
  <c r="I43" i="12"/>
  <c r="AI40" i="11"/>
  <c r="AA39" i="9"/>
  <c r="I46" i="4"/>
  <c r="J46" i="4"/>
  <c r="J42" i="12"/>
  <c r="V41" i="12"/>
  <c r="J42" i="9"/>
  <c r="V41" i="9"/>
  <c r="J42" i="10"/>
  <c r="V41" i="10"/>
  <c r="P42" i="4"/>
  <c r="V41" i="4"/>
  <c r="J42" i="11"/>
  <c r="V41" i="11"/>
  <c r="M42" i="4"/>
  <c r="U41" i="4"/>
  <c r="Y41" i="4" s="1"/>
  <c r="AE41" i="4" s="1"/>
  <c r="AK41" i="4" s="1"/>
  <c r="O71" i="12"/>
  <c r="K72" i="4"/>
  <c r="AF40" i="4" l="1"/>
  <c r="I44" i="12"/>
  <c r="AC42" i="12"/>
  <c r="P38" i="18"/>
  <c r="X43" i="12"/>
  <c r="AL39" i="10"/>
  <c r="AM39" i="10" s="1"/>
  <c r="AG39" i="10"/>
  <c r="AD41" i="12"/>
  <c r="AI41" i="12"/>
  <c r="C37" i="18"/>
  <c r="Z41" i="9"/>
  <c r="AD40" i="4"/>
  <c r="AH40" i="9"/>
  <c r="AD40" i="9"/>
  <c r="F37" i="18"/>
  <c r="Z41" i="12"/>
  <c r="I42" i="10"/>
  <c r="U41" i="10"/>
  <c r="Y41" i="10" s="1"/>
  <c r="AE41" i="10" s="1"/>
  <c r="AK41" i="10" s="1"/>
  <c r="W42" i="11"/>
  <c r="AB41" i="11"/>
  <c r="AH41" i="11" s="1"/>
  <c r="AN41" i="11" s="1"/>
  <c r="AI42" i="9"/>
  <c r="AI41" i="11"/>
  <c r="AI41" i="4"/>
  <c r="N38" i="18"/>
  <c r="X43" i="10"/>
  <c r="AC42" i="10"/>
  <c r="AG39" i="4"/>
  <c r="X44" i="9"/>
  <c r="M39" i="18"/>
  <c r="AC43" i="9"/>
  <c r="AO40" i="12"/>
  <c r="AP40" i="12" s="1"/>
  <c r="AJ40" i="12"/>
  <c r="AA40" i="11"/>
  <c r="AF40" i="11"/>
  <c r="AD41" i="10"/>
  <c r="AI41" i="10"/>
  <c r="AA40" i="12"/>
  <c r="AE40" i="12"/>
  <c r="AK40" i="12" s="1"/>
  <c r="I43" i="9"/>
  <c r="U42" i="9"/>
  <c r="Y42" i="9" s="1"/>
  <c r="AE42" i="9" s="1"/>
  <c r="AK42" i="9" s="1"/>
  <c r="M42" i="12"/>
  <c r="U41" i="12"/>
  <c r="Y41" i="12" s="1"/>
  <c r="I42" i="11"/>
  <c r="U41" i="11"/>
  <c r="Y41" i="11" s="1"/>
  <c r="D37" i="18"/>
  <c r="Z41" i="10"/>
  <c r="AA40" i="10"/>
  <c r="AF40" i="10"/>
  <c r="AN39" i="9"/>
  <c r="AP39" i="9" s="1"/>
  <c r="AJ39" i="9"/>
  <c r="AO41" i="9"/>
  <c r="E37" i="18"/>
  <c r="Z41" i="11"/>
  <c r="AA40" i="9"/>
  <c r="AF40" i="9"/>
  <c r="Z41" i="4"/>
  <c r="AA41" i="4" s="1"/>
  <c r="B37" i="18"/>
  <c r="W44" i="12"/>
  <c r="AB43" i="12"/>
  <c r="AH43" i="12" s="1"/>
  <c r="AN43" i="12" s="1"/>
  <c r="AG39" i="12"/>
  <c r="AL39" i="12"/>
  <c r="AM39" i="12" s="1"/>
  <c r="X43" i="4"/>
  <c r="AC42" i="4"/>
  <c r="L38" i="18"/>
  <c r="AD40" i="11"/>
  <c r="AG39" i="11"/>
  <c r="AL39" i="11"/>
  <c r="AM39" i="11" s="1"/>
  <c r="AB42" i="10"/>
  <c r="AH42" i="10" s="1"/>
  <c r="AN42" i="10" s="1"/>
  <c r="W43" i="10"/>
  <c r="AB41" i="9"/>
  <c r="W42" i="9"/>
  <c r="AJ40" i="4"/>
  <c r="AO40" i="4"/>
  <c r="AP40" i="4" s="1"/>
  <c r="AF40" i="12"/>
  <c r="O38" i="18"/>
  <c r="X43" i="11"/>
  <c r="AC42" i="11"/>
  <c r="AJ40" i="11"/>
  <c r="AO40" i="11"/>
  <c r="AP40" i="11" s="1"/>
  <c r="AB41" i="4"/>
  <c r="AH41" i="4" s="1"/>
  <c r="AN41" i="4" s="1"/>
  <c r="W42" i="4"/>
  <c r="AJ40" i="10"/>
  <c r="AO40" i="10"/>
  <c r="AP40" i="10" s="1"/>
  <c r="J43" i="12"/>
  <c r="V42" i="12"/>
  <c r="M43" i="4"/>
  <c r="U42" i="4"/>
  <c r="Y42" i="4" s="1"/>
  <c r="AE42" i="4" s="1"/>
  <c r="AK42" i="4" s="1"/>
  <c r="J43" i="10"/>
  <c r="V42" i="10"/>
  <c r="J43" i="9"/>
  <c r="V42" i="9"/>
  <c r="J43" i="11"/>
  <c r="V42" i="11"/>
  <c r="P43" i="4"/>
  <c r="V42" i="4"/>
  <c r="AL40" i="4"/>
  <c r="AM40" i="4" s="1"/>
  <c r="AG40" i="4"/>
  <c r="J47" i="4"/>
  <c r="I47" i="4"/>
  <c r="O72" i="12"/>
  <c r="K73" i="4"/>
  <c r="AF41" i="11" l="1"/>
  <c r="AO42" i="9"/>
  <c r="Z42" i="4"/>
  <c r="B38" i="18"/>
  <c r="W43" i="11"/>
  <c r="AB42" i="11"/>
  <c r="AH42" i="11" s="1"/>
  <c r="AN42" i="11" s="1"/>
  <c r="AL40" i="9"/>
  <c r="AM40" i="9" s="1"/>
  <c r="AG40" i="9"/>
  <c r="AF41" i="4"/>
  <c r="AG41" i="4" s="1"/>
  <c r="AC43" i="11"/>
  <c r="X44" i="11"/>
  <c r="O39" i="18"/>
  <c r="AL40" i="11"/>
  <c r="AM40" i="11" s="1"/>
  <c r="AG40" i="11"/>
  <c r="I43" i="10"/>
  <c r="U42" i="10"/>
  <c r="Y42" i="10" s="1"/>
  <c r="AE42" i="10" s="1"/>
  <c r="AK42" i="10" s="1"/>
  <c r="E38" i="18"/>
  <c r="Z42" i="11"/>
  <c r="D38" i="18"/>
  <c r="Z42" i="10"/>
  <c r="AC44" i="9"/>
  <c r="X45" i="9"/>
  <c r="M40" i="18"/>
  <c r="AA41" i="9"/>
  <c r="AF41" i="9"/>
  <c r="W44" i="10"/>
  <c r="AB43" i="10"/>
  <c r="AH43" i="10" s="1"/>
  <c r="AN43" i="10" s="1"/>
  <c r="AG40" i="10"/>
  <c r="AL40" i="10"/>
  <c r="AM40" i="10" s="1"/>
  <c r="AB44" i="12"/>
  <c r="AH44" i="12" s="1"/>
  <c r="AN44" i="12" s="1"/>
  <c r="W45" i="12"/>
  <c r="AA41" i="10"/>
  <c r="AF41" i="10"/>
  <c r="X44" i="10"/>
  <c r="AC43" i="10"/>
  <c r="N39" i="18"/>
  <c r="AO41" i="10"/>
  <c r="AP41" i="10" s="1"/>
  <c r="AJ41" i="10"/>
  <c r="AD42" i="10"/>
  <c r="AI42" i="10"/>
  <c r="AA41" i="11"/>
  <c r="AE41" i="11"/>
  <c r="AK41" i="11" s="1"/>
  <c r="AM41" i="11" s="1"/>
  <c r="AD41" i="4"/>
  <c r="W43" i="4"/>
  <c r="AB42" i="4"/>
  <c r="AH42" i="4" s="1"/>
  <c r="AN42" i="4" s="1"/>
  <c r="AN40" i="9"/>
  <c r="AP40" i="9" s="1"/>
  <c r="AJ40" i="9"/>
  <c r="F38" i="18"/>
  <c r="Z42" i="12"/>
  <c r="I43" i="11"/>
  <c r="U42" i="11"/>
  <c r="Y42" i="11" s="1"/>
  <c r="AO41" i="4"/>
  <c r="AP41" i="4" s="1"/>
  <c r="AJ41" i="4"/>
  <c r="AC43" i="12"/>
  <c r="X44" i="12"/>
  <c r="P39" i="18"/>
  <c r="AI42" i="4"/>
  <c r="AE41" i="12"/>
  <c r="AK41" i="12" s="1"/>
  <c r="AD41" i="11"/>
  <c r="AI42" i="11"/>
  <c r="AD42" i="11"/>
  <c r="AH41" i="9"/>
  <c r="AD41" i="9"/>
  <c r="AC43" i="4"/>
  <c r="X44" i="4"/>
  <c r="L39" i="18"/>
  <c r="M43" i="12"/>
  <c r="U42" i="12"/>
  <c r="Y42" i="12" s="1"/>
  <c r="AO41" i="11"/>
  <c r="AP41" i="11" s="1"/>
  <c r="AJ41" i="11"/>
  <c r="AD42" i="12"/>
  <c r="AI42" i="12"/>
  <c r="AL41" i="11"/>
  <c r="C38" i="18"/>
  <c r="Z42" i="9"/>
  <c r="AI43" i="9"/>
  <c r="AA41" i="12"/>
  <c r="AF41" i="12"/>
  <c r="AL40" i="12"/>
  <c r="AM40" i="12" s="1"/>
  <c r="AG40" i="12"/>
  <c r="W43" i="9"/>
  <c r="AB42" i="9"/>
  <c r="AO41" i="12"/>
  <c r="AP41" i="12" s="1"/>
  <c r="AJ41" i="12"/>
  <c r="I44" i="9"/>
  <c r="U43" i="9"/>
  <c r="Y43" i="9" s="1"/>
  <c r="AE43" i="9" s="1"/>
  <c r="AK43" i="9" s="1"/>
  <c r="I45" i="12"/>
  <c r="AL41" i="4"/>
  <c r="AM41" i="4" s="1"/>
  <c r="I48" i="4"/>
  <c r="P44" i="4"/>
  <c r="V43" i="4"/>
  <c r="J44" i="11"/>
  <c r="V43" i="11"/>
  <c r="M44" i="4"/>
  <c r="U43" i="4"/>
  <c r="Y43" i="4" s="1"/>
  <c r="AE43" i="4" s="1"/>
  <c r="AK43" i="4" s="1"/>
  <c r="AA42" i="4"/>
  <c r="AF42" i="4"/>
  <c r="J44" i="10"/>
  <c r="V43" i="10"/>
  <c r="J48" i="4"/>
  <c r="J44" i="9"/>
  <c r="V43" i="9"/>
  <c r="J44" i="12"/>
  <c r="V43" i="12"/>
  <c r="K74" i="4"/>
  <c r="O73" i="12"/>
  <c r="AD42" i="4" l="1"/>
  <c r="AI44" i="9"/>
  <c r="AN41" i="9"/>
  <c r="AP41" i="9" s="1"/>
  <c r="AJ41" i="9"/>
  <c r="AJ42" i="11"/>
  <c r="AO42" i="11"/>
  <c r="AP42" i="11" s="1"/>
  <c r="AA42" i="11"/>
  <c r="AF42" i="11"/>
  <c r="AH42" i="9"/>
  <c r="AD42" i="9"/>
  <c r="AB43" i="9"/>
  <c r="W44" i="9"/>
  <c r="AA42" i="10"/>
  <c r="AF42" i="10"/>
  <c r="AO42" i="10"/>
  <c r="AP42" i="10" s="1"/>
  <c r="AJ42" i="10"/>
  <c r="AL41" i="12"/>
  <c r="AM41" i="12" s="1"/>
  <c r="AG41" i="12"/>
  <c r="Z43" i="4"/>
  <c r="AA43" i="4" s="1"/>
  <c r="B39" i="18"/>
  <c r="N40" i="18"/>
  <c r="X45" i="10"/>
  <c r="AC44" i="10"/>
  <c r="O40" i="18"/>
  <c r="AC44" i="11"/>
  <c r="X45" i="11"/>
  <c r="AI43" i="11"/>
  <c r="AA42" i="9"/>
  <c r="AF42" i="9"/>
  <c r="AG41" i="10"/>
  <c r="AL41" i="10"/>
  <c r="AM41" i="10" s="1"/>
  <c r="AA42" i="12"/>
  <c r="AF42" i="12"/>
  <c r="D39" i="18"/>
  <c r="Z43" i="10"/>
  <c r="AI43" i="10"/>
  <c r="AD43" i="10"/>
  <c r="F39" i="18"/>
  <c r="Z43" i="12"/>
  <c r="AB43" i="11"/>
  <c r="AH43" i="11" s="1"/>
  <c r="AN43" i="11" s="1"/>
  <c r="W44" i="11"/>
  <c r="AO42" i="12"/>
  <c r="AP42" i="12" s="1"/>
  <c r="AJ42" i="12"/>
  <c r="I46" i="12"/>
  <c r="AE42" i="12"/>
  <c r="AK42" i="12" s="1"/>
  <c r="W45" i="10"/>
  <c r="AB44" i="10"/>
  <c r="AH44" i="10" s="1"/>
  <c r="AN44" i="10" s="1"/>
  <c r="E39" i="18"/>
  <c r="Z43" i="11"/>
  <c r="I44" i="10"/>
  <c r="U43" i="10"/>
  <c r="Y43" i="10" s="1"/>
  <c r="AE43" i="10" s="1"/>
  <c r="AK43" i="10" s="1"/>
  <c r="AG41" i="11"/>
  <c r="AE42" i="11"/>
  <c r="AK42" i="11" s="1"/>
  <c r="C39" i="18"/>
  <c r="Z43" i="9"/>
  <c r="M44" i="12"/>
  <c r="U43" i="12"/>
  <c r="Y43" i="12" s="1"/>
  <c r="AE43" i="12" s="1"/>
  <c r="AK43" i="12" s="1"/>
  <c r="AL41" i="9"/>
  <c r="AM41" i="9" s="1"/>
  <c r="AG41" i="9"/>
  <c r="AI43" i="4"/>
  <c r="AO42" i="4"/>
  <c r="AP42" i="4" s="1"/>
  <c r="AJ42" i="4"/>
  <c r="AO43" i="9"/>
  <c r="P40" i="18"/>
  <c r="AC44" i="12"/>
  <c r="X45" i="12"/>
  <c r="AI43" i="12"/>
  <c r="AD43" i="12"/>
  <c r="AB45" i="12"/>
  <c r="AH45" i="12" s="1"/>
  <c r="AN45" i="12" s="1"/>
  <c r="W46" i="12"/>
  <c r="I44" i="11"/>
  <c r="U43" i="11"/>
  <c r="Y43" i="11" s="1"/>
  <c r="I45" i="9"/>
  <c r="U44" i="9"/>
  <c r="Y44" i="9" s="1"/>
  <c r="AE44" i="9" s="1"/>
  <c r="AK44" i="9" s="1"/>
  <c r="X46" i="9"/>
  <c r="M41" i="18"/>
  <c r="AC45" i="9"/>
  <c r="AC44" i="4"/>
  <c r="X45" i="4"/>
  <c r="L40" i="18"/>
  <c r="W44" i="4"/>
  <c r="AB43" i="4"/>
  <c r="AH43" i="4" s="1"/>
  <c r="AN43" i="4" s="1"/>
  <c r="M45" i="4"/>
  <c r="U44" i="4"/>
  <c r="Y44" i="4" s="1"/>
  <c r="AE44" i="4" s="1"/>
  <c r="AK44" i="4" s="1"/>
  <c r="I49" i="4"/>
  <c r="J45" i="9"/>
  <c r="V44" i="9"/>
  <c r="J45" i="10"/>
  <c r="V44" i="10"/>
  <c r="AG42" i="4"/>
  <c r="AL42" i="4"/>
  <c r="AM42" i="4" s="1"/>
  <c r="P45" i="4"/>
  <c r="V44" i="4"/>
  <c r="J45" i="12"/>
  <c r="V44" i="12"/>
  <c r="J49" i="4"/>
  <c r="J45" i="11"/>
  <c r="V44" i="11"/>
  <c r="K75" i="4"/>
  <c r="O74" i="12"/>
  <c r="AE43" i="11" l="1"/>
  <c r="AK43" i="11" s="1"/>
  <c r="Z44" i="4"/>
  <c r="B40" i="18"/>
  <c r="AO43" i="4"/>
  <c r="AP43" i="4" s="1"/>
  <c r="AJ43" i="4"/>
  <c r="AH43" i="9"/>
  <c r="AD43" i="9"/>
  <c r="AF43" i="4"/>
  <c r="I45" i="11"/>
  <c r="U44" i="11"/>
  <c r="Y44" i="11" s="1"/>
  <c r="I45" i="10"/>
  <c r="U44" i="10"/>
  <c r="Y44" i="10" s="1"/>
  <c r="AE44" i="10" s="1"/>
  <c r="AK44" i="10" s="1"/>
  <c r="AL42" i="9"/>
  <c r="AM42" i="9" s="1"/>
  <c r="AG42" i="9"/>
  <c r="AL42" i="11"/>
  <c r="AM42" i="11" s="1"/>
  <c r="AG42" i="11"/>
  <c r="D40" i="18"/>
  <c r="Z44" i="10"/>
  <c r="AA43" i="11"/>
  <c r="AF43" i="11"/>
  <c r="AA43" i="12"/>
  <c r="AF43" i="12"/>
  <c r="AI44" i="4"/>
  <c r="I46" i="9"/>
  <c r="U45" i="9"/>
  <c r="Y45" i="9" s="1"/>
  <c r="AE45" i="9" s="1"/>
  <c r="AK45" i="9" s="1"/>
  <c r="W47" i="12"/>
  <c r="AB46" i="12"/>
  <c r="AH46" i="12" s="1"/>
  <c r="AN46" i="12" s="1"/>
  <c r="AJ43" i="12"/>
  <c r="AO43" i="12"/>
  <c r="AP43" i="12" s="1"/>
  <c r="AJ43" i="11"/>
  <c r="AO43" i="11"/>
  <c r="AP43" i="11" s="1"/>
  <c r="AB44" i="11"/>
  <c r="AH44" i="11" s="1"/>
  <c r="AN44" i="11" s="1"/>
  <c r="W45" i="11"/>
  <c r="AD43" i="11"/>
  <c r="F40" i="18"/>
  <c r="Z44" i="12"/>
  <c r="AB44" i="4"/>
  <c r="AH44" i="4" s="1"/>
  <c r="AN44" i="4" s="1"/>
  <c r="W45" i="4"/>
  <c r="AC45" i="4"/>
  <c r="L41" i="18"/>
  <c r="X46" i="4"/>
  <c r="AD44" i="12"/>
  <c r="AI44" i="12"/>
  <c r="W46" i="10"/>
  <c r="AB45" i="10"/>
  <c r="AH45" i="10" s="1"/>
  <c r="AN45" i="10" s="1"/>
  <c r="O41" i="18"/>
  <c r="AC45" i="11"/>
  <c r="X46" i="11"/>
  <c r="AD43" i="4"/>
  <c r="C40" i="18"/>
  <c r="Z44" i="9"/>
  <c r="AG42" i="10"/>
  <c r="AL42" i="10"/>
  <c r="AM42" i="10" s="1"/>
  <c r="AA43" i="9"/>
  <c r="AF43" i="9"/>
  <c r="AI44" i="11"/>
  <c r="M45" i="12"/>
  <c r="U44" i="12"/>
  <c r="Y44" i="12" s="1"/>
  <c r="AE44" i="12" s="1"/>
  <c r="AK44" i="12" s="1"/>
  <c r="AA43" i="10"/>
  <c r="AF43" i="10"/>
  <c r="AG42" i="12"/>
  <c r="AL42" i="12"/>
  <c r="AM42" i="12" s="1"/>
  <c r="W45" i="9"/>
  <c r="AB44" i="9"/>
  <c r="P41" i="18"/>
  <c r="AC45" i="12"/>
  <c r="X46" i="12"/>
  <c r="E40" i="18"/>
  <c r="Z44" i="11"/>
  <c r="N41" i="18"/>
  <c r="AC45" i="10"/>
  <c r="X46" i="10"/>
  <c r="AI45" i="9"/>
  <c r="AO43" i="10"/>
  <c r="AP43" i="10" s="1"/>
  <c r="AJ43" i="10"/>
  <c r="M42" i="18"/>
  <c r="X47" i="9"/>
  <c r="AC46" i="9"/>
  <c r="AN42" i="9"/>
  <c r="AP42" i="9" s="1"/>
  <c r="AJ42" i="9"/>
  <c r="I47" i="12"/>
  <c r="AI44" i="10"/>
  <c r="AD44" i="10"/>
  <c r="AO44" i="9"/>
  <c r="J50" i="4"/>
  <c r="AA44" i="4"/>
  <c r="AF44" i="4"/>
  <c r="P46" i="4"/>
  <c r="V45" i="4"/>
  <c r="J46" i="10"/>
  <c r="V45" i="10"/>
  <c r="I50" i="4"/>
  <c r="AL43" i="4"/>
  <c r="AM43" i="4" s="1"/>
  <c r="AG43" i="4"/>
  <c r="J46" i="12"/>
  <c r="V45" i="12"/>
  <c r="J46" i="9"/>
  <c r="V45" i="9"/>
  <c r="J46" i="11"/>
  <c r="V45" i="11"/>
  <c r="M46" i="4"/>
  <c r="U45" i="4"/>
  <c r="Y45" i="4" s="1"/>
  <c r="AE45" i="4" s="1"/>
  <c r="AK45" i="4" s="1"/>
  <c r="K76" i="4"/>
  <c r="O75" i="12"/>
  <c r="AD44" i="11" l="1"/>
  <c r="AD44" i="4"/>
  <c r="AG43" i="10"/>
  <c r="AL43" i="10"/>
  <c r="AM43" i="10" s="1"/>
  <c r="AI45" i="4"/>
  <c r="AB45" i="4"/>
  <c r="AH45" i="4" s="1"/>
  <c r="AN45" i="4" s="1"/>
  <c r="W46" i="4"/>
  <c r="AA44" i="10"/>
  <c r="AF44" i="10"/>
  <c r="AI46" i="9"/>
  <c r="AL43" i="9"/>
  <c r="AM43" i="9" s="1"/>
  <c r="AG43" i="9"/>
  <c r="AO45" i="9"/>
  <c r="I46" i="10"/>
  <c r="U45" i="10"/>
  <c r="Y45" i="10" s="1"/>
  <c r="AE45" i="10" s="1"/>
  <c r="AK45" i="10" s="1"/>
  <c r="AH44" i="9"/>
  <c r="AD44" i="9"/>
  <c r="N42" i="18"/>
  <c r="AC46" i="10"/>
  <c r="X47" i="10"/>
  <c r="AA44" i="9"/>
  <c r="AF44" i="9"/>
  <c r="I46" i="11"/>
  <c r="U45" i="11"/>
  <c r="Y45" i="11" s="1"/>
  <c r="M46" i="12"/>
  <c r="U45" i="12"/>
  <c r="Y45" i="12" s="1"/>
  <c r="AE45" i="12" s="1"/>
  <c r="AK45" i="12" s="1"/>
  <c r="X48" i="9"/>
  <c r="AC47" i="9"/>
  <c r="M43" i="18"/>
  <c r="AB45" i="11"/>
  <c r="AH45" i="11" s="1"/>
  <c r="AN45" i="11" s="1"/>
  <c r="W46" i="11"/>
  <c r="AI45" i="10"/>
  <c r="AD45" i="10"/>
  <c r="AJ44" i="12"/>
  <c r="AO44" i="12"/>
  <c r="AP44" i="12" s="1"/>
  <c r="AJ44" i="10"/>
  <c r="AO44" i="10"/>
  <c r="AP44" i="10" s="1"/>
  <c r="L42" i="18"/>
  <c r="X47" i="4"/>
  <c r="AC46" i="4"/>
  <c r="AL43" i="11"/>
  <c r="AM43" i="11" s="1"/>
  <c r="AG43" i="11"/>
  <c r="F41" i="18"/>
  <c r="Z45" i="12"/>
  <c r="O42" i="18"/>
  <c r="AC46" i="11"/>
  <c r="X47" i="11"/>
  <c r="AN43" i="9"/>
  <c r="AP43" i="9" s="1"/>
  <c r="AJ43" i="9"/>
  <c r="W46" i="9"/>
  <c r="AB45" i="9"/>
  <c r="AL43" i="12"/>
  <c r="AM43" i="12" s="1"/>
  <c r="AG43" i="12"/>
  <c r="I48" i="12"/>
  <c r="AI45" i="11"/>
  <c r="AB47" i="12"/>
  <c r="AH47" i="12" s="1"/>
  <c r="AN47" i="12" s="1"/>
  <c r="W48" i="12"/>
  <c r="Z45" i="4"/>
  <c r="AF45" i="4" s="1"/>
  <c r="B41" i="18"/>
  <c r="P42" i="18"/>
  <c r="AC46" i="12"/>
  <c r="X47" i="12"/>
  <c r="E41" i="18"/>
  <c r="Z45" i="11"/>
  <c r="AA44" i="12"/>
  <c r="AF44" i="12"/>
  <c r="AJ44" i="11"/>
  <c r="AO44" i="11"/>
  <c r="AP44" i="11" s="1"/>
  <c r="AA44" i="11"/>
  <c r="AE44" i="11"/>
  <c r="AK44" i="11" s="1"/>
  <c r="AF44" i="11"/>
  <c r="AD45" i="12"/>
  <c r="AI45" i="12"/>
  <c r="I47" i="9"/>
  <c r="U46" i="9"/>
  <c r="Y46" i="9" s="1"/>
  <c r="AE46" i="9" s="1"/>
  <c r="AK46" i="9" s="1"/>
  <c r="C41" i="18"/>
  <c r="Z45" i="9"/>
  <c r="D41" i="18"/>
  <c r="Z45" i="10"/>
  <c r="W47" i="10"/>
  <c r="AB46" i="10"/>
  <c r="AH46" i="10" s="1"/>
  <c r="AN46" i="10" s="1"/>
  <c r="AJ44" i="4"/>
  <c r="AO44" i="4"/>
  <c r="AP44" i="4" s="1"/>
  <c r="I51" i="4"/>
  <c r="J47" i="9"/>
  <c r="V46" i="9"/>
  <c r="J47" i="10"/>
  <c r="V46" i="10"/>
  <c r="J47" i="11"/>
  <c r="V46" i="11"/>
  <c r="J51" i="4"/>
  <c r="M47" i="4"/>
  <c r="U46" i="4"/>
  <c r="Y46" i="4" s="1"/>
  <c r="AE46" i="4" s="1"/>
  <c r="AK46" i="4" s="1"/>
  <c r="J47" i="12"/>
  <c r="V46" i="12"/>
  <c r="P47" i="4"/>
  <c r="V46" i="4"/>
  <c r="AL44" i="4"/>
  <c r="AM44" i="4" s="1"/>
  <c r="AG44" i="4"/>
  <c r="O76" i="12"/>
  <c r="K77" i="4"/>
  <c r="AD45" i="11" l="1"/>
  <c r="AA45" i="4"/>
  <c r="N43" i="18"/>
  <c r="X48" i="10"/>
  <c r="AC47" i="10"/>
  <c r="AA45" i="10"/>
  <c r="AF45" i="10"/>
  <c r="AN44" i="9"/>
  <c r="AP44" i="9" s="1"/>
  <c r="AJ44" i="9"/>
  <c r="AD46" i="12"/>
  <c r="AI46" i="12"/>
  <c r="F42" i="18"/>
  <c r="Z46" i="12"/>
  <c r="AB46" i="11"/>
  <c r="AH46" i="11" s="1"/>
  <c r="AN46" i="11" s="1"/>
  <c r="W47" i="11"/>
  <c r="AO46" i="9"/>
  <c r="AH45" i="9"/>
  <c r="AD45" i="9"/>
  <c r="AG44" i="10"/>
  <c r="AL44" i="10"/>
  <c r="AM44" i="10" s="1"/>
  <c r="L43" i="18"/>
  <c r="AC47" i="4"/>
  <c r="X48" i="4"/>
  <c r="I49" i="12"/>
  <c r="D42" i="18"/>
  <c r="Z46" i="10"/>
  <c r="AI47" i="9"/>
  <c r="AG44" i="11"/>
  <c r="AL44" i="11"/>
  <c r="AM44" i="11" s="1"/>
  <c r="W47" i="9"/>
  <c r="AB46" i="9"/>
  <c r="M44" i="18"/>
  <c r="AC48" i="9"/>
  <c r="X49" i="9"/>
  <c r="W47" i="4"/>
  <c r="AB46" i="4"/>
  <c r="AH46" i="4" s="1"/>
  <c r="AN46" i="4" s="1"/>
  <c r="AI46" i="10"/>
  <c r="AD46" i="10"/>
  <c r="W49" i="12"/>
  <c r="AB48" i="12"/>
  <c r="AH48" i="12" s="1"/>
  <c r="AN48" i="12" s="1"/>
  <c r="AA45" i="9"/>
  <c r="AF45" i="9"/>
  <c r="AJ45" i="11"/>
  <c r="AO45" i="11"/>
  <c r="AP45" i="11" s="1"/>
  <c r="AG44" i="12"/>
  <c r="AL44" i="12"/>
  <c r="AM44" i="12" s="1"/>
  <c r="O43" i="18"/>
  <c r="AC47" i="11"/>
  <c r="X48" i="11"/>
  <c r="M47" i="12"/>
  <c r="U46" i="12"/>
  <c r="Y46" i="12" s="1"/>
  <c r="AE46" i="12" s="1"/>
  <c r="AK46" i="12" s="1"/>
  <c r="AJ45" i="4"/>
  <c r="AO45" i="4"/>
  <c r="AP45" i="4" s="1"/>
  <c r="P43" i="18"/>
  <c r="AC47" i="12"/>
  <c r="X48" i="12"/>
  <c r="W48" i="10"/>
  <c r="AB47" i="10"/>
  <c r="AH47" i="10" s="1"/>
  <c r="AN47" i="10" s="1"/>
  <c r="AI46" i="4"/>
  <c r="AD46" i="4"/>
  <c r="Z46" i="4"/>
  <c r="AF46" i="4" s="1"/>
  <c r="B42" i="18"/>
  <c r="AJ45" i="10"/>
  <c r="AO45" i="10"/>
  <c r="AP45" i="10" s="1"/>
  <c r="AI46" i="11"/>
  <c r="AE45" i="11"/>
  <c r="AK45" i="11" s="1"/>
  <c r="AD45" i="4"/>
  <c r="AA45" i="11"/>
  <c r="AF45" i="11"/>
  <c r="I47" i="11"/>
  <c r="U46" i="11"/>
  <c r="Y46" i="11" s="1"/>
  <c r="I47" i="10"/>
  <c r="U46" i="10"/>
  <c r="Y46" i="10" s="1"/>
  <c r="AE46" i="10" s="1"/>
  <c r="AK46" i="10" s="1"/>
  <c r="I48" i="9"/>
  <c r="U47" i="9"/>
  <c r="Y47" i="9" s="1"/>
  <c r="AE47" i="9" s="1"/>
  <c r="AK47" i="9" s="1"/>
  <c r="AO45" i="12"/>
  <c r="AP45" i="12" s="1"/>
  <c r="AJ45" i="12"/>
  <c r="E42" i="18"/>
  <c r="Z46" i="11"/>
  <c r="C42" i="18"/>
  <c r="Z46" i="9"/>
  <c r="AA45" i="12"/>
  <c r="AF45" i="12"/>
  <c r="AL44" i="9"/>
  <c r="AM44" i="9" s="1"/>
  <c r="AG44" i="9"/>
  <c r="M48" i="4"/>
  <c r="U47" i="4"/>
  <c r="Y47" i="4" s="1"/>
  <c r="AE47" i="4" s="1"/>
  <c r="AK47" i="4" s="1"/>
  <c r="AG45" i="4"/>
  <c r="AL45" i="4"/>
  <c r="AM45" i="4" s="1"/>
  <c r="J48" i="12"/>
  <c r="V47" i="12"/>
  <c r="P48" i="4"/>
  <c r="V47" i="4"/>
  <c r="J52" i="4"/>
  <c r="J48" i="11"/>
  <c r="V47" i="11"/>
  <c r="J48" i="10"/>
  <c r="V47" i="10"/>
  <c r="J48" i="9"/>
  <c r="V47" i="9"/>
  <c r="I52" i="4"/>
  <c r="K78" i="4"/>
  <c r="O77" i="12"/>
  <c r="AE46" i="11" l="1"/>
  <c r="AK46" i="11" s="1"/>
  <c r="AA46" i="11"/>
  <c r="AF46" i="11"/>
  <c r="AO46" i="4"/>
  <c r="AP46" i="4" s="1"/>
  <c r="AJ46" i="4"/>
  <c r="AO46" i="10"/>
  <c r="AP46" i="10" s="1"/>
  <c r="AJ46" i="10"/>
  <c r="AN45" i="9"/>
  <c r="AP45" i="9" s="1"/>
  <c r="AJ45" i="9"/>
  <c r="I48" i="10"/>
  <c r="U47" i="10"/>
  <c r="Y47" i="10" s="1"/>
  <c r="AE47" i="10" s="1"/>
  <c r="AK47" i="10" s="1"/>
  <c r="F43" i="18"/>
  <c r="Z47" i="12"/>
  <c r="W48" i="4"/>
  <c r="AB47" i="4"/>
  <c r="AH47" i="4" s="1"/>
  <c r="AN47" i="4" s="1"/>
  <c r="I48" i="11"/>
  <c r="U47" i="11"/>
  <c r="Y47" i="11" s="1"/>
  <c r="AE47" i="11" s="1"/>
  <c r="AK47" i="11" s="1"/>
  <c r="O44" i="18"/>
  <c r="AC48" i="11"/>
  <c r="X49" i="11"/>
  <c r="AL45" i="12"/>
  <c r="AM45" i="12" s="1"/>
  <c r="AG45" i="12"/>
  <c r="AA46" i="9"/>
  <c r="AF46" i="9"/>
  <c r="M48" i="12"/>
  <c r="U47" i="12"/>
  <c r="Y47" i="12" s="1"/>
  <c r="AE47" i="12" s="1"/>
  <c r="AK47" i="12" s="1"/>
  <c r="AL45" i="11"/>
  <c r="AM45" i="11" s="1"/>
  <c r="AG45" i="11"/>
  <c r="AI47" i="11"/>
  <c r="AO47" i="9"/>
  <c r="AB49" i="12"/>
  <c r="AH49" i="12" s="1"/>
  <c r="AN49" i="12" s="1"/>
  <c r="W50" i="12"/>
  <c r="Z47" i="4"/>
  <c r="AF47" i="4" s="1"/>
  <c r="B43" i="18"/>
  <c r="AA46" i="10"/>
  <c r="AF46" i="10"/>
  <c r="AI48" i="9"/>
  <c r="I49" i="9"/>
  <c r="U48" i="9"/>
  <c r="Y48" i="9" s="1"/>
  <c r="AE48" i="9" s="1"/>
  <c r="AK48" i="9" s="1"/>
  <c r="AH46" i="9"/>
  <c r="AD46" i="9"/>
  <c r="AO46" i="12"/>
  <c r="AP46" i="12" s="1"/>
  <c r="AJ46" i="12"/>
  <c r="AL45" i="10"/>
  <c r="AM45" i="10" s="1"/>
  <c r="AG45" i="10"/>
  <c r="AA46" i="4"/>
  <c r="AD47" i="12"/>
  <c r="AI47" i="12"/>
  <c r="AB47" i="9"/>
  <c r="W48" i="9"/>
  <c r="E43" i="18"/>
  <c r="Z47" i="11"/>
  <c r="AC48" i="12"/>
  <c r="X49" i="12"/>
  <c r="P44" i="18"/>
  <c r="C43" i="18"/>
  <c r="Z47" i="9"/>
  <c r="AO46" i="11"/>
  <c r="AP46" i="11" s="1"/>
  <c r="AJ46" i="11"/>
  <c r="I50" i="12"/>
  <c r="AD47" i="10"/>
  <c r="AI47" i="10"/>
  <c r="M45" i="18"/>
  <c r="AC49" i="9"/>
  <c r="X50" i="9"/>
  <c r="AA46" i="12"/>
  <c r="AF46" i="12"/>
  <c r="AD46" i="11"/>
  <c r="L44" i="18"/>
  <c r="AC48" i="4"/>
  <c r="X49" i="4"/>
  <c r="N44" i="18"/>
  <c r="X49" i="10"/>
  <c r="AC48" i="10"/>
  <c r="W49" i="10"/>
  <c r="AB48" i="10"/>
  <c r="AH48" i="10" s="1"/>
  <c r="AN48" i="10" s="1"/>
  <c r="W48" i="11"/>
  <c r="AB47" i="11"/>
  <c r="AH47" i="11" s="1"/>
  <c r="AN47" i="11" s="1"/>
  <c r="D43" i="18"/>
  <c r="Z47" i="10"/>
  <c r="AL45" i="9"/>
  <c r="AM45" i="9" s="1"/>
  <c r="AG45" i="9"/>
  <c r="AI47" i="4"/>
  <c r="J49" i="9"/>
  <c r="V48" i="9"/>
  <c r="J49" i="10"/>
  <c r="V48" i="10"/>
  <c r="J53" i="4"/>
  <c r="P49" i="4"/>
  <c r="V48" i="4"/>
  <c r="J49" i="12"/>
  <c r="V48" i="12"/>
  <c r="AL46" i="4"/>
  <c r="AM46" i="4" s="1"/>
  <c r="AG46" i="4"/>
  <c r="I53" i="4"/>
  <c r="J49" i="11"/>
  <c r="V48" i="11"/>
  <c r="M49" i="4"/>
  <c r="U48" i="4"/>
  <c r="Y48" i="4" s="1"/>
  <c r="AE48" i="4" s="1"/>
  <c r="AK48" i="4" s="1"/>
  <c r="O78" i="12"/>
  <c r="K79" i="4"/>
  <c r="AA47" i="10" l="1"/>
  <c r="AF47" i="10"/>
  <c r="AA47" i="9"/>
  <c r="AF47" i="9"/>
  <c r="AI48" i="11"/>
  <c r="AC49" i="11"/>
  <c r="O45" i="18"/>
  <c r="X50" i="11"/>
  <c r="AB48" i="11"/>
  <c r="AH48" i="11" s="1"/>
  <c r="AN48" i="11" s="1"/>
  <c r="W49" i="11"/>
  <c r="AO48" i="9"/>
  <c r="F44" i="18"/>
  <c r="Z48" i="12"/>
  <c r="AC49" i="10"/>
  <c r="N45" i="18"/>
  <c r="X50" i="10"/>
  <c r="W49" i="4"/>
  <c r="AB48" i="4"/>
  <c r="AH48" i="4" s="1"/>
  <c r="AN48" i="4" s="1"/>
  <c r="AA47" i="4"/>
  <c r="AI48" i="4"/>
  <c r="AH47" i="9"/>
  <c r="AD47" i="9"/>
  <c r="AB48" i="9"/>
  <c r="W49" i="9"/>
  <c r="AJ47" i="12"/>
  <c r="AO47" i="12"/>
  <c r="AP47" i="12" s="1"/>
  <c r="AD47" i="11"/>
  <c r="I51" i="12"/>
  <c r="X50" i="12"/>
  <c r="P45" i="18"/>
  <c r="AC49" i="12"/>
  <c r="I49" i="11"/>
  <c r="U48" i="11"/>
  <c r="Y48" i="11" s="1"/>
  <c r="AE48" i="11" s="1"/>
  <c r="AK48" i="11" s="1"/>
  <c r="I49" i="10"/>
  <c r="U48" i="10"/>
  <c r="Y48" i="10" s="1"/>
  <c r="AE48" i="10" s="1"/>
  <c r="AK48" i="10" s="1"/>
  <c r="C44" i="18"/>
  <c r="Z48" i="9"/>
  <c r="AG46" i="12"/>
  <c r="AL46" i="12"/>
  <c r="AM46" i="12" s="1"/>
  <c r="AO47" i="11"/>
  <c r="AP47" i="11" s="1"/>
  <c r="AJ47" i="11"/>
  <c r="I50" i="9"/>
  <c r="U49" i="9"/>
  <c r="Y49" i="9" s="1"/>
  <c r="AE49" i="9" s="1"/>
  <c r="AK49" i="9" s="1"/>
  <c r="AB50" i="12"/>
  <c r="AH50" i="12" s="1"/>
  <c r="AN50" i="12" s="1"/>
  <c r="W51" i="12"/>
  <c r="D44" i="18"/>
  <c r="Z48" i="10"/>
  <c r="M46" i="18"/>
  <c r="AC50" i="9"/>
  <c r="X51" i="9"/>
  <c r="AN46" i="9"/>
  <c r="AP46" i="9" s="1"/>
  <c r="AJ46" i="9"/>
  <c r="AG46" i="10"/>
  <c r="AL46" i="10"/>
  <c r="AM46" i="10" s="1"/>
  <c r="AB49" i="10"/>
  <c r="AH49" i="10" s="1"/>
  <c r="AN49" i="10" s="1"/>
  <c r="W50" i="10"/>
  <c r="Z48" i="4"/>
  <c r="AF48" i="4" s="1"/>
  <c r="B44" i="18"/>
  <c r="AD48" i="10"/>
  <c r="AI48" i="10"/>
  <c r="AI48" i="12"/>
  <c r="AD48" i="12"/>
  <c r="AC49" i="4"/>
  <c r="X50" i="4"/>
  <c r="L45" i="18"/>
  <c r="AI49" i="9"/>
  <c r="E44" i="18"/>
  <c r="Z48" i="11"/>
  <c r="AA47" i="12"/>
  <c r="AF47" i="12"/>
  <c r="M49" i="12"/>
  <c r="U48" i="12"/>
  <c r="Y48" i="12" s="1"/>
  <c r="AE48" i="12" s="1"/>
  <c r="AK48" i="12" s="1"/>
  <c r="AA47" i="11"/>
  <c r="AF47" i="11"/>
  <c r="AJ47" i="4"/>
  <c r="AO47" i="4"/>
  <c r="AP47" i="4" s="1"/>
  <c r="AO47" i="10"/>
  <c r="AP47" i="10" s="1"/>
  <c r="AJ47" i="10"/>
  <c r="AL46" i="11"/>
  <c r="AM46" i="11" s="1"/>
  <c r="AG46" i="11"/>
  <c r="AD47" i="4"/>
  <c r="AL46" i="9"/>
  <c r="AM46" i="9" s="1"/>
  <c r="AG46" i="9"/>
  <c r="I54" i="4"/>
  <c r="M50" i="4"/>
  <c r="U49" i="4"/>
  <c r="Y49" i="4" s="1"/>
  <c r="AE49" i="4" s="1"/>
  <c r="AK49" i="4" s="1"/>
  <c r="J50" i="12"/>
  <c r="V49" i="12"/>
  <c r="J50" i="11"/>
  <c r="V49" i="11"/>
  <c r="J50" i="10"/>
  <c r="V49" i="10"/>
  <c r="P50" i="4"/>
  <c r="V49" i="4"/>
  <c r="AG47" i="4"/>
  <c r="AL47" i="4"/>
  <c r="AM47" i="4" s="1"/>
  <c r="J54" i="4"/>
  <c r="J50" i="9"/>
  <c r="V49" i="9"/>
  <c r="O79" i="12"/>
  <c r="K80" i="4"/>
  <c r="AD48" i="11" l="1"/>
  <c r="AA48" i="4"/>
  <c r="D45" i="18"/>
  <c r="Z49" i="10"/>
  <c r="Z49" i="4"/>
  <c r="AA49" i="4" s="1"/>
  <c r="B45" i="18"/>
  <c r="AJ48" i="10"/>
  <c r="AO48" i="10"/>
  <c r="AP48" i="10" s="1"/>
  <c r="AB49" i="4"/>
  <c r="AH49" i="4" s="1"/>
  <c r="AN49" i="4" s="1"/>
  <c r="W50" i="4"/>
  <c r="AC50" i="10"/>
  <c r="X51" i="10"/>
  <c r="N46" i="18"/>
  <c r="I50" i="10"/>
  <c r="U49" i="10"/>
  <c r="Y49" i="10" s="1"/>
  <c r="AE49" i="10" s="1"/>
  <c r="AK49" i="10" s="1"/>
  <c r="AI49" i="10"/>
  <c r="AD49" i="10"/>
  <c r="AA48" i="9"/>
  <c r="AF48" i="9"/>
  <c r="W51" i="10"/>
  <c r="AB50" i="10"/>
  <c r="AH50" i="10" s="1"/>
  <c r="AN50" i="10" s="1"/>
  <c r="AA48" i="12"/>
  <c r="AF48" i="12"/>
  <c r="I50" i="11"/>
  <c r="U49" i="11"/>
  <c r="Y49" i="11" s="1"/>
  <c r="AE49" i="11" s="1"/>
  <c r="AK49" i="11" s="1"/>
  <c r="E45" i="18"/>
  <c r="Z49" i="11"/>
  <c r="AL47" i="12"/>
  <c r="AM47" i="12" s="1"/>
  <c r="AG47" i="12"/>
  <c r="W50" i="11"/>
  <c r="AB49" i="11"/>
  <c r="AH49" i="11" s="1"/>
  <c r="AN49" i="11" s="1"/>
  <c r="I52" i="12"/>
  <c r="X51" i="12"/>
  <c r="P46" i="18"/>
  <c r="AC50" i="12"/>
  <c r="AA48" i="11"/>
  <c r="AF48" i="11"/>
  <c r="AC50" i="11"/>
  <c r="O46" i="18"/>
  <c r="X51" i="11"/>
  <c r="M47" i="18"/>
  <c r="AC51" i="9"/>
  <c r="X52" i="9"/>
  <c r="AI50" i="9"/>
  <c r="AO49" i="9"/>
  <c r="AI49" i="11"/>
  <c r="W52" i="12"/>
  <c r="AB51" i="12"/>
  <c r="AH51" i="12" s="1"/>
  <c r="AN51" i="12" s="1"/>
  <c r="AH48" i="9"/>
  <c r="AD48" i="9"/>
  <c r="AO48" i="11"/>
  <c r="AP48" i="11" s="1"/>
  <c r="AJ48" i="11"/>
  <c r="AA48" i="10"/>
  <c r="AF48" i="10"/>
  <c r="AC50" i="4"/>
  <c r="X51" i="4"/>
  <c r="L46" i="18"/>
  <c r="AL47" i="9"/>
  <c r="AM47" i="9" s="1"/>
  <c r="AG47" i="9"/>
  <c r="M50" i="12"/>
  <c r="U49" i="12"/>
  <c r="Y49" i="12" s="1"/>
  <c r="AE49" i="12" s="1"/>
  <c r="AK49" i="12" s="1"/>
  <c r="C45" i="18"/>
  <c r="Z49" i="9"/>
  <c r="AI49" i="4"/>
  <c r="I51" i="9"/>
  <c r="U50" i="9"/>
  <c r="Y50" i="9" s="1"/>
  <c r="AE50" i="9" s="1"/>
  <c r="AK50" i="9" s="1"/>
  <c r="AN47" i="9"/>
  <c r="AP47" i="9" s="1"/>
  <c r="AJ47" i="9"/>
  <c r="F45" i="18"/>
  <c r="Z49" i="12"/>
  <c r="AI49" i="12"/>
  <c r="AD49" i="12"/>
  <c r="AO48" i="4"/>
  <c r="AP48" i="4" s="1"/>
  <c r="AJ48" i="4"/>
  <c r="AG47" i="10"/>
  <c r="AL47" i="10"/>
  <c r="AM47" i="10" s="1"/>
  <c r="AG47" i="11"/>
  <c r="AL47" i="11"/>
  <c r="AM47" i="11" s="1"/>
  <c r="AB49" i="9"/>
  <c r="W50" i="9"/>
  <c r="AO48" i="12"/>
  <c r="AP48" i="12" s="1"/>
  <c r="AJ48" i="12"/>
  <c r="AD48" i="4"/>
  <c r="J51" i="9"/>
  <c r="V50" i="9"/>
  <c r="J55" i="4"/>
  <c r="P51" i="4"/>
  <c r="V50" i="4"/>
  <c r="AG48" i="4"/>
  <c r="AL48" i="4"/>
  <c r="AM48" i="4" s="1"/>
  <c r="J51" i="10"/>
  <c r="V50" i="10"/>
  <c r="M51" i="4"/>
  <c r="U50" i="4"/>
  <c r="Y50" i="4" s="1"/>
  <c r="AE50" i="4" s="1"/>
  <c r="AK50" i="4" s="1"/>
  <c r="J51" i="11"/>
  <c r="V50" i="11"/>
  <c r="J51" i="12"/>
  <c r="V50" i="12"/>
  <c r="I55" i="4"/>
  <c r="O80" i="12"/>
  <c r="K81" i="4"/>
  <c r="AF49" i="4" l="1"/>
  <c r="L47" i="18"/>
  <c r="AC51" i="4"/>
  <c r="X52" i="4"/>
  <c r="D46" i="18"/>
  <c r="Z50" i="10"/>
  <c r="AA49" i="9"/>
  <c r="AF49" i="9"/>
  <c r="I51" i="11"/>
  <c r="U50" i="11"/>
  <c r="Y50" i="11" s="1"/>
  <c r="AE50" i="11" s="1"/>
  <c r="AK50" i="11" s="1"/>
  <c r="W52" i="10"/>
  <c r="AB51" i="10"/>
  <c r="AH51" i="10" s="1"/>
  <c r="AN51" i="10" s="1"/>
  <c r="O47" i="18"/>
  <c r="AC51" i="11"/>
  <c r="X52" i="11"/>
  <c r="AL48" i="9"/>
  <c r="AM48" i="9" s="1"/>
  <c r="AG48" i="9"/>
  <c r="AB50" i="9"/>
  <c r="W51" i="9"/>
  <c r="AL48" i="10"/>
  <c r="AM48" i="10" s="1"/>
  <c r="AG48" i="10"/>
  <c r="AI50" i="12"/>
  <c r="AD50" i="12"/>
  <c r="I51" i="10"/>
  <c r="U50" i="10"/>
  <c r="Y50" i="10" s="1"/>
  <c r="AE50" i="10" s="1"/>
  <c r="AK50" i="10" s="1"/>
  <c r="X52" i="12"/>
  <c r="P47" i="18"/>
  <c r="AC51" i="12"/>
  <c r="AC51" i="10"/>
  <c r="N47" i="18"/>
  <c r="X52" i="10"/>
  <c r="AH49" i="9"/>
  <c r="AD49" i="9"/>
  <c r="AD50" i="10"/>
  <c r="AI50" i="10"/>
  <c r="AI50" i="4"/>
  <c r="AO49" i="12"/>
  <c r="AP49" i="12" s="1"/>
  <c r="AJ49" i="12"/>
  <c r="I53" i="12"/>
  <c r="AB50" i="4"/>
  <c r="AH50" i="4" s="1"/>
  <c r="AN50" i="4" s="1"/>
  <c r="W51" i="4"/>
  <c r="AG48" i="12"/>
  <c r="AL48" i="12"/>
  <c r="AM48" i="12" s="1"/>
  <c r="AC52" i="9"/>
  <c r="X53" i="9"/>
  <c r="M48" i="18"/>
  <c r="M51" i="12"/>
  <c r="U50" i="12"/>
  <c r="Y50" i="12" s="1"/>
  <c r="AE50" i="12" s="1"/>
  <c r="AK50" i="12" s="1"/>
  <c r="E46" i="18"/>
  <c r="Z50" i="11"/>
  <c r="AN48" i="9"/>
  <c r="AP48" i="9" s="1"/>
  <c r="AJ48" i="9"/>
  <c r="AB50" i="11"/>
  <c r="AH50" i="11" s="1"/>
  <c r="AN50" i="11" s="1"/>
  <c r="W51" i="11"/>
  <c r="AB52" i="12"/>
  <c r="AH52" i="12" s="1"/>
  <c r="AN52" i="12" s="1"/>
  <c r="W53" i="12"/>
  <c r="AO50" i="9"/>
  <c r="F46" i="18"/>
  <c r="Z50" i="12"/>
  <c r="AL48" i="11"/>
  <c r="AM48" i="11" s="1"/>
  <c r="AG48" i="11"/>
  <c r="AD49" i="11"/>
  <c r="Z50" i="4"/>
  <c r="AA50" i="4" s="1"/>
  <c r="B46" i="18"/>
  <c r="C46" i="18"/>
  <c r="Z50" i="9"/>
  <c r="I52" i="9"/>
  <c r="U51" i="9"/>
  <c r="Y51" i="9" s="1"/>
  <c r="AE51" i="9" s="1"/>
  <c r="AK51" i="9" s="1"/>
  <c r="AO49" i="11"/>
  <c r="AP49" i="11" s="1"/>
  <c r="AJ49" i="11"/>
  <c r="AA49" i="11"/>
  <c r="AF49" i="11"/>
  <c r="AI51" i="9"/>
  <c r="AO49" i="4"/>
  <c r="AP49" i="4" s="1"/>
  <c r="AJ49" i="4"/>
  <c r="AA49" i="10"/>
  <c r="AF49" i="10"/>
  <c r="AI50" i="11"/>
  <c r="AJ49" i="10"/>
  <c r="AO49" i="10"/>
  <c r="AP49" i="10" s="1"/>
  <c r="AA49" i="12"/>
  <c r="AF49" i="12"/>
  <c r="AD49" i="4"/>
  <c r="J52" i="12"/>
  <c r="V51" i="12"/>
  <c r="I56" i="4"/>
  <c r="J52" i="10"/>
  <c r="V51" i="10"/>
  <c r="J52" i="11"/>
  <c r="V51" i="11"/>
  <c r="AL49" i="4"/>
  <c r="AM49" i="4" s="1"/>
  <c r="AG49" i="4"/>
  <c r="M52" i="4"/>
  <c r="U51" i="4"/>
  <c r="Y51" i="4" s="1"/>
  <c r="AE51" i="4" s="1"/>
  <c r="AK51" i="4" s="1"/>
  <c r="P52" i="4"/>
  <c r="V51" i="4"/>
  <c r="J56" i="4"/>
  <c r="J52" i="9"/>
  <c r="V51" i="9"/>
  <c r="K82" i="4"/>
  <c r="O81" i="12"/>
  <c r="AD50" i="11" l="1"/>
  <c r="AO50" i="11"/>
  <c r="AP50" i="11" s="1"/>
  <c r="AJ50" i="11"/>
  <c r="AA50" i="12"/>
  <c r="AF50" i="12"/>
  <c r="I54" i="12"/>
  <c r="AH50" i="9"/>
  <c r="AD50" i="9"/>
  <c r="W52" i="11"/>
  <c r="AB51" i="11"/>
  <c r="AH51" i="11" s="1"/>
  <c r="AN51" i="11" s="1"/>
  <c r="W54" i="12"/>
  <c r="AB53" i="12"/>
  <c r="AH53" i="12" s="1"/>
  <c r="AN53" i="12" s="1"/>
  <c r="D47" i="18"/>
  <c r="Z51" i="10"/>
  <c r="AO51" i="9"/>
  <c r="AB52" i="10"/>
  <c r="AH52" i="10" s="1"/>
  <c r="AN52" i="10" s="1"/>
  <c r="W53" i="10"/>
  <c r="AD50" i="4"/>
  <c r="AL49" i="11"/>
  <c r="AM49" i="11" s="1"/>
  <c r="AG49" i="11"/>
  <c r="AN49" i="9"/>
  <c r="AP49" i="9" s="1"/>
  <c r="AJ49" i="9"/>
  <c r="F47" i="18"/>
  <c r="Z51" i="12"/>
  <c r="N48" i="18"/>
  <c r="X53" i="10"/>
  <c r="AC52" i="10"/>
  <c r="I52" i="11"/>
  <c r="U51" i="11"/>
  <c r="Y51" i="11" s="1"/>
  <c r="AE51" i="11" s="1"/>
  <c r="AK51" i="11" s="1"/>
  <c r="Z51" i="4"/>
  <c r="AA51" i="4" s="1"/>
  <c r="B47" i="18"/>
  <c r="AA50" i="11"/>
  <c r="AF50" i="11"/>
  <c r="AL49" i="9"/>
  <c r="AM49" i="9" s="1"/>
  <c r="AG49" i="9"/>
  <c r="AO50" i="4"/>
  <c r="AP50" i="4" s="1"/>
  <c r="AJ50" i="4"/>
  <c r="AD51" i="10"/>
  <c r="AI51" i="10"/>
  <c r="AD51" i="12"/>
  <c r="AI51" i="12"/>
  <c r="AA50" i="10"/>
  <c r="AF50" i="10"/>
  <c r="AF50" i="4"/>
  <c r="AF51" i="4" s="1"/>
  <c r="AL49" i="10"/>
  <c r="AM49" i="10" s="1"/>
  <c r="AG49" i="10"/>
  <c r="AI51" i="11"/>
  <c r="I53" i="9"/>
  <c r="U52" i="9"/>
  <c r="Y52" i="9" s="1"/>
  <c r="AE52" i="9" s="1"/>
  <c r="AK52" i="9" s="1"/>
  <c r="M52" i="12"/>
  <c r="U51" i="12"/>
  <c r="Y51" i="12" s="1"/>
  <c r="AE51" i="12" s="1"/>
  <c r="AK51" i="12" s="1"/>
  <c r="AL49" i="12"/>
  <c r="AM49" i="12" s="1"/>
  <c r="AG49" i="12"/>
  <c r="AJ50" i="12"/>
  <c r="AO50" i="12"/>
  <c r="AP50" i="12" s="1"/>
  <c r="AB51" i="9"/>
  <c r="W52" i="9"/>
  <c r="AO50" i="10"/>
  <c r="AP50" i="10" s="1"/>
  <c r="AJ50" i="10"/>
  <c r="AA50" i="9"/>
  <c r="AF50" i="9"/>
  <c r="AC52" i="12"/>
  <c r="P48" i="18"/>
  <c r="X53" i="12"/>
  <c r="X53" i="4"/>
  <c r="L48" i="18"/>
  <c r="AC52" i="4"/>
  <c r="O48" i="18"/>
  <c r="AC52" i="11"/>
  <c r="X53" i="11"/>
  <c r="E47" i="18"/>
  <c r="Z51" i="11"/>
  <c r="C47" i="18"/>
  <c r="Z51" i="9"/>
  <c r="M49" i="18"/>
  <c r="AC53" i="9"/>
  <c r="X54" i="9"/>
  <c r="AI51" i="4"/>
  <c r="W52" i="4"/>
  <c r="AB51" i="4"/>
  <c r="AH51" i="4" s="1"/>
  <c r="AN51" i="4" s="1"/>
  <c r="AI52" i="9"/>
  <c r="I52" i="10"/>
  <c r="U51" i="10"/>
  <c r="Y51" i="10" s="1"/>
  <c r="AE51" i="10" s="1"/>
  <c r="AK51" i="10" s="1"/>
  <c r="J57" i="4"/>
  <c r="M53" i="4"/>
  <c r="U52" i="4"/>
  <c r="Y52" i="4" s="1"/>
  <c r="AE52" i="4" s="1"/>
  <c r="AK52" i="4" s="1"/>
  <c r="J53" i="11"/>
  <c r="V52" i="11"/>
  <c r="J53" i="10"/>
  <c r="V52" i="10"/>
  <c r="I57" i="4"/>
  <c r="J53" i="9"/>
  <c r="V52" i="9"/>
  <c r="P53" i="4"/>
  <c r="V52" i="4"/>
  <c r="J53" i="12"/>
  <c r="V52" i="12"/>
  <c r="O82" i="12"/>
  <c r="K83" i="4"/>
  <c r="AL50" i="4" l="1"/>
  <c r="AM50" i="4" s="1"/>
  <c r="AG50" i="4"/>
  <c r="AD51" i="11"/>
  <c r="AB52" i="4"/>
  <c r="AH52" i="4" s="1"/>
  <c r="AN52" i="4" s="1"/>
  <c r="W53" i="4"/>
  <c r="AD51" i="4"/>
  <c r="AB52" i="9"/>
  <c r="W53" i="9"/>
  <c r="AB53" i="10"/>
  <c r="AH53" i="10" s="1"/>
  <c r="AN53" i="10" s="1"/>
  <c r="W54" i="10"/>
  <c r="C48" i="18"/>
  <c r="Z52" i="9"/>
  <c r="AO51" i="4"/>
  <c r="AP51" i="4" s="1"/>
  <c r="AJ51" i="4"/>
  <c r="AH51" i="9"/>
  <c r="AD51" i="9"/>
  <c r="M50" i="18"/>
  <c r="X55" i="9"/>
  <c r="AC54" i="9"/>
  <c r="AB54" i="12"/>
  <c r="AH54" i="12" s="1"/>
  <c r="AN54" i="12" s="1"/>
  <c r="W55" i="12"/>
  <c r="AO52" i="9"/>
  <c r="AI53" i="9"/>
  <c r="AL50" i="11"/>
  <c r="AM50" i="11" s="1"/>
  <c r="AG50" i="11"/>
  <c r="X54" i="11"/>
  <c r="O49" i="18"/>
  <c r="AC53" i="11"/>
  <c r="I54" i="9"/>
  <c r="U53" i="9"/>
  <c r="Y53" i="9" s="1"/>
  <c r="AE53" i="9" s="1"/>
  <c r="AK53" i="9" s="1"/>
  <c r="AB52" i="11"/>
  <c r="AH52" i="11" s="1"/>
  <c r="AN52" i="11" s="1"/>
  <c r="W53" i="11"/>
  <c r="Z52" i="4"/>
  <c r="AF52" i="4" s="1"/>
  <c r="B48" i="18"/>
  <c r="AI52" i="11"/>
  <c r="AD52" i="11"/>
  <c r="I53" i="11"/>
  <c r="U52" i="11"/>
  <c r="Y52" i="11" s="1"/>
  <c r="AE52" i="11" s="1"/>
  <c r="AK52" i="11" s="1"/>
  <c r="D48" i="18"/>
  <c r="Z52" i="10"/>
  <c r="E48" i="18"/>
  <c r="Z52" i="11"/>
  <c r="AI52" i="10"/>
  <c r="AD52" i="10"/>
  <c r="AN50" i="9"/>
  <c r="AP50" i="9" s="1"/>
  <c r="AJ50" i="9"/>
  <c r="F48" i="18"/>
  <c r="Z52" i="12"/>
  <c r="AI52" i="4"/>
  <c r="AC53" i="10"/>
  <c r="X54" i="10"/>
  <c r="N49" i="18"/>
  <c r="AA51" i="10"/>
  <c r="AF51" i="10"/>
  <c r="M53" i="12"/>
  <c r="U52" i="12"/>
  <c r="Y52" i="12" s="1"/>
  <c r="AE52" i="12" s="1"/>
  <c r="AK52" i="12" s="1"/>
  <c r="I55" i="12"/>
  <c r="AA51" i="11"/>
  <c r="AF51" i="11"/>
  <c r="AO51" i="11"/>
  <c r="AP51" i="11" s="1"/>
  <c r="AJ51" i="11"/>
  <c r="L49" i="18"/>
  <c r="X54" i="4"/>
  <c r="AC53" i="4"/>
  <c r="AA51" i="12"/>
  <c r="AF51" i="12"/>
  <c r="AL50" i="12"/>
  <c r="AM50" i="12" s="1"/>
  <c r="AG50" i="12"/>
  <c r="AJ51" i="10"/>
  <c r="AO51" i="10"/>
  <c r="AP51" i="10" s="1"/>
  <c r="AA51" i="9"/>
  <c r="AF51" i="9"/>
  <c r="P49" i="18"/>
  <c r="AC53" i="12"/>
  <c r="X54" i="12"/>
  <c r="AL50" i="10"/>
  <c r="AM50" i="10" s="1"/>
  <c r="AG50" i="10"/>
  <c r="AL50" i="9"/>
  <c r="AM50" i="9" s="1"/>
  <c r="AG50" i="9"/>
  <c r="I53" i="10"/>
  <c r="U52" i="10"/>
  <c r="Y52" i="10" s="1"/>
  <c r="AI52" i="12"/>
  <c r="AD52" i="12"/>
  <c r="AO51" i="12"/>
  <c r="AP51" i="12" s="1"/>
  <c r="AJ51" i="12"/>
  <c r="J54" i="12"/>
  <c r="V53" i="12"/>
  <c r="AL51" i="4"/>
  <c r="AM51" i="4" s="1"/>
  <c r="AG51" i="4"/>
  <c r="P54" i="4"/>
  <c r="V53" i="4"/>
  <c r="J54" i="9"/>
  <c r="V53" i="9"/>
  <c r="I58" i="4"/>
  <c r="M54" i="4"/>
  <c r="U53" i="4"/>
  <c r="Y53" i="4" s="1"/>
  <c r="AE53" i="4" s="1"/>
  <c r="AK53" i="4" s="1"/>
  <c r="J58" i="4"/>
  <c r="J54" i="10"/>
  <c r="V53" i="10"/>
  <c r="J54" i="11"/>
  <c r="V53" i="11"/>
  <c r="O83" i="12"/>
  <c r="K84" i="4"/>
  <c r="AA52" i="4" l="1"/>
  <c r="AD52" i="4"/>
  <c r="AJ52" i="12"/>
  <c r="AO52" i="12"/>
  <c r="AP52" i="12" s="1"/>
  <c r="AF52" i="10"/>
  <c r="W56" i="12"/>
  <c r="AB55" i="12"/>
  <c r="AH55" i="12" s="1"/>
  <c r="AN55" i="12" s="1"/>
  <c r="AA52" i="10"/>
  <c r="AE52" i="10"/>
  <c r="AK52" i="10" s="1"/>
  <c r="AG51" i="11"/>
  <c r="AL51" i="11"/>
  <c r="AM51" i="11" s="1"/>
  <c r="P50" i="18"/>
  <c r="AC54" i="12"/>
  <c r="X55" i="12"/>
  <c r="AD53" i="12"/>
  <c r="AI53" i="12"/>
  <c r="W54" i="11"/>
  <c r="AB53" i="11"/>
  <c r="AH53" i="11" s="1"/>
  <c r="AN53" i="11" s="1"/>
  <c r="C49" i="18"/>
  <c r="Z53" i="9"/>
  <c r="Z53" i="4"/>
  <c r="AF53" i="4" s="1"/>
  <c r="B49" i="18"/>
  <c r="M54" i="12"/>
  <c r="U53" i="12"/>
  <c r="Y53" i="12" s="1"/>
  <c r="AE53" i="12" s="1"/>
  <c r="AK53" i="12" s="1"/>
  <c r="AL51" i="10"/>
  <c r="AM51" i="10" s="1"/>
  <c r="AG51" i="10"/>
  <c r="AL51" i="9"/>
  <c r="AM51" i="9" s="1"/>
  <c r="AG51" i="9"/>
  <c r="AC54" i="10"/>
  <c r="X55" i="10"/>
  <c r="N50" i="18"/>
  <c r="AA52" i="9"/>
  <c r="AF52" i="9"/>
  <c r="AI54" i="9"/>
  <c r="AC55" i="9"/>
  <c r="M51" i="18"/>
  <c r="X56" i="9"/>
  <c r="AJ52" i="4"/>
  <c r="AO52" i="4"/>
  <c r="AP52" i="4" s="1"/>
  <c r="AI53" i="11"/>
  <c r="AB54" i="10"/>
  <c r="AH54" i="10" s="1"/>
  <c r="AN54" i="10" s="1"/>
  <c r="W55" i="10"/>
  <c r="AC54" i="4"/>
  <c r="L50" i="18"/>
  <c r="X55" i="4"/>
  <c r="I54" i="11"/>
  <c r="U53" i="11"/>
  <c r="Y53" i="11" s="1"/>
  <c r="AE53" i="11" s="1"/>
  <c r="AK53" i="11" s="1"/>
  <c r="AO52" i="11"/>
  <c r="AP52" i="11" s="1"/>
  <c r="AJ52" i="11"/>
  <c r="AN51" i="9"/>
  <c r="AP51" i="9" s="1"/>
  <c r="AJ51" i="9"/>
  <c r="I55" i="9"/>
  <c r="U54" i="9"/>
  <c r="Y54" i="9" s="1"/>
  <c r="AE54" i="9" s="1"/>
  <c r="AK54" i="9" s="1"/>
  <c r="F49" i="18"/>
  <c r="Z53" i="12"/>
  <c r="AJ52" i="10"/>
  <c r="AO52" i="10"/>
  <c r="AP52" i="10" s="1"/>
  <c r="AA52" i="11"/>
  <c r="AF52" i="11"/>
  <c r="AA52" i="12"/>
  <c r="AF52" i="12"/>
  <c r="X55" i="11"/>
  <c r="AC54" i="11"/>
  <c r="O50" i="18"/>
  <c r="AB53" i="9"/>
  <c r="W54" i="9"/>
  <c r="D49" i="18"/>
  <c r="Z53" i="10"/>
  <c r="AH52" i="9"/>
  <c r="AD52" i="9"/>
  <c r="I56" i="12"/>
  <c r="AL51" i="12"/>
  <c r="AM51" i="12" s="1"/>
  <c r="AG51" i="12"/>
  <c r="I54" i="10"/>
  <c r="U53" i="10"/>
  <c r="Y53" i="10" s="1"/>
  <c r="AE53" i="10" s="1"/>
  <c r="AK53" i="10" s="1"/>
  <c r="AI53" i="10"/>
  <c r="AD53" i="10"/>
  <c r="W54" i="4"/>
  <c r="AB53" i="4"/>
  <c r="AH53" i="4" s="1"/>
  <c r="AN53" i="4" s="1"/>
  <c r="E49" i="18"/>
  <c r="Z53" i="11"/>
  <c r="AI53" i="4"/>
  <c r="AO53" i="9"/>
  <c r="I59" i="4"/>
  <c r="J55" i="11"/>
  <c r="V54" i="11"/>
  <c r="P55" i="4"/>
  <c r="V54" i="4"/>
  <c r="J55" i="10"/>
  <c r="V54" i="10"/>
  <c r="J59" i="4"/>
  <c r="J55" i="9"/>
  <c r="V54" i="9"/>
  <c r="AG52" i="4"/>
  <c r="AL52" i="4"/>
  <c r="AM52" i="4" s="1"/>
  <c r="M55" i="4"/>
  <c r="U54" i="4"/>
  <c r="Y54" i="4" s="1"/>
  <c r="AE54" i="4" s="1"/>
  <c r="AK54" i="4" s="1"/>
  <c r="J55" i="12"/>
  <c r="V54" i="12"/>
  <c r="K85" i="4"/>
  <c r="O84" i="12"/>
  <c r="AD53" i="11" l="1"/>
  <c r="AI54" i="11"/>
  <c r="AO53" i="4"/>
  <c r="AP53" i="4" s="1"/>
  <c r="AJ53" i="4"/>
  <c r="X56" i="11"/>
  <c r="O51" i="18"/>
  <c r="AC55" i="11"/>
  <c r="AJ53" i="11"/>
  <c r="AO53" i="11"/>
  <c r="AP53" i="11" s="1"/>
  <c r="AA53" i="9"/>
  <c r="AF53" i="9"/>
  <c r="AA53" i="4"/>
  <c r="AL52" i="11"/>
  <c r="AM52" i="11" s="1"/>
  <c r="AG52" i="11"/>
  <c r="AI55" i="9"/>
  <c r="P51" i="18"/>
  <c r="AC55" i="12"/>
  <c r="X56" i="12"/>
  <c r="I56" i="9"/>
  <c r="U55" i="9"/>
  <c r="Y55" i="9" s="1"/>
  <c r="AE55" i="9" s="1"/>
  <c r="AK55" i="9" s="1"/>
  <c r="F50" i="18"/>
  <c r="Z54" i="12"/>
  <c r="AB54" i="11"/>
  <c r="AH54" i="11" s="1"/>
  <c r="AN54" i="11" s="1"/>
  <c r="W55" i="11"/>
  <c r="AL52" i="9"/>
  <c r="AM52" i="9" s="1"/>
  <c r="AG52" i="9"/>
  <c r="I57" i="12"/>
  <c r="N51" i="18"/>
  <c r="AC55" i="10"/>
  <c r="X56" i="10"/>
  <c r="M55" i="12"/>
  <c r="U54" i="12"/>
  <c r="Y54" i="12" s="1"/>
  <c r="AE54" i="12" s="1"/>
  <c r="AK54" i="12" s="1"/>
  <c r="AD54" i="12"/>
  <c r="AI54" i="12"/>
  <c r="D50" i="18"/>
  <c r="Z54" i="10"/>
  <c r="AD54" i="10"/>
  <c r="AI54" i="10"/>
  <c r="AN52" i="9"/>
  <c r="AP52" i="9" s="1"/>
  <c r="AJ52" i="9"/>
  <c r="AA53" i="10"/>
  <c r="AF53" i="10"/>
  <c r="I55" i="11"/>
  <c r="U54" i="11"/>
  <c r="Y54" i="11" s="1"/>
  <c r="AE54" i="11" s="1"/>
  <c r="AK54" i="11" s="1"/>
  <c r="W57" i="12"/>
  <c r="AB56" i="12"/>
  <c r="AH56" i="12" s="1"/>
  <c r="AN56" i="12" s="1"/>
  <c r="AL52" i="12"/>
  <c r="AM52" i="12" s="1"/>
  <c r="AG52" i="12"/>
  <c r="AB54" i="4"/>
  <c r="AH54" i="4" s="1"/>
  <c r="AN54" i="4" s="1"/>
  <c r="W55" i="4"/>
  <c r="AC56" i="9"/>
  <c r="X57" i="9"/>
  <c r="M52" i="18"/>
  <c r="I55" i="10"/>
  <c r="U54" i="10"/>
  <c r="Y54" i="10" s="1"/>
  <c r="AE54" i="10" s="1"/>
  <c r="AK54" i="10" s="1"/>
  <c r="E50" i="18"/>
  <c r="Z54" i="11"/>
  <c r="L51" i="18"/>
  <c r="X56" i="4"/>
  <c r="AC55" i="4"/>
  <c r="AL52" i="10"/>
  <c r="AM52" i="10" s="1"/>
  <c r="AG52" i="10"/>
  <c r="AJ53" i="10"/>
  <c r="AO53" i="10"/>
  <c r="AP53" i="10" s="1"/>
  <c r="C50" i="18"/>
  <c r="Z54" i="9"/>
  <c r="AA53" i="12"/>
  <c r="AF53" i="12"/>
  <c r="W55" i="9"/>
  <c r="AB54" i="9"/>
  <c r="AB55" i="10"/>
  <c r="AH55" i="10" s="1"/>
  <c r="AN55" i="10" s="1"/>
  <c r="W56" i="10"/>
  <c r="AD53" i="4"/>
  <c r="AA53" i="11"/>
  <c r="AF53" i="11"/>
  <c r="AO53" i="12"/>
  <c r="AP53" i="12" s="1"/>
  <c r="AJ53" i="12"/>
  <c r="AO54" i="9"/>
  <c r="Z54" i="4"/>
  <c r="AA54" i="4" s="1"/>
  <c r="B50" i="18"/>
  <c r="AH53" i="9"/>
  <c r="AD53" i="9"/>
  <c r="AI54" i="4"/>
  <c r="J56" i="9"/>
  <c r="V55" i="9"/>
  <c r="M56" i="4"/>
  <c r="U55" i="4"/>
  <c r="Y55" i="4" s="1"/>
  <c r="AE55" i="4" s="1"/>
  <c r="AK55" i="4" s="1"/>
  <c r="AG53" i="4"/>
  <c r="AL53" i="4"/>
  <c r="AM53" i="4" s="1"/>
  <c r="J56" i="10"/>
  <c r="V55" i="10"/>
  <c r="P56" i="4"/>
  <c r="V55" i="4"/>
  <c r="J56" i="11"/>
  <c r="V55" i="11"/>
  <c r="J56" i="12"/>
  <c r="V55" i="12"/>
  <c r="J60" i="4"/>
  <c r="I60" i="4"/>
  <c r="O85" i="12"/>
  <c r="K86" i="4"/>
  <c r="AF54" i="4" l="1"/>
  <c r="AI55" i="4"/>
  <c r="P52" i="18"/>
  <c r="X57" i="12"/>
  <c r="AC56" i="12"/>
  <c r="X57" i="4"/>
  <c r="L52" i="18"/>
  <c r="AC56" i="4"/>
  <c r="AO54" i="10"/>
  <c r="AP54" i="10" s="1"/>
  <c r="AJ54" i="10"/>
  <c r="AI55" i="12"/>
  <c r="AD55" i="12"/>
  <c r="AN53" i="9"/>
  <c r="AP53" i="9" s="1"/>
  <c r="AJ53" i="9"/>
  <c r="I57" i="9"/>
  <c r="U56" i="9"/>
  <c r="Y56" i="9" s="1"/>
  <c r="AE56" i="9" s="1"/>
  <c r="AK56" i="9" s="1"/>
  <c r="F51" i="18"/>
  <c r="Z55" i="12"/>
  <c r="AL53" i="9"/>
  <c r="AM53" i="9" s="1"/>
  <c r="AG53" i="9"/>
  <c r="AA54" i="11"/>
  <c r="AF54" i="11"/>
  <c r="W57" i="10"/>
  <c r="AB56" i="10"/>
  <c r="AH56" i="10" s="1"/>
  <c r="AN56" i="10" s="1"/>
  <c r="AI56" i="9"/>
  <c r="AC56" i="10"/>
  <c r="N52" i="18"/>
  <c r="X57" i="10"/>
  <c r="Z55" i="4"/>
  <c r="AF55" i="4" s="1"/>
  <c r="B51" i="18"/>
  <c r="M53" i="18"/>
  <c r="X58" i="9"/>
  <c r="AC57" i="9"/>
  <c r="W56" i="4"/>
  <c r="AB55" i="4"/>
  <c r="AH55" i="4" s="1"/>
  <c r="AN55" i="4" s="1"/>
  <c r="AD55" i="10"/>
  <c r="AI55" i="10"/>
  <c r="AL53" i="11"/>
  <c r="AM53" i="11" s="1"/>
  <c r="AG53" i="11"/>
  <c r="AH54" i="9"/>
  <c r="AD54" i="9"/>
  <c r="AB55" i="9"/>
  <c r="W56" i="9"/>
  <c r="AI55" i="11"/>
  <c r="AO55" i="9"/>
  <c r="I56" i="10"/>
  <c r="U55" i="10"/>
  <c r="Y55" i="10" s="1"/>
  <c r="AE55" i="10" s="1"/>
  <c r="AK55" i="10" s="1"/>
  <c r="D51" i="18"/>
  <c r="Z55" i="10"/>
  <c r="I58" i="12"/>
  <c r="AO54" i="12"/>
  <c r="AP54" i="12" s="1"/>
  <c r="AJ54" i="12"/>
  <c r="AL53" i="12"/>
  <c r="AM53" i="12" s="1"/>
  <c r="AG53" i="12"/>
  <c r="X57" i="11"/>
  <c r="O52" i="18"/>
  <c r="AC56" i="11"/>
  <c r="M56" i="12"/>
  <c r="U55" i="12"/>
  <c r="Y55" i="12" s="1"/>
  <c r="AE55" i="12" s="1"/>
  <c r="AK55" i="12" s="1"/>
  <c r="W58" i="12"/>
  <c r="AB57" i="12"/>
  <c r="AH57" i="12" s="1"/>
  <c r="AN57" i="12" s="1"/>
  <c r="AA54" i="9"/>
  <c r="AF54" i="9"/>
  <c r="AB55" i="11"/>
  <c r="AH55" i="11" s="1"/>
  <c r="AN55" i="11" s="1"/>
  <c r="W56" i="11"/>
  <c r="AA54" i="10"/>
  <c r="AF54" i="10"/>
  <c r="E51" i="18"/>
  <c r="Z55" i="11"/>
  <c r="AD54" i="4"/>
  <c r="I56" i="11"/>
  <c r="U55" i="11"/>
  <c r="Y55" i="11" s="1"/>
  <c r="AE55" i="11" s="1"/>
  <c r="AK55" i="11" s="1"/>
  <c r="AD54" i="11"/>
  <c r="C51" i="18"/>
  <c r="Z55" i="9"/>
  <c r="AJ54" i="4"/>
  <c r="AO54" i="4"/>
  <c r="AP54" i="4" s="1"/>
  <c r="AL53" i="10"/>
  <c r="AM53" i="10" s="1"/>
  <c r="AG53" i="10"/>
  <c r="AA54" i="12"/>
  <c r="AF54" i="12"/>
  <c r="AJ54" i="11"/>
  <c r="AO54" i="11"/>
  <c r="AP54" i="11" s="1"/>
  <c r="I61" i="4"/>
  <c r="J57" i="11"/>
  <c r="V56" i="11"/>
  <c r="M57" i="4"/>
  <c r="U56" i="4"/>
  <c r="Y56" i="4" s="1"/>
  <c r="AE56" i="4" s="1"/>
  <c r="AK56" i="4" s="1"/>
  <c r="AG54" i="4"/>
  <c r="AL54" i="4"/>
  <c r="AM54" i="4" s="1"/>
  <c r="P57" i="4"/>
  <c r="V56" i="4"/>
  <c r="J61" i="4"/>
  <c r="J57" i="12"/>
  <c r="V56" i="12"/>
  <c r="AA55" i="4"/>
  <c r="J57" i="10"/>
  <c r="V56" i="10"/>
  <c r="J57" i="9"/>
  <c r="V56" i="9"/>
  <c r="K87" i="4"/>
  <c r="O86" i="12"/>
  <c r="AH55" i="9" l="1"/>
  <c r="AD55" i="9"/>
  <c r="AN54" i="9"/>
  <c r="AP54" i="9" s="1"/>
  <c r="AJ54" i="9"/>
  <c r="AA55" i="12"/>
  <c r="AF55" i="12"/>
  <c r="AI56" i="11"/>
  <c r="AI57" i="9"/>
  <c r="O53" i="18"/>
  <c r="X58" i="11"/>
  <c r="AC57" i="11"/>
  <c r="AA55" i="9"/>
  <c r="AF55" i="9"/>
  <c r="M54" i="18"/>
  <c r="AC58" i="9"/>
  <c r="X59" i="9"/>
  <c r="AJ55" i="12"/>
  <c r="AO55" i="12"/>
  <c r="AP55" i="12" s="1"/>
  <c r="AL54" i="12"/>
  <c r="AM54" i="12" s="1"/>
  <c r="AG54" i="12"/>
  <c r="I57" i="11"/>
  <c r="U56" i="11"/>
  <c r="Y56" i="11" s="1"/>
  <c r="M57" i="12"/>
  <c r="U56" i="12"/>
  <c r="Y56" i="12" s="1"/>
  <c r="AE56" i="12" s="1"/>
  <c r="AK56" i="12" s="1"/>
  <c r="I59" i="12"/>
  <c r="D52" i="18"/>
  <c r="Z56" i="10"/>
  <c r="AI56" i="4"/>
  <c r="C52" i="18"/>
  <c r="Z56" i="9"/>
  <c r="I58" i="9"/>
  <c r="U57" i="9"/>
  <c r="Y57" i="9" s="1"/>
  <c r="AE57" i="9" s="1"/>
  <c r="AK57" i="9" s="1"/>
  <c r="Z56" i="4"/>
  <c r="AF56" i="4" s="1"/>
  <c r="B52" i="18"/>
  <c r="AA55" i="10"/>
  <c r="AF55" i="10"/>
  <c r="X58" i="4"/>
  <c r="L53" i="18"/>
  <c r="AC57" i="4"/>
  <c r="AC57" i="10"/>
  <c r="X58" i="10"/>
  <c r="N53" i="18"/>
  <c r="I57" i="10"/>
  <c r="U56" i="10"/>
  <c r="AD56" i="10"/>
  <c r="AI56" i="10"/>
  <c r="AI56" i="12"/>
  <c r="AD56" i="12"/>
  <c r="W59" i="12"/>
  <c r="AB58" i="12"/>
  <c r="AH58" i="12" s="1"/>
  <c r="AN58" i="12" s="1"/>
  <c r="AO56" i="9"/>
  <c r="P53" i="18"/>
  <c r="X58" i="12"/>
  <c r="AC57" i="12"/>
  <c r="AO55" i="10"/>
  <c r="AP55" i="10" s="1"/>
  <c r="AJ55" i="10"/>
  <c r="F52" i="18"/>
  <c r="Z56" i="12"/>
  <c r="W57" i="4"/>
  <c r="AB56" i="4"/>
  <c r="AH56" i="4" s="1"/>
  <c r="AN56" i="4" s="1"/>
  <c r="W57" i="11"/>
  <c r="AB56" i="11"/>
  <c r="AH56" i="11" s="1"/>
  <c r="AN56" i="11" s="1"/>
  <c r="AA55" i="11"/>
  <c r="AF55" i="11"/>
  <c r="AG54" i="10"/>
  <c r="AL54" i="10"/>
  <c r="AM54" i="10" s="1"/>
  <c r="E52" i="18"/>
  <c r="Z56" i="11"/>
  <c r="AD55" i="11"/>
  <c r="AJ55" i="4"/>
  <c r="AO55" i="4"/>
  <c r="AP55" i="4" s="1"/>
  <c r="AL54" i="9"/>
  <c r="AM54" i="9" s="1"/>
  <c r="AG54" i="9"/>
  <c r="AO55" i="11"/>
  <c r="AP55" i="11" s="1"/>
  <c r="AJ55" i="11"/>
  <c r="AB57" i="10"/>
  <c r="AH57" i="10" s="1"/>
  <c r="AN57" i="10" s="1"/>
  <c r="W58" i="10"/>
  <c r="AD55" i="4"/>
  <c r="W57" i="9"/>
  <c r="AB56" i="9"/>
  <c r="AL54" i="11"/>
  <c r="AM54" i="11" s="1"/>
  <c r="AG54" i="11"/>
  <c r="J58" i="9"/>
  <c r="V57" i="9"/>
  <c r="P58" i="4"/>
  <c r="V57" i="4"/>
  <c r="J58" i="12"/>
  <c r="V57" i="12"/>
  <c r="J58" i="11"/>
  <c r="V57" i="11"/>
  <c r="J58" i="10"/>
  <c r="V57" i="10"/>
  <c r="AL55" i="4"/>
  <c r="AM55" i="4" s="1"/>
  <c r="AG55" i="4"/>
  <c r="J62" i="4"/>
  <c r="M58" i="4"/>
  <c r="U57" i="4"/>
  <c r="Y57" i="4" s="1"/>
  <c r="AE57" i="4" s="1"/>
  <c r="AK57" i="4" s="1"/>
  <c r="I62" i="4"/>
  <c r="O87" i="12"/>
  <c r="K88" i="4"/>
  <c r="AA56" i="4" l="1"/>
  <c r="AD56" i="4"/>
  <c r="AD56" i="11"/>
  <c r="AF56" i="11"/>
  <c r="AL56" i="11" s="1"/>
  <c r="AI57" i="4"/>
  <c r="AA56" i="12"/>
  <c r="AF56" i="12"/>
  <c r="AL55" i="10"/>
  <c r="AM55" i="10" s="1"/>
  <c r="AG55" i="10"/>
  <c r="M55" i="18"/>
  <c r="AC59" i="9"/>
  <c r="X60" i="9"/>
  <c r="W58" i="4"/>
  <c r="AB57" i="4"/>
  <c r="AH57" i="4" s="1"/>
  <c r="AN57" i="4" s="1"/>
  <c r="W59" i="10"/>
  <c r="AB58" i="10"/>
  <c r="AH58" i="10" s="1"/>
  <c r="AN58" i="10" s="1"/>
  <c r="AI58" i="9"/>
  <c r="AH56" i="9"/>
  <c r="AD56" i="9"/>
  <c r="W58" i="9"/>
  <c r="AB57" i="9"/>
  <c r="L54" i="18"/>
  <c r="AC58" i="4"/>
  <c r="X59" i="4"/>
  <c r="AD57" i="12"/>
  <c r="AI57" i="12"/>
  <c r="F53" i="18"/>
  <c r="Z57" i="12"/>
  <c r="AO57" i="9"/>
  <c r="W60" i="12"/>
  <c r="AB59" i="12"/>
  <c r="AH59" i="12" s="1"/>
  <c r="AN59" i="12" s="1"/>
  <c r="AO56" i="4"/>
  <c r="AP56" i="4" s="1"/>
  <c r="AJ56" i="4"/>
  <c r="AF56" i="10"/>
  <c r="O54" i="18"/>
  <c r="X59" i="11"/>
  <c r="AC58" i="11"/>
  <c r="Z57" i="4"/>
  <c r="AA57" i="4" s="1"/>
  <c r="B53" i="18"/>
  <c r="AJ56" i="12"/>
  <c r="AO56" i="12"/>
  <c r="AP56" i="12" s="1"/>
  <c r="AO56" i="10"/>
  <c r="AP56" i="10" s="1"/>
  <c r="AJ56" i="10"/>
  <c r="AJ56" i="11"/>
  <c r="AO56" i="11"/>
  <c r="AP56" i="11" s="1"/>
  <c r="I60" i="12"/>
  <c r="AG55" i="12"/>
  <c r="AL55" i="12"/>
  <c r="AM55" i="12" s="1"/>
  <c r="D53" i="18"/>
  <c r="Z57" i="10"/>
  <c r="AI57" i="11"/>
  <c r="Y56" i="10"/>
  <c r="AE56" i="10" s="1"/>
  <c r="AK56" i="10" s="1"/>
  <c r="P54" i="18"/>
  <c r="X59" i="12"/>
  <c r="AC58" i="12"/>
  <c r="AL55" i="9"/>
  <c r="AM55" i="9" s="1"/>
  <c r="AG55" i="9"/>
  <c r="I59" i="9"/>
  <c r="U58" i="9"/>
  <c r="Y58" i="9" s="1"/>
  <c r="AE58" i="9" s="1"/>
  <c r="AK58" i="9" s="1"/>
  <c r="AG55" i="11"/>
  <c r="AL55" i="11"/>
  <c r="AM55" i="11" s="1"/>
  <c r="I58" i="10"/>
  <c r="U57" i="10"/>
  <c r="Y57" i="10" s="1"/>
  <c r="M58" i="12"/>
  <c r="U57" i="12"/>
  <c r="Y57" i="12" s="1"/>
  <c r="AE57" i="12" s="1"/>
  <c r="AK57" i="12" s="1"/>
  <c r="E53" i="18"/>
  <c r="Z57" i="11"/>
  <c r="AA56" i="9"/>
  <c r="AF56" i="9"/>
  <c r="C53" i="18"/>
  <c r="Z57" i="9"/>
  <c r="AA56" i="11"/>
  <c r="AE56" i="11"/>
  <c r="W58" i="11"/>
  <c r="AB57" i="11"/>
  <c r="AH57" i="11" s="1"/>
  <c r="AN57" i="11" s="1"/>
  <c r="AC58" i="10"/>
  <c r="X59" i="10"/>
  <c r="N54" i="18"/>
  <c r="I58" i="11"/>
  <c r="U57" i="11"/>
  <c r="Y57" i="11" s="1"/>
  <c r="AE57" i="11" s="1"/>
  <c r="AK57" i="11" s="1"/>
  <c r="AD57" i="10"/>
  <c r="AI57" i="10"/>
  <c r="AN55" i="9"/>
  <c r="AP55" i="9" s="1"/>
  <c r="AJ55" i="9"/>
  <c r="M59" i="4"/>
  <c r="U58" i="4"/>
  <c r="Y58" i="4" s="1"/>
  <c r="AE58" i="4" s="1"/>
  <c r="AK58" i="4" s="1"/>
  <c r="J59" i="10"/>
  <c r="V58" i="10"/>
  <c r="P59" i="4"/>
  <c r="V58" i="4"/>
  <c r="AL56" i="4"/>
  <c r="AM56" i="4" s="1"/>
  <c r="AG56" i="4"/>
  <c r="J63" i="4"/>
  <c r="J59" i="12"/>
  <c r="V58" i="12"/>
  <c r="I63" i="4"/>
  <c r="J59" i="11"/>
  <c r="V58" i="11"/>
  <c r="J59" i="9"/>
  <c r="V58" i="9"/>
  <c r="K89" i="4"/>
  <c r="O88" i="12"/>
  <c r="AF57" i="4" l="1"/>
  <c r="AC59" i="4"/>
  <c r="L55" i="18"/>
  <c r="X60" i="4"/>
  <c r="AI58" i="4"/>
  <c r="E54" i="18"/>
  <c r="Z58" i="11"/>
  <c r="I59" i="11"/>
  <c r="U58" i="11"/>
  <c r="Y58" i="11" s="1"/>
  <c r="AE58" i="11" s="1"/>
  <c r="AK58" i="11" s="1"/>
  <c r="I60" i="9"/>
  <c r="U59" i="9"/>
  <c r="Y59" i="9" s="1"/>
  <c r="AE59" i="9" s="1"/>
  <c r="AK59" i="9" s="1"/>
  <c r="AH57" i="9"/>
  <c r="AD57" i="9"/>
  <c r="F54" i="18"/>
  <c r="Z58" i="12"/>
  <c r="AB58" i="9"/>
  <c r="W59" i="9"/>
  <c r="AJ57" i="10"/>
  <c r="AO57" i="10"/>
  <c r="AP57" i="10" s="1"/>
  <c r="N55" i="18"/>
  <c r="AC59" i="10"/>
  <c r="X60" i="10"/>
  <c r="AI58" i="11"/>
  <c r="X60" i="11"/>
  <c r="O55" i="18"/>
  <c r="AC59" i="11"/>
  <c r="AN56" i="9"/>
  <c r="AP56" i="9" s="1"/>
  <c r="AJ56" i="9"/>
  <c r="AO58" i="9"/>
  <c r="W60" i="10"/>
  <c r="AB59" i="10"/>
  <c r="AH59" i="10" s="1"/>
  <c r="AN59" i="10" s="1"/>
  <c r="AD58" i="12"/>
  <c r="AI58" i="12"/>
  <c r="AA56" i="10"/>
  <c r="AE57" i="10"/>
  <c r="AK57" i="10" s="1"/>
  <c r="D54" i="18"/>
  <c r="Z58" i="10"/>
  <c r="AA57" i="9"/>
  <c r="AF57" i="9"/>
  <c r="AD57" i="11"/>
  <c r="W59" i="11"/>
  <c r="AB58" i="11"/>
  <c r="AH58" i="11" s="1"/>
  <c r="AN58" i="11" s="1"/>
  <c r="AG56" i="10"/>
  <c r="AL56" i="10"/>
  <c r="AM56" i="10" s="1"/>
  <c r="Z58" i="4"/>
  <c r="B54" i="18"/>
  <c r="AG56" i="11"/>
  <c r="AK56" i="11"/>
  <c r="AM56" i="11" s="1"/>
  <c r="AO57" i="11"/>
  <c r="AP57" i="11" s="1"/>
  <c r="AJ57" i="11"/>
  <c r="W59" i="4"/>
  <c r="AB58" i="4"/>
  <c r="AH58" i="4" s="1"/>
  <c r="AN58" i="4" s="1"/>
  <c r="M56" i="18"/>
  <c r="X61" i="9"/>
  <c r="AC60" i="9"/>
  <c r="AD58" i="10"/>
  <c r="AI58" i="10"/>
  <c r="AA57" i="10"/>
  <c r="AF57" i="10"/>
  <c r="W61" i="12"/>
  <c r="AB60" i="12"/>
  <c r="AH60" i="12" s="1"/>
  <c r="AN60" i="12" s="1"/>
  <c r="AL56" i="9"/>
  <c r="AM56" i="9" s="1"/>
  <c r="AG56" i="9"/>
  <c r="AI59" i="9"/>
  <c r="P55" i="18"/>
  <c r="X60" i="12"/>
  <c r="AC59" i="12"/>
  <c r="AA57" i="11"/>
  <c r="AF57" i="11"/>
  <c r="AA57" i="12"/>
  <c r="AF57" i="12"/>
  <c r="I61" i="12"/>
  <c r="AG56" i="12"/>
  <c r="AL56" i="12"/>
  <c r="AM56" i="12" s="1"/>
  <c r="M59" i="12"/>
  <c r="U58" i="12"/>
  <c r="Y58" i="12" s="1"/>
  <c r="AE58" i="12" s="1"/>
  <c r="AK58" i="12" s="1"/>
  <c r="C54" i="18"/>
  <c r="Z58" i="9"/>
  <c r="AO57" i="12"/>
  <c r="AP57" i="12" s="1"/>
  <c r="AJ57" i="12"/>
  <c r="AO57" i="4"/>
  <c r="AP57" i="4" s="1"/>
  <c r="AJ57" i="4"/>
  <c r="I59" i="10"/>
  <c r="U58" i="10"/>
  <c r="Y58" i="10" s="1"/>
  <c r="AD57" i="4"/>
  <c r="J60" i="11"/>
  <c r="V59" i="11"/>
  <c r="AG57" i="4"/>
  <c r="AL57" i="4"/>
  <c r="AM57" i="4" s="1"/>
  <c r="J60" i="12"/>
  <c r="V59" i="12"/>
  <c r="J60" i="9"/>
  <c r="V59" i="9"/>
  <c r="P60" i="4"/>
  <c r="V59" i="4"/>
  <c r="J60" i="10"/>
  <c r="V59" i="10"/>
  <c r="I64" i="4"/>
  <c r="J64" i="4"/>
  <c r="AA58" i="4"/>
  <c r="AF58" i="4"/>
  <c r="M60" i="4"/>
  <c r="U59" i="4"/>
  <c r="Y59" i="4" s="1"/>
  <c r="AE59" i="4" s="1"/>
  <c r="AK59" i="4" s="1"/>
  <c r="O89" i="12"/>
  <c r="K90" i="4"/>
  <c r="AD58" i="11" l="1"/>
  <c r="AA58" i="12"/>
  <c r="AF58" i="12"/>
  <c r="W60" i="11"/>
  <c r="AB59" i="11"/>
  <c r="AH59" i="11" s="1"/>
  <c r="AN59" i="11" s="1"/>
  <c r="AI59" i="10"/>
  <c r="AD59" i="10"/>
  <c r="AL57" i="9"/>
  <c r="AM57" i="9" s="1"/>
  <c r="AG57" i="9"/>
  <c r="W62" i="12"/>
  <c r="AB61" i="12"/>
  <c r="AH61" i="12" s="1"/>
  <c r="AN61" i="12" s="1"/>
  <c r="AA58" i="9"/>
  <c r="AF58" i="9"/>
  <c r="AL57" i="10"/>
  <c r="AM57" i="10" s="1"/>
  <c r="AG57" i="10"/>
  <c r="AA58" i="10"/>
  <c r="AF58" i="10"/>
  <c r="W60" i="9"/>
  <c r="AB59" i="9"/>
  <c r="AH58" i="9"/>
  <c r="AD58" i="9"/>
  <c r="AO58" i="10"/>
  <c r="AP58" i="10" s="1"/>
  <c r="AJ58" i="10"/>
  <c r="Z59" i="4"/>
  <c r="B55" i="18"/>
  <c r="AJ58" i="12"/>
  <c r="AO58" i="12"/>
  <c r="AP58" i="12" s="1"/>
  <c r="F55" i="18"/>
  <c r="Z59" i="12"/>
  <c r="I62" i="12"/>
  <c r="AB60" i="10"/>
  <c r="AH60" i="10" s="1"/>
  <c r="AN60" i="10" s="1"/>
  <c r="W61" i="10"/>
  <c r="I61" i="9"/>
  <c r="U60" i="9"/>
  <c r="D55" i="18"/>
  <c r="Z59" i="10"/>
  <c r="I60" i="11"/>
  <c r="U59" i="11"/>
  <c r="Y59" i="11" s="1"/>
  <c r="AE59" i="11" s="1"/>
  <c r="M60" i="12"/>
  <c r="U59" i="12"/>
  <c r="Y59" i="12" s="1"/>
  <c r="AE59" i="12" s="1"/>
  <c r="AK59" i="12" s="1"/>
  <c r="AA58" i="11"/>
  <c r="AF58" i="11"/>
  <c r="AI60" i="9"/>
  <c r="AI59" i="12"/>
  <c r="AD59" i="12"/>
  <c r="AI59" i="11"/>
  <c r="P56" i="18"/>
  <c r="X61" i="12"/>
  <c r="AC60" i="12"/>
  <c r="AD58" i="4"/>
  <c r="AL57" i="11"/>
  <c r="AM57" i="11" s="1"/>
  <c r="AG57" i="11"/>
  <c r="X61" i="11"/>
  <c r="O56" i="18"/>
  <c r="AC60" i="11"/>
  <c r="AO58" i="4"/>
  <c r="AP58" i="4" s="1"/>
  <c r="AJ58" i="4"/>
  <c r="C55" i="18"/>
  <c r="Z59" i="9"/>
  <c r="AN57" i="9"/>
  <c r="AP57" i="9" s="1"/>
  <c r="AJ57" i="9"/>
  <c r="L56" i="18"/>
  <c r="AC60" i="4"/>
  <c r="X61" i="4"/>
  <c r="AG57" i="12"/>
  <c r="AL57" i="12"/>
  <c r="AM57" i="12" s="1"/>
  <c r="AB59" i="4"/>
  <c r="AH59" i="4" s="1"/>
  <c r="AN59" i="4" s="1"/>
  <c r="W60" i="4"/>
  <c r="E55" i="18"/>
  <c r="Z59" i="11"/>
  <c r="AE58" i="10"/>
  <c r="AK58" i="10" s="1"/>
  <c r="AO59" i="9"/>
  <c r="AJ58" i="11"/>
  <c r="AO58" i="11"/>
  <c r="AP58" i="11" s="1"/>
  <c r="M57" i="18"/>
  <c r="X62" i="9"/>
  <c r="AC61" i="9"/>
  <c r="I60" i="10"/>
  <c r="U59" i="10"/>
  <c r="Y59" i="10" s="1"/>
  <c r="AE59" i="10" s="1"/>
  <c r="AK59" i="10" s="1"/>
  <c r="N56" i="18"/>
  <c r="X61" i="10"/>
  <c r="AC60" i="10"/>
  <c r="AI59" i="4"/>
  <c r="J65" i="4"/>
  <c r="AF59" i="4"/>
  <c r="AA59" i="4"/>
  <c r="J61" i="10"/>
  <c r="V60" i="10"/>
  <c r="J61" i="9"/>
  <c r="V60" i="9"/>
  <c r="M61" i="4"/>
  <c r="U60" i="4"/>
  <c r="Y60" i="4" s="1"/>
  <c r="AE60" i="4" s="1"/>
  <c r="AK60" i="4" s="1"/>
  <c r="I65" i="4"/>
  <c r="P61" i="4"/>
  <c r="V60" i="4"/>
  <c r="J61" i="12"/>
  <c r="V60" i="12"/>
  <c r="AG58" i="4"/>
  <c r="AL58" i="4"/>
  <c r="AM58" i="4" s="1"/>
  <c r="J61" i="11"/>
  <c r="V60" i="11"/>
  <c r="O90" i="12"/>
  <c r="K91" i="4"/>
  <c r="AD59" i="11" l="1"/>
  <c r="AO59" i="4"/>
  <c r="AP59" i="4" s="1"/>
  <c r="AJ59" i="4"/>
  <c r="AD60" i="10"/>
  <c r="AI60" i="10"/>
  <c r="F56" i="18"/>
  <c r="Z60" i="12"/>
  <c r="I61" i="10"/>
  <c r="U60" i="10"/>
  <c r="Y60" i="10" s="1"/>
  <c r="AE60" i="10" s="1"/>
  <c r="AK60" i="10" s="1"/>
  <c r="AK59" i="11"/>
  <c r="W61" i="9"/>
  <c r="AB60" i="9"/>
  <c r="I62" i="9"/>
  <c r="U61" i="9"/>
  <c r="Y61" i="9" s="1"/>
  <c r="E56" i="18"/>
  <c r="Z60" i="11"/>
  <c r="AA59" i="9"/>
  <c r="AF59" i="9"/>
  <c r="AI61" i="9"/>
  <c r="W62" i="10"/>
  <c r="AB61" i="10"/>
  <c r="AH61" i="10" s="1"/>
  <c r="AN61" i="10" s="1"/>
  <c r="X62" i="10"/>
  <c r="N57" i="18"/>
  <c r="AC61" i="10"/>
  <c r="AH59" i="9"/>
  <c r="AD59" i="9"/>
  <c r="W63" i="12"/>
  <c r="AB62" i="12"/>
  <c r="AH62" i="12" s="1"/>
  <c r="AN62" i="12" s="1"/>
  <c r="AG58" i="11"/>
  <c r="AL58" i="11"/>
  <c r="AM58" i="11" s="1"/>
  <c r="AA59" i="11"/>
  <c r="AF59" i="11"/>
  <c r="AL59" i="11" s="1"/>
  <c r="AI60" i="12"/>
  <c r="AD60" i="12"/>
  <c r="M61" i="12"/>
  <c r="U60" i="12"/>
  <c r="Y60" i="12" s="1"/>
  <c r="AE60" i="12" s="1"/>
  <c r="AK60" i="12" s="1"/>
  <c r="I61" i="11"/>
  <c r="U60" i="11"/>
  <c r="AG58" i="10"/>
  <c r="AL58" i="10"/>
  <c r="AM58" i="10" s="1"/>
  <c r="AL58" i="9"/>
  <c r="AM58" i="9" s="1"/>
  <c r="AG58" i="9"/>
  <c r="P57" i="18"/>
  <c r="X62" i="12"/>
  <c r="AC61" i="12"/>
  <c r="I63" i="12"/>
  <c r="Z60" i="4"/>
  <c r="AA60" i="4" s="1"/>
  <c r="B56" i="18"/>
  <c r="M58" i="18"/>
  <c r="AC62" i="9"/>
  <c r="X63" i="9"/>
  <c r="X62" i="11"/>
  <c r="AC61" i="11"/>
  <c r="O57" i="18"/>
  <c r="W61" i="4"/>
  <c r="AB60" i="4"/>
  <c r="AH60" i="4" s="1"/>
  <c r="AN60" i="4" s="1"/>
  <c r="AA59" i="12"/>
  <c r="AF59" i="12"/>
  <c r="AN58" i="9"/>
  <c r="AP58" i="9" s="1"/>
  <c r="AJ58" i="9"/>
  <c r="AJ59" i="10"/>
  <c r="AO59" i="10"/>
  <c r="AP59" i="10" s="1"/>
  <c r="AI60" i="11"/>
  <c r="C56" i="18"/>
  <c r="Z60" i="9"/>
  <c r="D56" i="18"/>
  <c r="Z60" i="10"/>
  <c r="AJ59" i="11"/>
  <c r="AO59" i="11"/>
  <c r="AP59" i="11" s="1"/>
  <c r="AB60" i="11"/>
  <c r="AH60" i="11" s="1"/>
  <c r="AN60" i="11" s="1"/>
  <c r="W61" i="11"/>
  <c r="AI60" i="4"/>
  <c r="AJ59" i="12"/>
  <c r="AO59" i="12"/>
  <c r="AP59" i="12" s="1"/>
  <c r="AL58" i="12"/>
  <c r="AM58" i="12" s="1"/>
  <c r="AG58" i="12"/>
  <c r="AA59" i="10"/>
  <c r="AF59" i="10"/>
  <c r="Y60" i="9"/>
  <c r="AE60" i="9" s="1"/>
  <c r="AK60" i="9" s="1"/>
  <c r="AD59" i="4"/>
  <c r="L57" i="18"/>
  <c r="AC61" i="4"/>
  <c r="X62" i="4"/>
  <c r="AO60" i="9"/>
  <c r="J62" i="12"/>
  <c r="V61" i="12"/>
  <c r="I66" i="4"/>
  <c r="AL59" i="4"/>
  <c r="AM59" i="4" s="1"/>
  <c r="AG59" i="4"/>
  <c r="J62" i="11"/>
  <c r="V61" i="11"/>
  <c r="P62" i="4"/>
  <c r="V61" i="4"/>
  <c r="M62" i="4"/>
  <c r="U61" i="4"/>
  <c r="Y61" i="4" s="1"/>
  <c r="AE61" i="4" s="1"/>
  <c r="AK61" i="4" s="1"/>
  <c r="J66" i="4"/>
  <c r="J62" i="9"/>
  <c r="V61" i="9"/>
  <c r="J62" i="10"/>
  <c r="V61" i="10"/>
  <c r="K92" i="4"/>
  <c r="O91" i="12"/>
  <c r="AO60" i="4" l="1"/>
  <c r="AP60" i="4" s="1"/>
  <c r="AJ60" i="4"/>
  <c r="X63" i="11"/>
  <c r="O58" i="18"/>
  <c r="AC62" i="11"/>
  <c r="AB61" i="9"/>
  <c r="W62" i="9"/>
  <c r="AB61" i="11"/>
  <c r="AH61" i="11" s="1"/>
  <c r="AN61" i="11" s="1"/>
  <c r="W62" i="11"/>
  <c r="AI62" i="9"/>
  <c r="AG59" i="11"/>
  <c r="Y61" i="11"/>
  <c r="Y60" i="11"/>
  <c r="AE60" i="11" s="1"/>
  <c r="AK60" i="11" s="1"/>
  <c r="AM59" i="11"/>
  <c r="AL59" i="9"/>
  <c r="AM59" i="9" s="1"/>
  <c r="AG59" i="9"/>
  <c r="AL59" i="12"/>
  <c r="AM59" i="12" s="1"/>
  <c r="AG59" i="12"/>
  <c r="M62" i="12"/>
  <c r="U61" i="12"/>
  <c r="Y61" i="12" s="1"/>
  <c r="AE61" i="12" s="1"/>
  <c r="AK61" i="12" s="1"/>
  <c r="AF60" i="4"/>
  <c r="AB63" i="12"/>
  <c r="AH63" i="12" s="1"/>
  <c r="AN63" i="12" s="1"/>
  <c r="W64" i="12"/>
  <c r="I62" i="10"/>
  <c r="U61" i="10"/>
  <c r="Y61" i="10" s="1"/>
  <c r="AE61" i="10" s="1"/>
  <c r="AK61" i="10" s="1"/>
  <c r="AF60" i="11"/>
  <c r="AA60" i="12"/>
  <c r="AF60" i="12"/>
  <c r="AI61" i="4"/>
  <c r="AO61" i="9"/>
  <c r="I63" i="9"/>
  <c r="U62" i="9"/>
  <c r="Y62" i="9" s="1"/>
  <c r="AH60" i="9"/>
  <c r="AD60" i="9"/>
  <c r="AD60" i="4"/>
  <c r="AA60" i="10"/>
  <c r="AF60" i="10"/>
  <c r="AN59" i="9"/>
  <c r="AP59" i="9" s="1"/>
  <c r="AJ59" i="9"/>
  <c r="C57" i="18"/>
  <c r="Z61" i="9"/>
  <c r="AO60" i="11"/>
  <c r="AP60" i="11" s="1"/>
  <c r="AJ60" i="11"/>
  <c r="I62" i="11"/>
  <c r="U61" i="11"/>
  <c r="F57" i="18"/>
  <c r="Z61" i="12"/>
  <c r="AC63" i="9"/>
  <c r="M59" i="18"/>
  <c r="X64" i="9"/>
  <c r="I64" i="12"/>
  <c r="AI61" i="10"/>
  <c r="AD61" i="10"/>
  <c r="AJ60" i="10"/>
  <c r="AO60" i="10"/>
  <c r="AP60" i="10" s="1"/>
  <c r="AE61" i="9"/>
  <c r="AK61" i="9" s="1"/>
  <c r="AL59" i="10"/>
  <c r="AM59" i="10" s="1"/>
  <c r="AG59" i="10"/>
  <c r="E57" i="18"/>
  <c r="Z61" i="11"/>
  <c r="AA60" i="9"/>
  <c r="AF60" i="9"/>
  <c r="AI61" i="12"/>
  <c r="AD61" i="12"/>
  <c r="Z61" i="4"/>
  <c r="AA61" i="4" s="1"/>
  <c r="B57" i="18"/>
  <c r="AB61" i="4"/>
  <c r="AH61" i="4" s="1"/>
  <c r="AN61" i="4" s="1"/>
  <c r="W62" i="4"/>
  <c r="AI61" i="11"/>
  <c r="D57" i="18"/>
  <c r="Z61" i="10"/>
  <c r="P58" i="18"/>
  <c r="X63" i="12"/>
  <c r="AC62" i="12"/>
  <c r="N58" i="18"/>
  <c r="X63" i="10"/>
  <c r="AC62" i="10"/>
  <c r="AB62" i="10"/>
  <c r="AH62" i="10" s="1"/>
  <c r="AN62" i="10" s="1"/>
  <c r="W63" i="10"/>
  <c r="AO60" i="12"/>
  <c r="AP60" i="12" s="1"/>
  <c r="AJ60" i="12"/>
  <c r="AC62" i="4"/>
  <c r="L58" i="18"/>
  <c r="X63" i="4"/>
  <c r="AD60" i="11"/>
  <c r="J67" i="4"/>
  <c r="M63" i="4"/>
  <c r="U62" i="4"/>
  <c r="Y62" i="4" s="1"/>
  <c r="AE62" i="4" s="1"/>
  <c r="AK62" i="4" s="1"/>
  <c r="P63" i="4"/>
  <c r="V62" i="4"/>
  <c r="J63" i="12"/>
  <c r="V62" i="12"/>
  <c r="J63" i="10"/>
  <c r="V62" i="10"/>
  <c r="J63" i="11"/>
  <c r="V62" i="11"/>
  <c r="I67" i="4"/>
  <c r="J63" i="9"/>
  <c r="V62" i="9"/>
  <c r="K93" i="4"/>
  <c r="O92" i="12"/>
  <c r="AF61" i="4" l="1"/>
  <c r="C58" i="18"/>
  <c r="Z62" i="9"/>
  <c r="AB63" i="10"/>
  <c r="AH63" i="10" s="1"/>
  <c r="AN63" i="10" s="1"/>
  <c r="W64" i="10"/>
  <c r="AA61" i="11"/>
  <c r="AF61" i="11"/>
  <c r="E58" i="18"/>
  <c r="Z62" i="11"/>
  <c r="N59" i="18"/>
  <c r="AC63" i="10"/>
  <c r="X64" i="10"/>
  <c r="D58" i="18"/>
  <c r="Z62" i="10"/>
  <c r="AI62" i="12"/>
  <c r="AD62" i="12"/>
  <c r="P59" i="18"/>
  <c r="AC63" i="12"/>
  <c r="X64" i="12"/>
  <c r="AN60" i="9"/>
  <c r="AP60" i="9" s="1"/>
  <c r="AJ60" i="9"/>
  <c r="F58" i="18"/>
  <c r="Z62" i="12"/>
  <c r="AE62" i="9"/>
  <c r="AK62" i="9" s="1"/>
  <c r="AJ61" i="10"/>
  <c r="AO61" i="10"/>
  <c r="AP61" i="10" s="1"/>
  <c r="I64" i="9"/>
  <c r="U63" i="9"/>
  <c r="Y63" i="9" s="1"/>
  <c r="AE63" i="9" s="1"/>
  <c r="AK63" i="9" s="1"/>
  <c r="AE61" i="11"/>
  <c r="AK61" i="11" s="1"/>
  <c r="I65" i="12"/>
  <c r="AO62" i="9"/>
  <c r="Z62" i="4"/>
  <c r="AF62" i="4" s="1"/>
  <c r="B58" i="18"/>
  <c r="AO61" i="11"/>
  <c r="AP61" i="11" s="1"/>
  <c r="AJ61" i="11"/>
  <c r="AD61" i="4"/>
  <c r="W63" i="11"/>
  <c r="AB62" i="11"/>
  <c r="AH62" i="11" s="1"/>
  <c r="AN62" i="11" s="1"/>
  <c r="AA61" i="12"/>
  <c r="AF61" i="12"/>
  <c r="AB62" i="9"/>
  <c r="W63" i="9"/>
  <c r="AL60" i="10"/>
  <c r="AM60" i="10" s="1"/>
  <c r="AG60" i="10"/>
  <c r="AD61" i="11"/>
  <c r="AB62" i="4"/>
  <c r="AH62" i="4" s="1"/>
  <c r="AN62" i="4" s="1"/>
  <c r="W63" i="4"/>
  <c r="AL60" i="11"/>
  <c r="AM60" i="11" s="1"/>
  <c r="AG60" i="11"/>
  <c r="AH61" i="9"/>
  <c r="AD61" i="9"/>
  <c r="AI63" i="9"/>
  <c r="AA60" i="11"/>
  <c r="AI62" i="11"/>
  <c r="M63" i="12"/>
  <c r="U62" i="12"/>
  <c r="Y62" i="12" s="1"/>
  <c r="AI62" i="10"/>
  <c r="AD62" i="10"/>
  <c r="AA61" i="10"/>
  <c r="AF61" i="10"/>
  <c r="M60" i="18"/>
  <c r="X65" i="9"/>
  <c r="AC64" i="9"/>
  <c r="AG60" i="12"/>
  <c r="AL60" i="12"/>
  <c r="AM60" i="12" s="1"/>
  <c r="L59" i="18"/>
  <c r="X64" i="4"/>
  <c r="AC63" i="4"/>
  <c r="I63" i="11"/>
  <c r="U62" i="11"/>
  <c r="Y62" i="11" s="1"/>
  <c r="I63" i="10"/>
  <c r="U62" i="10"/>
  <c r="Y62" i="10" s="1"/>
  <c r="AE62" i="10" s="1"/>
  <c r="AK62" i="10" s="1"/>
  <c r="X64" i="11"/>
  <c r="AC63" i="11"/>
  <c r="O59" i="18"/>
  <c r="AL60" i="4"/>
  <c r="AM60" i="4" s="1"/>
  <c r="AG60" i="4"/>
  <c r="AD62" i="4"/>
  <c r="AI62" i="4"/>
  <c r="AO61" i="12"/>
  <c r="AP61" i="12" s="1"/>
  <c r="AJ61" i="12"/>
  <c r="AB64" i="12"/>
  <c r="AH64" i="12" s="1"/>
  <c r="AN64" i="12" s="1"/>
  <c r="W65" i="12"/>
  <c r="AJ61" i="4"/>
  <c r="AO61" i="4"/>
  <c r="AP61" i="4" s="1"/>
  <c r="AL60" i="9"/>
  <c r="AM60" i="9" s="1"/>
  <c r="AG60" i="9"/>
  <c r="AA61" i="9"/>
  <c r="AF61" i="9"/>
  <c r="AL61" i="4"/>
  <c r="AM61" i="4" s="1"/>
  <c r="AG61" i="4"/>
  <c r="P64" i="4"/>
  <c r="V63" i="4"/>
  <c r="M64" i="4"/>
  <c r="U63" i="4"/>
  <c r="Y63" i="4" s="1"/>
  <c r="AE63" i="4" s="1"/>
  <c r="AK63" i="4" s="1"/>
  <c r="J64" i="9"/>
  <c r="V63" i="9"/>
  <c r="J64" i="11"/>
  <c r="V63" i="11"/>
  <c r="J68" i="4"/>
  <c r="I68" i="4"/>
  <c r="J64" i="10"/>
  <c r="V63" i="10"/>
  <c r="J64" i="12"/>
  <c r="V63" i="12"/>
  <c r="O93" i="12"/>
  <c r="K94" i="4"/>
  <c r="AA62" i="4" l="1"/>
  <c r="AE62" i="11"/>
  <c r="AK62" i="11" s="1"/>
  <c r="AG61" i="10"/>
  <c r="AL61" i="10"/>
  <c r="AM61" i="10" s="1"/>
  <c r="P60" i="18"/>
  <c r="X65" i="12"/>
  <c r="AC64" i="12"/>
  <c r="AA62" i="10"/>
  <c r="AF62" i="10"/>
  <c r="AO63" i="9"/>
  <c r="I64" i="10"/>
  <c r="U63" i="10"/>
  <c r="Y63" i="10" s="1"/>
  <c r="AE63" i="10" s="1"/>
  <c r="AK63" i="10" s="1"/>
  <c r="AC64" i="10"/>
  <c r="N60" i="18"/>
  <c r="X65" i="10"/>
  <c r="I64" i="11"/>
  <c r="U63" i="11"/>
  <c r="Y63" i="11" s="1"/>
  <c r="AE63" i="11" s="1"/>
  <c r="AK63" i="11" s="1"/>
  <c r="I66" i="12"/>
  <c r="AI63" i="12"/>
  <c r="AD63" i="12"/>
  <c r="AI63" i="11"/>
  <c r="F59" i="18"/>
  <c r="Z63" i="12"/>
  <c r="AI63" i="4"/>
  <c r="AA62" i="11"/>
  <c r="AF62" i="11"/>
  <c r="AL61" i="9"/>
  <c r="AM61" i="9" s="1"/>
  <c r="AG61" i="9"/>
  <c r="L60" i="18"/>
  <c r="X65" i="4"/>
  <c r="AC64" i="4"/>
  <c r="AB63" i="4"/>
  <c r="AH63" i="4" s="1"/>
  <c r="AN63" i="4" s="1"/>
  <c r="W64" i="4"/>
  <c r="U64" i="9"/>
  <c r="Y64" i="9" s="1"/>
  <c r="AE64" i="9" s="1"/>
  <c r="AK64" i="9" s="1"/>
  <c r="I65" i="9"/>
  <c r="AG61" i="11"/>
  <c r="AL61" i="11"/>
  <c r="AM61" i="11" s="1"/>
  <c r="W64" i="11"/>
  <c r="AB63" i="11"/>
  <c r="AH63" i="11" s="1"/>
  <c r="AN63" i="11" s="1"/>
  <c r="M64" i="12"/>
  <c r="U63" i="12"/>
  <c r="Y63" i="12" s="1"/>
  <c r="AD62" i="11"/>
  <c r="AI63" i="10"/>
  <c r="AD63" i="10"/>
  <c r="D59" i="18"/>
  <c r="Z63" i="10"/>
  <c r="AO62" i="12"/>
  <c r="AP62" i="12" s="1"/>
  <c r="AJ62" i="12"/>
  <c r="O60" i="18"/>
  <c r="X65" i="11"/>
  <c r="AC64" i="11"/>
  <c r="AN61" i="9"/>
  <c r="AP61" i="9" s="1"/>
  <c r="AJ61" i="9"/>
  <c r="AB64" i="10"/>
  <c r="AH64" i="10" s="1"/>
  <c r="AN64" i="10" s="1"/>
  <c r="W65" i="10"/>
  <c r="C59" i="18"/>
  <c r="Z63" i="9"/>
  <c r="AA62" i="12"/>
  <c r="AE62" i="12"/>
  <c r="AK62" i="12" s="1"/>
  <c r="AJ62" i="11"/>
  <c r="AO62" i="11"/>
  <c r="AP62" i="11" s="1"/>
  <c r="AI64" i="9"/>
  <c r="AO62" i="4"/>
  <c r="AP62" i="4" s="1"/>
  <c r="AJ62" i="4"/>
  <c r="Z63" i="4"/>
  <c r="AA63" i="4" s="1"/>
  <c r="B59" i="18"/>
  <c r="E59" i="18"/>
  <c r="Z63" i="11"/>
  <c r="AC65" i="9"/>
  <c r="X66" i="9"/>
  <c r="M61" i="18"/>
  <c r="W64" i="9"/>
  <c r="AB63" i="9"/>
  <c r="AA62" i="9"/>
  <c r="AF62" i="9"/>
  <c r="AL61" i="12"/>
  <c r="AM61" i="12" s="1"/>
  <c r="AG61" i="12"/>
  <c r="AO62" i="10"/>
  <c r="AP62" i="10" s="1"/>
  <c r="AJ62" i="10"/>
  <c r="AB65" i="12"/>
  <c r="AH65" i="12" s="1"/>
  <c r="AN65" i="12" s="1"/>
  <c r="W66" i="12"/>
  <c r="AH62" i="9"/>
  <c r="AD62" i="9"/>
  <c r="AF62" i="12"/>
  <c r="J69" i="4"/>
  <c r="J65" i="10"/>
  <c r="V64" i="10"/>
  <c r="J65" i="12"/>
  <c r="V64" i="12"/>
  <c r="J65" i="9"/>
  <c r="V64" i="9"/>
  <c r="AL62" i="4"/>
  <c r="AM62" i="4" s="1"/>
  <c r="AG62" i="4"/>
  <c r="M65" i="4"/>
  <c r="U64" i="4"/>
  <c r="Y64" i="4" s="1"/>
  <c r="AE64" i="4" s="1"/>
  <c r="AK64" i="4" s="1"/>
  <c r="I69" i="4"/>
  <c r="J65" i="11"/>
  <c r="V64" i="11"/>
  <c r="P65" i="4"/>
  <c r="V64" i="4"/>
  <c r="K95" i="4"/>
  <c r="O94" i="12"/>
  <c r="AD63" i="11" l="1"/>
  <c r="AF63" i="4"/>
  <c r="AO63" i="11"/>
  <c r="AP63" i="11" s="1"/>
  <c r="AJ63" i="11"/>
  <c r="W66" i="10"/>
  <c r="AB65" i="10"/>
  <c r="AH65" i="10" s="1"/>
  <c r="AN65" i="10" s="1"/>
  <c r="AH63" i="9"/>
  <c r="AD63" i="9"/>
  <c r="M62" i="18"/>
  <c r="X67" i="9"/>
  <c r="AC66" i="9"/>
  <c r="I65" i="10"/>
  <c r="U64" i="10"/>
  <c r="Y64" i="10" s="1"/>
  <c r="AE64" i="10" s="1"/>
  <c r="AK64" i="10" s="1"/>
  <c r="Z64" i="4"/>
  <c r="AF64" i="4" s="1"/>
  <c r="B60" i="18"/>
  <c r="AB64" i="11"/>
  <c r="AH64" i="11" s="1"/>
  <c r="AN64" i="11" s="1"/>
  <c r="W65" i="11"/>
  <c r="E60" i="18"/>
  <c r="Z64" i="11"/>
  <c r="AO63" i="12"/>
  <c r="AP63" i="12" s="1"/>
  <c r="AJ63" i="12"/>
  <c r="U65" i="9"/>
  <c r="Y65" i="9" s="1"/>
  <c r="AE65" i="9" s="1"/>
  <c r="AK65" i="9" s="1"/>
  <c r="I66" i="9"/>
  <c r="AI65" i="9"/>
  <c r="AA63" i="9"/>
  <c r="AF63" i="9"/>
  <c r="AA63" i="11"/>
  <c r="AF63" i="11"/>
  <c r="AL62" i="11"/>
  <c r="AM62" i="11" s="1"/>
  <c r="AG62" i="11"/>
  <c r="AI64" i="10"/>
  <c r="AD64" i="10"/>
  <c r="O61" i="18"/>
  <c r="X66" i="11"/>
  <c r="AC65" i="11"/>
  <c r="AA63" i="10"/>
  <c r="AF63" i="10"/>
  <c r="AL62" i="10"/>
  <c r="AM62" i="10" s="1"/>
  <c r="AG62" i="10"/>
  <c r="W65" i="9"/>
  <c r="AB64" i="9"/>
  <c r="F60" i="18"/>
  <c r="Z64" i="12"/>
  <c r="D60" i="18"/>
  <c r="Z64" i="10"/>
  <c r="AJ63" i="4"/>
  <c r="AO63" i="4"/>
  <c r="AP63" i="4" s="1"/>
  <c r="AD64" i="12"/>
  <c r="AI64" i="12"/>
  <c r="I65" i="11"/>
  <c r="U64" i="11"/>
  <c r="Y64" i="11" s="1"/>
  <c r="AE64" i="11" s="1"/>
  <c r="AK64" i="11" s="1"/>
  <c r="AJ63" i="10"/>
  <c r="AO63" i="10"/>
  <c r="AP63" i="10" s="1"/>
  <c r="AD63" i="4"/>
  <c r="P61" i="18"/>
  <c r="AC65" i="12"/>
  <c r="X66" i="12"/>
  <c r="AB66" i="12"/>
  <c r="AH66" i="12" s="1"/>
  <c r="AN66" i="12" s="1"/>
  <c r="W67" i="12"/>
  <c r="X66" i="10"/>
  <c r="N61" i="18"/>
  <c r="AC65" i="10"/>
  <c r="AG62" i="12"/>
  <c r="AL62" i="12"/>
  <c r="AM62" i="12" s="1"/>
  <c r="AA63" i="12"/>
  <c r="AF63" i="12"/>
  <c r="I67" i="12"/>
  <c r="AL62" i="9"/>
  <c r="AM62" i="9" s="1"/>
  <c r="AG62" i="9"/>
  <c r="AI64" i="11"/>
  <c r="L61" i="18"/>
  <c r="AC65" i="4"/>
  <c r="X66" i="4"/>
  <c r="AE63" i="12"/>
  <c r="AK63" i="12" s="1"/>
  <c r="W65" i="4"/>
  <c r="AB64" i="4"/>
  <c r="AH64" i="4" s="1"/>
  <c r="AN64" i="4" s="1"/>
  <c r="AI64" i="4"/>
  <c r="AD64" i="4"/>
  <c r="C60" i="18"/>
  <c r="Z64" i="9"/>
  <c r="AN62" i="9"/>
  <c r="AP62" i="9" s="1"/>
  <c r="AJ62" i="9"/>
  <c r="AO64" i="9"/>
  <c r="M65" i="12"/>
  <c r="U64" i="12"/>
  <c r="Y64" i="12" s="1"/>
  <c r="I70" i="4"/>
  <c r="J66" i="11"/>
  <c r="V65" i="11"/>
  <c r="M66" i="4"/>
  <c r="U65" i="4"/>
  <c r="Y65" i="4" s="1"/>
  <c r="AE65" i="4" s="1"/>
  <c r="AK65" i="4" s="1"/>
  <c r="J66" i="9"/>
  <c r="V65" i="9"/>
  <c r="J66" i="10"/>
  <c r="V65" i="10"/>
  <c r="P66" i="4"/>
  <c r="V65" i="4"/>
  <c r="AL63" i="4"/>
  <c r="AM63" i="4" s="1"/>
  <c r="AG63" i="4"/>
  <c r="J70" i="4"/>
  <c r="J66" i="12"/>
  <c r="V65" i="12"/>
  <c r="O95" i="12"/>
  <c r="K96" i="4"/>
  <c r="AA64" i="4" l="1"/>
  <c r="P62" i="18"/>
  <c r="AC66" i="12"/>
  <c r="X67" i="12"/>
  <c r="U65" i="10"/>
  <c r="Y65" i="10" s="1"/>
  <c r="AE65" i="10" s="1"/>
  <c r="AK65" i="10" s="1"/>
  <c r="I66" i="10"/>
  <c r="AO64" i="4"/>
  <c r="AP64" i="4" s="1"/>
  <c r="AJ64" i="4"/>
  <c r="AI65" i="11"/>
  <c r="O62" i="18"/>
  <c r="X67" i="11"/>
  <c r="AC66" i="11"/>
  <c r="X67" i="4"/>
  <c r="AC66" i="4"/>
  <c r="L62" i="18"/>
  <c r="AO64" i="10"/>
  <c r="AP64" i="10" s="1"/>
  <c r="AJ64" i="10"/>
  <c r="AI66" i="9"/>
  <c r="AA64" i="11"/>
  <c r="AF64" i="11"/>
  <c r="W68" i="12"/>
  <c r="AB67" i="12"/>
  <c r="AH67" i="12" s="1"/>
  <c r="AN67" i="12" s="1"/>
  <c r="X68" i="9"/>
  <c r="M63" i="18"/>
  <c r="AC67" i="9"/>
  <c r="AH64" i="9"/>
  <c r="AD64" i="9"/>
  <c r="Z65" i="4"/>
  <c r="B61" i="18"/>
  <c r="AI65" i="4"/>
  <c r="AA64" i="12"/>
  <c r="AF64" i="12"/>
  <c r="AI65" i="10"/>
  <c r="AD65" i="10"/>
  <c r="AA64" i="9"/>
  <c r="AF64" i="9"/>
  <c r="AI65" i="12"/>
  <c r="AD65" i="12"/>
  <c r="AB65" i="4"/>
  <c r="AH65" i="4" s="1"/>
  <c r="AN65" i="4" s="1"/>
  <c r="W66" i="4"/>
  <c r="C61" i="18"/>
  <c r="Z65" i="9"/>
  <c r="AD64" i="11"/>
  <c r="I66" i="11"/>
  <c r="U65" i="11"/>
  <c r="Y65" i="11" s="1"/>
  <c r="AE65" i="11" s="1"/>
  <c r="AK65" i="11" s="1"/>
  <c r="AG63" i="11"/>
  <c r="AL63" i="11"/>
  <c r="AM63" i="11" s="1"/>
  <c r="F61" i="18"/>
  <c r="Z65" i="12"/>
  <c r="U66" i="9"/>
  <c r="Y66" i="9" s="1"/>
  <c r="AE66" i="9" s="1"/>
  <c r="AK66" i="9" s="1"/>
  <c r="I67" i="9"/>
  <c r="AL63" i="10"/>
  <c r="AM63" i="10" s="1"/>
  <c r="AG63" i="10"/>
  <c r="AO64" i="11"/>
  <c r="AP64" i="11" s="1"/>
  <c r="AJ64" i="11"/>
  <c r="AO64" i="12"/>
  <c r="AP64" i="12" s="1"/>
  <c r="AJ64" i="12"/>
  <c r="AN63" i="9"/>
  <c r="AP63" i="9" s="1"/>
  <c r="AJ63" i="9"/>
  <c r="AB65" i="11"/>
  <c r="AH65" i="11" s="1"/>
  <c r="AN65" i="11" s="1"/>
  <c r="W66" i="11"/>
  <c r="AL63" i="9"/>
  <c r="AM63" i="9" s="1"/>
  <c r="AG63" i="9"/>
  <c r="M66" i="12"/>
  <c r="U65" i="12"/>
  <c r="Y65" i="12" s="1"/>
  <c r="AB66" i="10"/>
  <c r="AH66" i="10" s="1"/>
  <c r="AN66" i="10" s="1"/>
  <c r="W67" i="10"/>
  <c r="W66" i="9"/>
  <c r="AB65" i="9"/>
  <c r="N62" i="18"/>
  <c r="X67" i="10"/>
  <c r="AC66" i="10"/>
  <c r="D61" i="18"/>
  <c r="Z65" i="10"/>
  <c r="I68" i="12"/>
  <c r="AA64" i="10"/>
  <c r="AF64" i="10"/>
  <c r="E61" i="18"/>
  <c r="Z65" i="11"/>
  <c r="AE64" i="12"/>
  <c r="AK64" i="12" s="1"/>
  <c r="AG63" i="12"/>
  <c r="AL63" i="12"/>
  <c r="AM63" i="12" s="1"/>
  <c r="AO65" i="9"/>
  <c r="J71" i="4"/>
  <c r="AF65" i="4"/>
  <c r="AA65" i="4"/>
  <c r="P67" i="4"/>
  <c r="V66" i="4"/>
  <c r="J67" i="11"/>
  <c r="V66" i="11"/>
  <c r="J67" i="12"/>
  <c r="V66" i="12"/>
  <c r="J67" i="9"/>
  <c r="V66" i="9"/>
  <c r="M67" i="4"/>
  <c r="U66" i="4"/>
  <c r="Y66" i="4" s="1"/>
  <c r="AE66" i="4" s="1"/>
  <c r="AK66" i="4" s="1"/>
  <c r="AG64" i="4"/>
  <c r="AL64" i="4"/>
  <c r="AM64" i="4" s="1"/>
  <c r="J67" i="10"/>
  <c r="V66" i="10"/>
  <c r="I71" i="4"/>
  <c r="K97" i="4"/>
  <c r="O96" i="12"/>
  <c r="AI66" i="4" l="1"/>
  <c r="AL64" i="12"/>
  <c r="AM64" i="12" s="1"/>
  <c r="AG64" i="12"/>
  <c r="O63" i="18"/>
  <c r="AC67" i="11"/>
  <c r="X68" i="11"/>
  <c r="AB66" i="4"/>
  <c r="AH66" i="4" s="1"/>
  <c r="AN66" i="4" s="1"/>
  <c r="W67" i="4"/>
  <c r="F62" i="18"/>
  <c r="Z66" i="12"/>
  <c r="Z66" i="4"/>
  <c r="AF66" i="4" s="1"/>
  <c r="B62" i="18"/>
  <c r="AD66" i="10"/>
  <c r="AI66" i="10"/>
  <c r="AD65" i="4"/>
  <c r="AA65" i="10"/>
  <c r="AF65" i="10"/>
  <c r="AI66" i="11"/>
  <c r="AD66" i="11"/>
  <c r="AC67" i="10"/>
  <c r="N63" i="18"/>
  <c r="X68" i="10"/>
  <c r="U67" i="9"/>
  <c r="Y67" i="9" s="1"/>
  <c r="AE67" i="9" s="1"/>
  <c r="AK67" i="9" s="1"/>
  <c r="I68" i="9"/>
  <c r="AO65" i="4"/>
  <c r="AP65" i="4" s="1"/>
  <c r="AJ65" i="4"/>
  <c r="AO65" i="11"/>
  <c r="AP65" i="11" s="1"/>
  <c r="AJ65" i="11"/>
  <c r="AA65" i="11"/>
  <c r="AF65" i="11"/>
  <c r="AL64" i="10"/>
  <c r="AM64" i="10" s="1"/>
  <c r="AG64" i="10"/>
  <c r="AD65" i="11"/>
  <c r="AO66" i="9"/>
  <c r="AO65" i="12"/>
  <c r="AP65" i="12" s="1"/>
  <c r="AJ65" i="12"/>
  <c r="AH65" i="9"/>
  <c r="AD65" i="9"/>
  <c r="AA65" i="12"/>
  <c r="AF65" i="12"/>
  <c r="W67" i="9"/>
  <c r="AB66" i="9"/>
  <c r="AN64" i="9"/>
  <c r="AP64" i="9" s="1"/>
  <c r="AJ64" i="9"/>
  <c r="U66" i="10"/>
  <c r="Y66" i="10" s="1"/>
  <c r="AE66" i="10" s="1"/>
  <c r="AK66" i="10" s="1"/>
  <c r="I67" i="10"/>
  <c r="AB66" i="11"/>
  <c r="AH66" i="11" s="1"/>
  <c r="AN66" i="11" s="1"/>
  <c r="W67" i="11"/>
  <c r="C62" i="18"/>
  <c r="Z66" i="9"/>
  <c r="W68" i="10"/>
  <c r="AB67" i="10"/>
  <c r="AH67" i="10" s="1"/>
  <c r="AN67" i="10" s="1"/>
  <c r="AI67" i="9"/>
  <c r="AA65" i="9"/>
  <c r="AF65" i="9"/>
  <c r="AL64" i="9"/>
  <c r="AM64" i="9" s="1"/>
  <c r="AG64" i="9"/>
  <c r="P63" i="18"/>
  <c r="AC67" i="12"/>
  <c r="X68" i="12"/>
  <c r="AL64" i="11"/>
  <c r="AM64" i="11" s="1"/>
  <c r="AG64" i="11"/>
  <c r="E62" i="18"/>
  <c r="Z66" i="11"/>
  <c r="L63" i="18"/>
  <c r="X68" i="4"/>
  <c r="AC67" i="4"/>
  <c r="AE65" i="12"/>
  <c r="AK65" i="12" s="1"/>
  <c r="U66" i="11"/>
  <c r="Y66" i="11" s="1"/>
  <c r="AE66" i="11" s="1"/>
  <c r="AK66" i="11" s="1"/>
  <c r="I67" i="11"/>
  <c r="M64" i="18"/>
  <c r="X69" i="9"/>
  <c r="AC68" i="9"/>
  <c r="AD66" i="12"/>
  <c r="AI66" i="12"/>
  <c r="W69" i="12"/>
  <c r="AB68" i="12"/>
  <c r="AH68" i="12" s="1"/>
  <c r="AN68" i="12" s="1"/>
  <c r="I69" i="12"/>
  <c r="AJ65" i="10"/>
  <c r="AO65" i="10"/>
  <c r="AP65" i="10" s="1"/>
  <c r="D62" i="18"/>
  <c r="Z66" i="10"/>
  <c r="M67" i="12"/>
  <c r="U66" i="12"/>
  <c r="Y66" i="12" s="1"/>
  <c r="J68" i="10"/>
  <c r="V67" i="10"/>
  <c r="I72" i="4"/>
  <c r="J68" i="9"/>
  <c r="V67" i="9"/>
  <c r="AL65" i="4"/>
  <c r="AM65" i="4" s="1"/>
  <c r="AG65" i="4"/>
  <c r="M68" i="4"/>
  <c r="U67" i="4"/>
  <c r="Y67" i="4" s="1"/>
  <c r="AE67" i="4" s="1"/>
  <c r="AK67" i="4" s="1"/>
  <c r="P68" i="4"/>
  <c r="V67" i="4"/>
  <c r="J72" i="4"/>
  <c r="J68" i="12"/>
  <c r="V67" i="12"/>
  <c r="J68" i="11"/>
  <c r="V67" i="11"/>
  <c r="K98" i="4"/>
  <c r="O97" i="12"/>
  <c r="AA66" i="4" l="1"/>
  <c r="AL65" i="9"/>
  <c r="AM65" i="9" s="1"/>
  <c r="AG65" i="9"/>
  <c r="W69" i="10"/>
  <c r="AB68" i="10"/>
  <c r="AH68" i="10" s="1"/>
  <c r="AN68" i="10" s="1"/>
  <c r="AA66" i="12"/>
  <c r="AF66" i="12"/>
  <c r="U67" i="11"/>
  <c r="Y67" i="11" s="1"/>
  <c r="AE67" i="11" s="1"/>
  <c r="AK67" i="11" s="1"/>
  <c r="I68" i="11"/>
  <c r="AA66" i="9"/>
  <c r="AF66" i="9"/>
  <c r="AJ66" i="11"/>
  <c r="AO66" i="11"/>
  <c r="AP66" i="11" s="1"/>
  <c r="AB67" i="4"/>
  <c r="AH67" i="4" s="1"/>
  <c r="AN67" i="4" s="1"/>
  <c r="W68" i="4"/>
  <c r="AL65" i="12"/>
  <c r="AM65" i="12" s="1"/>
  <c r="AG65" i="12"/>
  <c r="AI67" i="10"/>
  <c r="AD67" i="10"/>
  <c r="AI68" i="9"/>
  <c r="P64" i="18"/>
  <c r="AC68" i="12"/>
  <c r="X69" i="12"/>
  <c r="AI67" i="4"/>
  <c r="X69" i="11"/>
  <c r="O64" i="18"/>
  <c r="AC68" i="11"/>
  <c r="U67" i="10"/>
  <c r="I68" i="10"/>
  <c r="AI67" i="11"/>
  <c r="AJ66" i="12"/>
  <c r="AO66" i="12"/>
  <c r="AP66" i="12" s="1"/>
  <c r="AO66" i="10"/>
  <c r="AP66" i="10" s="1"/>
  <c r="AJ66" i="10"/>
  <c r="AO67" i="9"/>
  <c r="L64" i="18"/>
  <c r="AC68" i="4"/>
  <c r="X69" i="4"/>
  <c r="I70" i="12"/>
  <c r="AA66" i="11"/>
  <c r="AF66" i="11"/>
  <c r="F63" i="18"/>
  <c r="Z67" i="12"/>
  <c r="AL65" i="10"/>
  <c r="AM65" i="10" s="1"/>
  <c r="AG65" i="10"/>
  <c r="D63" i="18"/>
  <c r="Z67" i="10"/>
  <c r="AE66" i="12"/>
  <c r="AK66" i="12" s="1"/>
  <c r="U68" i="9"/>
  <c r="Y68" i="9" s="1"/>
  <c r="AE68" i="9" s="1"/>
  <c r="AK68" i="9" s="1"/>
  <c r="I69" i="9"/>
  <c r="AD67" i="12"/>
  <c r="AI67" i="12"/>
  <c r="AN65" i="9"/>
  <c r="AP65" i="9" s="1"/>
  <c r="AJ65" i="9"/>
  <c r="W70" i="12"/>
  <c r="AB69" i="12"/>
  <c r="AH69" i="12" s="1"/>
  <c r="AN69" i="12" s="1"/>
  <c r="M65" i="18"/>
  <c r="X70" i="9"/>
  <c r="AC69" i="9"/>
  <c r="AG65" i="11"/>
  <c r="AL65" i="11"/>
  <c r="AM65" i="11" s="1"/>
  <c r="AB67" i="11"/>
  <c r="AH67" i="11" s="1"/>
  <c r="AN67" i="11" s="1"/>
  <c r="W68" i="11"/>
  <c r="E63" i="18"/>
  <c r="Z67" i="11"/>
  <c r="M68" i="12"/>
  <c r="U67" i="12"/>
  <c r="Y67" i="12" s="1"/>
  <c r="AH66" i="9"/>
  <c r="AD66" i="9"/>
  <c r="AD66" i="4"/>
  <c r="Z67" i="4"/>
  <c r="B63" i="18"/>
  <c r="C63" i="18"/>
  <c r="Z67" i="9"/>
  <c r="AA66" i="10"/>
  <c r="AF66" i="10"/>
  <c r="W68" i="9"/>
  <c r="AB67" i="9"/>
  <c r="X69" i="10"/>
  <c r="N64" i="18"/>
  <c r="AC68" i="10"/>
  <c r="AJ66" i="4"/>
  <c r="AO66" i="4"/>
  <c r="AP66" i="4" s="1"/>
  <c r="J69" i="11"/>
  <c r="V68" i="11"/>
  <c r="AA67" i="4"/>
  <c r="AF67" i="4"/>
  <c r="I73" i="4"/>
  <c r="J73" i="4"/>
  <c r="J69" i="9"/>
  <c r="V68" i="9"/>
  <c r="J69" i="12"/>
  <c r="V68" i="12"/>
  <c r="P69" i="4"/>
  <c r="V68" i="4"/>
  <c r="AG66" i="4"/>
  <c r="AL66" i="4"/>
  <c r="AM66" i="4" s="1"/>
  <c r="M69" i="4"/>
  <c r="U68" i="4"/>
  <c r="Y68" i="4" s="1"/>
  <c r="AE68" i="4" s="1"/>
  <c r="AK68" i="4" s="1"/>
  <c r="J69" i="10"/>
  <c r="V68" i="10"/>
  <c r="O98" i="12"/>
  <c r="K99" i="4"/>
  <c r="AD67" i="11" l="1"/>
  <c r="AE67" i="12"/>
  <c r="AK67" i="12" s="1"/>
  <c r="AO68" i="9"/>
  <c r="N65" i="18"/>
  <c r="AC69" i="10"/>
  <c r="X70" i="10"/>
  <c r="W69" i="9"/>
  <c r="AB68" i="9"/>
  <c r="U69" i="9"/>
  <c r="Y69" i="9" s="1"/>
  <c r="I70" i="9"/>
  <c r="AO67" i="11"/>
  <c r="AP67" i="11" s="1"/>
  <c r="AJ67" i="11"/>
  <c r="W69" i="4"/>
  <c r="AB68" i="4"/>
  <c r="AH68" i="4" s="1"/>
  <c r="AN68" i="4" s="1"/>
  <c r="E64" i="18"/>
  <c r="Z68" i="11"/>
  <c r="AL66" i="9"/>
  <c r="AM66" i="9" s="1"/>
  <c r="AG66" i="9"/>
  <c r="I71" i="12"/>
  <c r="Z68" i="4"/>
  <c r="AA68" i="4" s="1"/>
  <c r="B64" i="18"/>
  <c r="F64" i="18"/>
  <c r="Z68" i="12"/>
  <c r="U68" i="10"/>
  <c r="I69" i="10"/>
  <c r="AC70" i="9"/>
  <c r="M66" i="18"/>
  <c r="X71" i="9"/>
  <c r="AH67" i="9"/>
  <c r="AD67" i="9"/>
  <c r="AG66" i="10"/>
  <c r="AL66" i="10"/>
  <c r="AM66" i="10" s="1"/>
  <c r="AF67" i="10"/>
  <c r="Y68" i="10"/>
  <c r="Y67" i="10"/>
  <c r="U68" i="11"/>
  <c r="Y68" i="11" s="1"/>
  <c r="AE68" i="11" s="1"/>
  <c r="AK68" i="11" s="1"/>
  <c r="I69" i="11"/>
  <c r="AB70" i="12"/>
  <c r="AH70" i="12" s="1"/>
  <c r="AN70" i="12" s="1"/>
  <c r="W71" i="12"/>
  <c r="AN66" i="9"/>
  <c r="AP66" i="9" s="1"/>
  <c r="AJ66" i="9"/>
  <c r="AI68" i="11"/>
  <c r="AL66" i="12"/>
  <c r="AM66" i="12" s="1"/>
  <c r="AG66" i="12"/>
  <c r="AI68" i="10"/>
  <c r="AD68" i="10"/>
  <c r="AO67" i="10"/>
  <c r="AP67" i="10" s="1"/>
  <c r="AJ67" i="10"/>
  <c r="AA67" i="9"/>
  <c r="AF67" i="9"/>
  <c r="AO67" i="12"/>
  <c r="AP67" i="12" s="1"/>
  <c r="AJ67" i="12"/>
  <c r="M69" i="12"/>
  <c r="U68" i="12"/>
  <c r="Y68" i="12" s="1"/>
  <c r="AE68" i="12" s="1"/>
  <c r="AK68" i="12" s="1"/>
  <c r="X70" i="11"/>
  <c r="AC69" i="11"/>
  <c r="O65" i="18"/>
  <c r="AI68" i="4"/>
  <c r="AA67" i="11"/>
  <c r="AF67" i="11"/>
  <c r="AA67" i="12"/>
  <c r="AF67" i="12"/>
  <c r="AD67" i="4"/>
  <c r="AO67" i="4"/>
  <c r="AP67" i="4" s="1"/>
  <c r="AJ67" i="4"/>
  <c r="W70" i="10"/>
  <c r="AB69" i="10"/>
  <c r="AH69" i="10" s="1"/>
  <c r="AN69" i="10" s="1"/>
  <c r="AI69" i="9"/>
  <c r="L65" i="18"/>
  <c r="AC69" i="4"/>
  <c r="X70" i="4"/>
  <c r="C64" i="18"/>
  <c r="Z68" i="9"/>
  <c r="AB68" i="11"/>
  <c r="AH68" i="11" s="1"/>
  <c r="AN68" i="11" s="1"/>
  <c r="W69" i="11"/>
  <c r="AL66" i="11"/>
  <c r="AM66" i="11" s="1"/>
  <c r="AG66" i="11"/>
  <c r="X70" i="12"/>
  <c r="AC69" i="12"/>
  <c r="P65" i="18"/>
  <c r="D64" i="18"/>
  <c r="Z68" i="10"/>
  <c r="AD68" i="12"/>
  <c r="AI68" i="12"/>
  <c r="M70" i="4"/>
  <c r="U69" i="4"/>
  <c r="Y69" i="4" s="1"/>
  <c r="AE69" i="4" s="1"/>
  <c r="AK69" i="4" s="1"/>
  <c r="P70" i="4"/>
  <c r="V69" i="4"/>
  <c r="I74" i="4"/>
  <c r="J70" i="10"/>
  <c r="V69" i="10"/>
  <c r="J70" i="12"/>
  <c r="V69" i="12"/>
  <c r="J70" i="9"/>
  <c r="V69" i="9"/>
  <c r="J74" i="4"/>
  <c r="AL67" i="4"/>
  <c r="AM67" i="4" s="1"/>
  <c r="AG67" i="4"/>
  <c r="J70" i="11"/>
  <c r="V69" i="11"/>
  <c r="K100" i="4"/>
  <c r="O99" i="12"/>
  <c r="AD68" i="4" l="1"/>
  <c r="AA68" i="10"/>
  <c r="AF68" i="10"/>
  <c r="AL67" i="11"/>
  <c r="AM67" i="11" s="1"/>
  <c r="AG67" i="11"/>
  <c r="I72" i="12"/>
  <c r="AD69" i="12"/>
  <c r="AI69" i="12"/>
  <c r="AL67" i="10"/>
  <c r="AD69" i="4"/>
  <c r="AI69" i="4"/>
  <c r="AL67" i="9"/>
  <c r="AM67" i="9" s="1"/>
  <c r="AG67" i="9"/>
  <c r="E65" i="18"/>
  <c r="Z69" i="11"/>
  <c r="AI69" i="11"/>
  <c r="O66" i="18"/>
  <c r="AC70" i="11"/>
  <c r="X71" i="11"/>
  <c r="M70" i="12"/>
  <c r="U69" i="12"/>
  <c r="Y69" i="12" s="1"/>
  <c r="AE69" i="12" s="1"/>
  <c r="AK69" i="12" s="1"/>
  <c r="AF68" i="4"/>
  <c r="AL68" i="4" s="1"/>
  <c r="AM68" i="4" s="1"/>
  <c r="AN67" i="9"/>
  <c r="AP67" i="9" s="1"/>
  <c r="AJ67" i="9"/>
  <c r="U70" i="9"/>
  <c r="Y70" i="9" s="1"/>
  <c r="I71" i="9"/>
  <c r="M67" i="18"/>
  <c r="AC71" i="9"/>
  <c r="X72" i="9"/>
  <c r="AE69" i="9"/>
  <c r="AK69" i="9" s="1"/>
  <c r="AO68" i="11"/>
  <c r="AP68" i="11" s="1"/>
  <c r="AJ68" i="11"/>
  <c r="AA67" i="10"/>
  <c r="AE67" i="10"/>
  <c r="AK67" i="10" s="1"/>
  <c r="AO69" i="9"/>
  <c r="AH68" i="9"/>
  <c r="AD68" i="9"/>
  <c r="D65" i="18"/>
  <c r="Z69" i="10"/>
  <c r="AI70" i="9"/>
  <c r="W70" i="9"/>
  <c r="AB69" i="9"/>
  <c r="W70" i="4"/>
  <c r="AB69" i="4"/>
  <c r="AH69" i="4" s="1"/>
  <c r="AN69" i="4" s="1"/>
  <c r="W71" i="10"/>
  <c r="AB70" i="10"/>
  <c r="AH70" i="10" s="1"/>
  <c r="AN70" i="10" s="1"/>
  <c r="AO68" i="10"/>
  <c r="AP68" i="10" s="1"/>
  <c r="AJ68" i="10"/>
  <c r="U69" i="10"/>
  <c r="Y69" i="10" s="1"/>
  <c r="I70" i="10"/>
  <c r="AC70" i="10"/>
  <c r="X71" i="10"/>
  <c r="N66" i="18"/>
  <c r="W70" i="11"/>
  <c r="AB69" i="11"/>
  <c r="AH69" i="11" s="1"/>
  <c r="AN69" i="11" s="1"/>
  <c r="AC70" i="4"/>
  <c r="X71" i="4"/>
  <c r="L66" i="18"/>
  <c r="AI69" i="10"/>
  <c r="AD69" i="10"/>
  <c r="C65" i="18"/>
  <c r="Z69" i="9"/>
  <c r="AA69" i="9" s="1"/>
  <c r="F65" i="18"/>
  <c r="Z69" i="12"/>
  <c r="AA68" i="9"/>
  <c r="AF68" i="9"/>
  <c r="AJ68" i="4"/>
  <c r="AO68" i="4"/>
  <c r="AP68" i="4" s="1"/>
  <c r="AA68" i="11"/>
  <c r="AF68" i="11"/>
  <c r="AO68" i="12"/>
  <c r="AP68" i="12" s="1"/>
  <c r="AJ68" i="12"/>
  <c r="AA68" i="12"/>
  <c r="AF68" i="12"/>
  <c r="W72" i="12"/>
  <c r="AB71" i="12"/>
  <c r="AH71" i="12" s="1"/>
  <c r="AN71" i="12" s="1"/>
  <c r="AC70" i="12"/>
  <c r="X71" i="12"/>
  <c r="P66" i="18"/>
  <c r="U69" i="11"/>
  <c r="Y69" i="11" s="1"/>
  <c r="AE69" i="11" s="1"/>
  <c r="AK69" i="11" s="1"/>
  <c r="I70" i="11"/>
  <c r="AE68" i="10"/>
  <c r="AK68" i="10" s="1"/>
  <c r="Z69" i="4"/>
  <c r="B65" i="18"/>
  <c r="AL67" i="12"/>
  <c r="AM67" i="12" s="1"/>
  <c r="AG67" i="12"/>
  <c r="AD68" i="11"/>
  <c r="J71" i="9"/>
  <c r="V70" i="9"/>
  <c r="J75" i="4"/>
  <c r="J71" i="12"/>
  <c r="V70" i="12"/>
  <c r="J71" i="11"/>
  <c r="V70" i="11"/>
  <c r="P71" i="4"/>
  <c r="V70" i="4"/>
  <c r="J71" i="10"/>
  <c r="V70" i="10"/>
  <c r="I75" i="4"/>
  <c r="M71" i="4"/>
  <c r="U70" i="4"/>
  <c r="Y70" i="4" s="1"/>
  <c r="AE70" i="4" s="1"/>
  <c r="AK70" i="4" s="1"/>
  <c r="K101" i="4"/>
  <c r="O100" i="12"/>
  <c r="AF69" i="4" l="1"/>
  <c r="AG68" i="4"/>
  <c r="AG67" i="10"/>
  <c r="AA69" i="4"/>
  <c r="M71" i="12"/>
  <c r="U70" i="12"/>
  <c r="Y70" i="12" s="1"/>
  <c r="AE70" i="12" s="1"/>
  <c r="AK70" i="12" s="1"/>
  <c r="X72" i="11"/>
  <c r="O67" i="18"/>
  <c r="AC71" i="11"/>
  <c r="AC71" i="12"/>
  <c r="X72" i="12"/>
  <c r="P67" i="18"/>
  <c r="L67" i="18"/>
  <c r="AC71" i="4"/>
  <c r="X72" i="4"/>
  <c r="AN68" i="9"/>
  <c r="AP68" i="9" s="1"/>
  <c r="AJ68" i="9"/>
  <c r="AD69" i="11"/>
  <c r="AI70" i="12"/>
  <c r="AD70" i="12"/>
  <c r="AI70" i="4"/>
  <c r="AJ69" i="11"/>
  <c r="AO69" i="11"/>
  <c r="AP69" i="11" s="1"/>
  <c r="F66" i="18"/>
  <c r="Z70" i="12"/>
  <c r="AL68" i="12"/>
  <c r="AM68" i="12" s="1"/>
  <c r="AG68" i="12"/>
  <c r="AC71" i="10"/>
  <c r="N67" i="18"/>
  <c r="X72" i="10"/>
  <c r="U70" i="10"/>
  <c r="Y70" i="10" s="1"/>
  <c r="I71" i="10"/>
  <c r="AE69" i="10"/>
  <c r="AK69" i="10" s="1"/>
  <c r="M68" i="18"/>
  <c r="AC72" i="9"/>
  <c r="X73" i="9"/>
  <c r="AM67" i="10"/>
  <c r="AI71" i="9"/>
  <c r="AO69" i="12"/>
  <c r="AP69" i="12" s="1"/>
  <c r="AJ69" i="12"/>
  <c r="U70" i="11"/>
  <c r="Y70" i="11" s="1"/>
  <c r="AE70" i="11" s="1"/>
  <c r="AK70" i="11" s="1"/>
  <c r="I71" i="11"/>
  <c r="AO69" i="10"/>
  <c r="AP69" i="10" s="1"/>
  <c r="AJ69" i="10"/>
  <c r="AA69" i="11"/>
  <c r="AF69" i="11"/>
  <c r="AI70" i="10"/>
  <c r="AD70" i="10"/>
  <c r="AO70" i="9"/>
  <c r="E66" i="18"/>
  <c r="Z70" i="11"/>
  <c r="W72" i="10"/>
  <c r="AB71" i="10"/>
  <c r="AH71" i="10" s="1"/>
  <c r="AN71" i="10" s="1"/>
  <c r="U71" i="9"/>
  <c r="Y71" i="9" s="1"/>
  <c r="I72" i="9"/>
  <c r="I73" i="12"/>
  <c r="AA69" i="10"/>
  <c r="AF69" i="10"/>
  <c r="AI70" i="11"/>
  <c r="AD70" i="11"/>
  <c r="AL68" i="11"/>
  <c r="AM68" i="11" s="1"/>
  <c r="AG68" i="11"/>
  <c r="AL68" i="9"/>
  <c r="AM68" i="9" s="1"/>
  <c r="AG68" i="9"/>
  <c r="AE70" i="9"/>
  <c r="AK70" i="9" s="1"/>
  <c r="AB70" i="4"/>
  <c r="AH70" i="4" s="1"/>
  <c r="AN70" i="4" s="1"/>
  <c r="W71" i="4"/>
  <c r="Z70" i="4"/>
  <c r="B66" i="18"/>
  <c r="W71" i="11"/>
  <c r="AB70" i="11"/>
  <c r="AH70" i="11" s="1"/>
  <c r="AN70" i="11" s="1"/>
  <c r="C66" i="18"/>
  <c r="Z70" i="9"/>
  <c r="D66" i="18"/>
  <c r="Z70" i="10"/>
  <c r="AA69" i="12"/>
  <c r="AF69" i="12"/>
  <c r="AH69" i="9"/>
  <c r="AD69" i="9"/>
  <c r="AO69" i="4"/>
  <c r="AP69" i="4" s="1"/>
  <c r="AJ69" i="4"/>
  <c r="W71" i="9"/>
  <c r="AB70" i="9"/>
  <c r="AL68" i="10"/>
  <c r="AM68" i="10" s="1"/>
  <c r="AG68" i="10"/>
  <c r="AB72" i="12"/>
  <c r="AH72" i="12" s="1"/>
  <c r="AN72" i="12" s="1"/>
  <c r="W73" i="12"/>
  <c r="AF69" i="9"/>
  <c r="I76" i="4"/>
  <c r="M72" i="4"/>
  <c r="U71" i="4"/>
  <c r="Y71" i="4" s="1"/>
  <c r="AE71" i="4" s="1"/>
  <c r="AK71" i="4" s="1"/>
  <c r="AF70" i="4"/>
  <c r="AA70" i="4"/>
  <c r="P72" i="4"/>
  <c r="V71" i="4"/>
  <c r="J72" i="11"/>
  <c r="V71" i="11"/>
  <c r="J72" i="10"/>
  <c r="V71" i="10"/>
  <c r="AG69" i="4"/>
  <c r="AL69" i="4"/>
  <c r="AM69" i="4" s="1"/>
  <c r="J72" i="12"/>
  <c r="V71" i="12"/>
  <c r="J76" i="4"/>
  <c r="J72" i="9"/>
  <c r="V71" i="9"/>
  <c r="O101" i="12"/>
  <c r="K102" i="4"/>
  <c r="AD70" i="4" l="1"/>
  <c r="E67" i="18"/>
  <c r="Z71" i="11"/>
  <c r="AA70" i="10"/>
  <c r="AF70" i="10"/>
  <c r="U72" i="9"/>
  <c r="Y72" i="9" s="1"/>
  <c r="I73" i="9"/>
  <c r="AI72" i="9"/>
  <c r="L68" i="18"/>
  <c r="X73" i="4"/>
  <c r="AC72" i="4"/>
  <c r="AI71" i="4"/>
  <c r="AO70" i="11"/>
  <c r="AP70" i="11" s="1"/>
  <c r="AJ70" i="11"/>
  <c r="AJ70" i="12"/>
  <c r="AO70" i="12"/>
  <c r="AP70" i="12" s="1"/>
  <c r="W73" i="10"/>
  <c r="AB72" i="10"/>
  <c r="AH72" i="10" s="1"/>
  <c r="AN72" i="10" s="1"/>
  <c r="AC73" i="9"/>
  <c r="M69" i="18"/>
  <c r="X74" i="9"/>
  <c r="AA70" i="11"/>
  <c r="AF70" i="11"/>
  <c r="U71" i="10"/>
  <c r="Y71" i="10" s="1"/>
  <c r="I72" i="10"/>
  <c r="P68" i="18"/>
  <c r="X73" i="12"/>
  <c r="AC72" i="12"/>
  <c r="AG69" i="12"/>
  <c r="AL69" i="12"/>
  <c r="AM69" i="12" s="1"/>
  <c r="W72" i="11"/>
  <c r="AB71" i="11"/>
  <c r="AH71" i="11" s="1"/>
  <c r="AN71" i="11" s="1"/>
  <c r="AE70" i="10"/>
  <c r="AK70" i="10" s="1"/>
  <c r="AD71" i="12"/>
  <c r="AI71" i="12"/>
  <c r="C67" i="18"/>
  <c r="Z71" i="9"/>
  <c r="AF71" i="9" s="1"/>
  <c r="AB71" i="9"/>
  <c r="W72" i="9"/>
  <c r="AC72" i="10"/>
  <c r="N68" i="18"/>
  <c r="X73" i="10"/>
  <c r="AI71" i="11"/>
  <c r="AJ70" i="4"/>
  <c r="AO70" i="4"/>
  <c r="AP70" i="4" s="1"/>
  <c r="Z71" i="4"/>
  <c r="B67" i="18"/>
  <c r="AA70" i="9"/>
  <c r="AF70" i="9"/>
  <c r="U71" i="11"/>
  <c r="Y71" i="11" s="1"/>
  <c r="AE71" i="11" s="1"/>
  <c r="AK71" i="11" s="1"/>
  <c r="I72" i="11"/>
  <c r="F67" i="18"/>
  <c r="Z71" i="12"/>
  <c r="AG69" i="10"/>
  <c r="AL69" i="10"/>
  <c r="AM69" i="10" s="1"/>
  <c r="AO71" i="9"/>
  <c r="AN69" i="9"/>
  <c r="AP69" i="9" s="1"/>
  <c r="AJ69" i="9"/>
  <c r="AE71" i="9"/>
  <c r="AK71" i="9" s="1"/>
  <c r="AD71" i="10"/>
  <c r="AI71" i="10"/>
  <c r="O68" i="18"/>
  <c r="X73" i="11"/>
  <c r="AC72" i="11"/>
  <c r="AH70" i="9"/>
  <c r="AD70" i="9"/>
  <c r="D67" i="18"/>
  <c r="Z71" i="10"/>
  <c r="AL69" i="9"/>
  <c r="AM69" i="9" s="1"/>
  <c r="AG69" i="9"/>
  <c r="W72" i="4"/>
  <c r="AB71" i="4"/>
  <c r="AH71" i="4" s="1"/>
  <c r="AN71" i="4" s="1"/>
  <c r="AO70" i="10"/>
  <c r="AP70" i="10" s="1"/>
  <c r="AJ70" i="10"/>
  <c r="AA70" i="12"/>
  <c r="AF70" i="12"/>
  <c r="I74" i="12"/>
  <c r="AB73" i="12"/>
  <c r="AH73" i="12" s="1"/>
  <c r="AN73" i="12" s="1"/>
  <c r="W74" i="12"/>
  <c r="AL69" i="11"/>
  <c r="AM69" i="11" s="1"/>
  <c r="AG69" i="11"/>
  <c r="M72" i="12"/>
  <c r="U71" i="12"/>
  <c r="Y71" i="12" s="1"/>
  <c r="AE71" i="12" s="1"/>
  <c r="AK71" i="12" s="1"/>
  <c r="J77" i="4"/>
  <c r="J73" i="12"/>
  <c r="V72" i="12"/>
  <c r="J73" i="10"/>
  <c r="V72" i="10"/>
  <c r="J73" i="11"/>
  <c r="V72" i="11"/>
  <c r="AL70" i="4"/>
  <c r="AM70" i="4" s="1"/>
  <c r="AG70" i="4"/>
  <c r="M73" i="4"/>
  <c r="U72" i="4"/>
  <c r="Y72" i="4" s="1"/>
  <c r="AE72" i="4" s="1"/>
  <c r="AK72" i="4" s="1"/>
  <c r="J73" i="9"/>
  <c r="V72" i="9"/>
  <c r="AF71" i="4"/>
  <c r="AA71" i="4"/>
  <c r="P73" i="4"/>
  <c r="V72" i="4"/>
  <c r="I77" i="4"/>
  <c r="O102" i="12"/>
  <c r="K103" i="4"/>
  <c r="AA71" i="9" l="1"/>
  <c r="AC73" i="10"/>
  <c r="N69" i="18"/>
  <c r="X74" i="10"/>
  <c r="I75" i="12"/>
  <c r="AB72" i="9"/>
  <c r="W73" i="9"/>
  <c r="D68" i="18"/>
  <c r="Z72" i="10"/>
  <c r="AI72" i="4"/>
  <c r="U72" i="11"/>
  <c r="Y72" i="11" s="1"/>
  <c r="AE72" i="11" s="1"/>
  <c r="AK72" i="11" s="1"/>
  <c r="I73" i="11"/>
  <c r="W73" i="11"/>
  <c r="AB72" i="11"/>
  <c r="AH72" i="11" s="1"/>
  <c r="AN72" i="11" s="1"/>
  <c r="X74" i="4"/>
  <c r="L69" i="18"/>
  <c r="AC73" i="4"/>
  <c r="AO71" i="11"/>
  <c r="AP71" i="11" s="1"/>
  <c r="AJ71" i="11"/>
  <c r="AI73" i="9"/>
  <c r="W74" i="10"/>
  <c r="AB73" i="10"/>
  <c r="AH73" i="10" s="1"/>
  <c r="AN73" i="10" s="1"/>
  <c r="AJ71" i="12"/>
  <c r="AO71" i="12"/>
  <c r="AP71" i="12" s="1"/>
  <c r="AA71" i="10"/>
  <c r="AF71" i="10"/>
  <c r="AH71" i="9"/>
  <c r="AD71" i="9"/>
  <c r="AO71" i="10"/>
  <c r="AP71" i="10" s="1"/>
  <c r="AJ71" i="10"/>
  <c r="AG70" i="12"/>
  <c r="AL70" i="12"/>
  <c r="AM70" i="12" s="1"/>
  <c r="E68" i="18"/>
  <c r="Z72" i="11"/>
  <c r="AO71" i="4"/>
  <c r="AP71" i="4" s="1"/>
  <c r="AJ71" i="4"/>
  <c r="AL70" i="9"/>
  <c r="AM70" i="9" s="1"/>
  <c r="AG70" i="9"/>
  <c r="AD72" i="12"/>
  <c r="AI72" i="12"/>
  <c r="AO72" i="9"/>
  <c r="AB74" i="12"/>
  <c r="AH74" i="12" s="1"/>
  <c r="AN74" i="12" s="1"/>
  <c r="W75" i="12"/>
  <c r="W73" i="4"/>
  <c r="AB72" i="4"/>
  <c r="AH72" i="4" s="1"/>
  <c r="AN72" i="4" s="1"/>
  <c r="F68" i="18"/>
  <c r="Z72" i="12"/>
  <c r="P69" i="18"/>
  <c r="X74" i="12"/>
  <c r="AC73" i="12"/>
  <c r="U73" i="9"/>
  <c r="I74" i="9"/>
  <c r="AC74" i="9"/>
  <c r="X75" i="9"/>
  <c r="M70" i="18"/>
  <c r="C68" i="18"/>
  <c r="Z72" i="9"/>
  <c r="AD72" i="10"/>
  <c r="AI72" i="10"/>
  <c r="AN70" i="9"/>
  <c r="AP70" i="9" s="1"/>
  <c r="AJ70" i="9"/>
  <c r="AE72" i="9"/>
  <c r="AK72" i="9" s="1"/>
  <c r="AL71" i="9"/>
  <c r="AM71" i="9" s="1"/>
  <c r="AG71" i="9"/>
  <c r="U72" i="10"/>
  <c r="Y72" i="10" s="1"/>
  <c r="I73" i="10"/>
  <c r="AG70" i="10"/>
  <c r="AL70" i="10"/>
  <c r="AM70" i="10" s="1"/>
  <c r="AA71" i="12"/>
  <c r="AF71" i="12"/>
  <c r="AI72" i="11"/>
  <c r="AE71" i="10"/>
  <c r="AK71" i="10" s="1"/>
  <c r="M73" i="12"/>
  <c r="U72" i="12"/>
  <c r="Y72" i="12" s="1"/>
  <c r="AE72" i="12" s="1"/>
  <c r="AK72" i="12" s="1"/>
  <c r="O69" i="18"/>
  <c r="X74" i="11"/>
  <c r="AC73" i="11"/>
  <c r="AL70" i="11"/>
  <c r="AM70" i="11" s="1"/>
  <c r="AG70" i="11"/>
  <c r="AA71" i="11"/>
  <c r="AF71" i="11"/>
  <c r="AD71" i="4"/>
  <c r="Z72" i="4"/>
  <c r="AF72" i="4" s="1"/>
  <c r="B68" i="18"/>
  <c r="AD71" i="11"/>
  <c r="I78" i="4"/>
  <c r="P74" i="4"/>
  <c r="V73" i="4"/>
  <c r="J74" i="9"/>
  <c r="V73" i="9"/>
  <c r="M74" i="4"/>
  <c r="U73" i="4"/>
  <c r="Y73" i="4" s="1"/>
  <c r="AE73" i="4" s="1"/>
  <c r="AK73" i="4" s="1"/>
  <c r="J74" i="12"/>
  <c r="V73" i="12"/>
  <c r="AG71" i="4"/>
  <c r="AL71" i="4"/>
  <c r="AM71" i="4" s="1"/>
  <c r="J74" i="10"/>
  <c r="V73" i="10"/>
  <c r="J78" i="4"/>
  <c r="J74" i="11"/>
  <c r="V73" i="11"/>
  <c r="K104" i="4"/>
  <c r="O103" i="12"/>
  <c r="AA72" i="4" l="1"/>
  <c r="M74" i="12"/>
  <c r="U73" i="12"/>
  <c r="Y73" i="12" s="1"/>
  <c r="U74" i="9"/>
  <c r="I75" i="9"/>
  <c r="U73" i="11"/>
  <c r="Y73" i="11" s="1"/>
  <c r="AE73" i="11" s="1"/>
  <c r="AK73" i="11" s="1"/>
  <c r="I74" i="11"/>
  <c r="C69" i="18"/>
  <c r="Z73" i="9"/>
  <c r="AD72" i="11"/>
  <c r="AI73" i="12"/>
  <c r="AD73" i="12"/>
  <c r="AO72" i="4"/>
  <c r="AP72" i="4" s="1"/>
  <c r="AJ72" i="4"/>
  <c r="F69" i="18"/>
  <c r="Z73" i="12"/>
  <c r="AF73" i="12" s="1"/>
  <c r="AI74" i="9"/>
  <c r="AO72" i="11"/>
  <c r="AP72" i="11" s="1"/>
  <c r="AJ72" i="11"/>
  <c r="P70" i="18"/>
  <c r="AC74" i="12"/>
  <c r="X75" i="12"/>
  <c r="AD72" i="4"/>
  <c r="AB73" i="11"/>
  <c r="AH73" i="11" s="1"/>
  <c r="AN73" i="11" s="1"/>
  <c r="W74" i="11"/>
  <c r="AG71" i="12"/>
  <c r="AL71" i="12"/>
  <c r="AM71" i="12" s="1"/>
  <c r="AA72" i="10"/>
  <c r="AF72" i="10"/>
  <c r="D69" i="18"/>
  <c r="Z73" i="10"/>
  <c r="AA72" i="12"/>
  <c r="AF72" i="12"/>
  <c r="AN71" i="9"/>
  <c r="AP71" i="9" s="1"/>
  <c r="AJ71" i="9"/>
  <c r="AD73" i="4"/>
  <c r="AI73" i="4"/>
  <c r="L70" i="18"/>
  <c r="AC74" i="4"/>
  <c r="X75" i="4"/>
  <c r="AL71" i="10"/>
  <c r="AM71" i="10" s="1"/>
  <c r="AG71" i="10"/>
  <c r="W74" i="9"/>
  <c r="AB73" i="9"/>
  <c r="AA72" i="11"/>
  <c r="AF72" i="11"/>
  <c r="X76" i="9"/>
  <c r="M71" i="18"/>
  <c r="AC75" i="9"/>
  <c r="AH72" i="9"/>
  <c r="AD72" i="9"/>
  <c r="U73" i="10"/>
  <c r="Y73" i="10" s="1"/>
  <c r="I74" i="10"/>
  <c r="W74" i="4"/>
  <c r="AB73" i="4"/>
  <c r="AH73" i="4" s="1"/>
  <c r="AN73" i="4" s="1"/>
  <c r="I76" i="12"/>
  <c r="Z73" i="4"/>
  <c r="AA73" i="4" s="1"/>
  <c r="B69" i="18"/>
  <c r="AE72" i="10"/>
  <c r="AK72" i="10" s="1"/>
  <c r="AB75" i="12"/>
  <c r="AH75" i="12" s="1"/>
  <c r="AN75" i="12" s="1"/>
  <c r="W76" i="12"/>
  <c r="Y74" i="9"/>
  <c r="Y73" i="9"/>
  <c r="AE73" i="9" s="1"/>
  <c r="AK73" i="9" s="1"/>
  <c r="X75" i="10"/>
  <c r="N70" i="18"/>
  <c r="AC74" i="10"/>
  <c r="AL71" i="11"/>
  <c r="AM71" i="11" s="1"/>
  <c r="AG71" i="11"/>
  <c r="AJ72" i="10"/>
  <c r="AO72" i="10"/>
  <c r="AP72" i="10" s="1"/>
  <c r="AA72" i="9"/>
  <c r="AF72" i="9"/>
  <c r="O70" i="18"/>
  <c r="AC74" i="11"/>
  <c r="X75" i="11"/>
  <c r="E69" i="18"/>
  <c r="Z73" i="11"/>
  <c r="AB74" i="10"/>
  <c r="AH74" i="10" s="1"/>
  <c r="AN74" i="10" s="1"/>
  <c r="W75" i="10"/>
  <c r="AJ72" i="12"/>
  <c r="AO72" i="12"/>
  <c r="AP72" i="12" s="1"/>
  <c r="AI73" i="11"/>
  <c r="AD73" i="11"/>
  <c r="AO73" i="9"/>
  <c r="AI73" i="10"/>
  <c r="AD73" i="10"/>
  <c r="AL72" i="4"/>
  <c r="AM72" i="4" s="1"/>
  <c r="AG72" i="4"/>
  <c r="J75" i="11"/>
  <c r="V74" i="11"/>
  <c r="J75" i="10"/>
  <c r="V74" i="10"/>
  <c r="J75" i="12"/>
  <c r="V74" i="12"/>
  <c r="P75" i="4"/>
  <c r="V74" i="4"/>
  <c r="J79" i="4"/>
  <c r="M75" i="4"/>
  <c r="U74" i="4"/>
  <c r="Y74" i="4" s="1"/>
  <c r="AE74" i="4" s="1"/>
  <c r="AK74" i="4" s="1"/>
  <c r="J75" i="9"/>
  <c r="V74" i="9"/>
  <c r="I79" i="4"/>
  <c r="O104" i="12"/>
  <c r="K105" i="4"/>
  <c r="AF73" i="4" l="1"/>
  <c r="I77" i="12"/>
  <c r="D70" i="18"/>
  <c r="Z74" i="10"/>
  <c r="AA73" i="11"/>
  <c r="AF73" i="11"/>
  <c r="AG72" i="12"/>
  <c r="AL72" i="12"/>
  <c r="AM72" i="12" s="1"/>
  <c r="C70" i="18"/>
  <c r="Z74" i="9"/>
  <c r="AJ73" i="11"/>
  <c r="AO73" i="11"/>
  <c r="AP73" i="11" s="1"/>
  <c r="E70" i="18"/>
  <c r="Z74" i="11"/>
  <c r="O71" i="18"/>
  <c r="X76" i="11"/>
  <c r="AC75" i="11"/>
  <c r="AB74" i="4"/>
  <c r="AH74" i="4" s="1"/>
  <c r="AN74" i="4" s="1"/>
  <c r="W75" i="4"/>
  <c r="AO73" i="12"/>
  <c r="AP73" i="12" s="1"/>
  <c r="AJ73" i="12"/>
  <c r="Z74" i="4"/>
  <c r="AA74" i="4" s="1"/>
  <c r="B70" i="18"/>
  <c r="AA73" i="10"/>
  <c r="AF73" i="10"/>
  <c r="AE73" i="10"/>
  <c r="AK73" i="10" s="1"/>
  <c r="AA73" i="9"/>
  <c r="AF73" i="9"/>
  <c r="X76" i="12"/>
  <c r="P71" i="18"/>
  <c r="AC75" i="12"/>
  <c r="AB74" i="9"/>
  <c r="W75" i="9"/>
  <c r="F70" i="18"/>
  <c r="Z74" i="12"/>
  <c r="AL72" i="9"/>
  <c r="AM72" i="9" s="1"/>
  <c r="AG72" i="9"/>
  <c r="AG72" i="10"/>
  <c r="AL72" i="10"/>
  <c r="AM72" i="10" s="1"/>
  <c r="AH73" i="9"/>
  <c r="AD73" i="9"/>
  <c r="U74" i="10"/>
  <c r="Y74" i="10" s="1"/>
  <c r="AE74" i="10" s="1"/>
  <c r="AK74" i="10" s="1"/>
  <c r="I75" i="10"/>
  <c r="AN72" i="9"/>
  <c r="AP72" i="9" s="1"/>
  <c r="AJ72" i="9"/>
  <c r="U74" i="11"/>
  <c r="Y74" i="11" s="1"/>
  <c r="AE74" i="11" s="1"/>
  <c r="AK74" i="11" s="1"/>
  <c r="I75" i="11"/>
  <c r="AI75" i="9"/>
  <c r="AO74" i="9"/>
  <c r="AJ73" i="4"/>
  <c r="AO73" i="4"/>
  <c r="AP73" i="4" s="1"/>
  <c r="U75" i="9"/>
  <c r="Y75" i="9" s="1"/>
  <c r="I76" i="9"/>
  <c r="AC75" i="10"/>
  <c r="N71" i="18"/>
  <c r="X76" i="10"/>
  <c r="W77" i="12"/>
  <c r="AB76" i="12"/>
  <c r="AH76" i="12" s="1"/>
  <c r="AN76" i="12" s="1"/>
  <c r="AC75" i="4"/>
  <c r="X76" i="4"/>
  <c r="L71" i="18"/>
  <c r="AI74" i="4"/>
  <c r="AB75" i="10"/>
  <c r="AH75" i="10" s="1"/>
  <c r="AN75" i="10" s="1"/>
  <c r="W76" i="10"/>
  <c r="AC76" i="9"/>
  <c r="X77" i="9"/>
  <c r="M72" i="18"/>
  <c r="W75" i="11"/>
  <c r="AB74" i="11"/>
  <c r="AH74" i="11" s="1"/>
  <c r="AN74" i="11" s="1"/>
  <c r="AE74" i="9"/>
  <c r="AK74" i="9" s="1"/>
  <c r="AI74" i="11"/>
  <c r="AD74" i="11"/>
  <c r="AL72" i="11"/>
  <c r="AM72" i="11" s="1"/>
  <c r="AG72" i="11"/>
  <c r="AA73" i="12"/>
  <c r="AE73" i="12"/>
  <c r="AK73" i="12" s="1"/>
  <c r="AI74" i="12"/>
  <c r="AD74" i="12"/>
  <c r="AL73" i="12"/>
  <c r="AM73" i="12" s="1"/>
  <c r="AG73" i="12"/>
  <c r="AJ73" i="10"/>
  <c r="AO73" i="10"/>
  <c r="AP73" i="10" s="1"/>
  <c r="AD74" i="10"/>
  <c r="AI74" i="10"/>
  <c r="M75" i="12"/>
  <c r="U74" i="12"/>
  <c r="Y74" i="12" s="1"/>
  <c r="AL73" i="4"/>
  <c r="AM73" i="4" s="1"/>
  <c r="AG73" i="4"/>
  <c r="I80" i="4"/>
  <c r="J76" i="9"/>
  <c r="V75" i="9"/>
  <c r="J76" i="12"/>
  <c r="V75" i="12"/>
  <c r="J76" i="11"/>
  <c r="V75" i="11"/>
  <c r="J80" i="4"/>
  <c r="J76" i="10"/>
  <c r="V75" i="10"/>
  <c r="M76" i="4"/>
  <c r="U75" i="4"/>
  <c r="Y75" i="4" s="1"/>
  <c r="AE75" i="4" s="1"/>
  <c r="AK75" i="4" s="1"/>
  <c r="P76" i="4"/>
  <c r="V75" i="4"/>
  <c r="K106" i="4"/>
  <c r="O105" i="12"/>
  <c r="AD74" i="4" l="1"/>
  <c r="E71" i="18"/>
  <c r="Z75" i="11"/>
  <c r="AB75" i="9"/>
  <c r="W76" i="9"/>
  <c r="AE75" i="9"/>
  <c r="AK75" i="9" s="1"/>
  <c r="AH74" i="9"/>
  <c r="AD74" i="9"/>
  <c r="U75" i="10"/>
  <c r="Y75" i="10" s="1"/>
  <c r="AE75" i="10" s="1"/>
  <c r="AK75" i="10" s="1"/>
  <c r="I76" i="10"/>
  <c r="AO74" i="12"/>
  <c r="AP74" i="12" s="1"/>
  <c r="AJ74" i="12"/>
  <c r="U76" i="9"/>
  <c r="Y76" i="9" s="1"/>
  <c r="AE76" i="9" s="1"/>
  <c r="AK76" i="9" s="1"/>
  <c r="I77" i="9"/>
  <c r="AJ74" i="11"/>
  <c r="AO74" i="11"/>
  <c r="AP74" i="11" s="1"/>
  <c r="AA74" i="9"/>
  <c r="AF74" i="9"/>
  <c r="AI75" i="4"/>
  <c r="AD75" i="4"/>
  <c r="AI75" i="11"/>
  <c r="AD75" i="11"/>
  <c r="AC76" i="10"/>
  <c r="X77" i="10"/>
  <c r="N72" i="18"/>
  <c r="AI75" i="10"/>
  <c r="AD75" i="10"/>
  <c r="AI75" i="12"/>
  <c r="AD75" i="12"/>
  <c r="AN73" i="9"/>
  <c r="AP73" i="9" s="1"/>
  <c r="AJ73" i="9"/>
  <c r="D71" i="18"/>
  <c r="Z75" i="10"/>
  <c r="AB77" i="12"/>
  <c r="AH77" i="12" s="1"/>
  <c r="AN77" i="12" s="1"/>
  <c r="W78" i="12"/>
  <c r="F71" i="18"/>
  <c r="Z75" i="12"/>
  <c r="AO74" i="4"/>
  <c r="AP74" i="4" s="1"/>
  <c r="AJ74" i="4"/>
  <c r="AF74" i="4"/>
  <c r="AL74" i="4" s="1"/>
  <c r="AM74" i="4" s="1"/>
  <c r="C71" i="18"/>
  <c r="Z75" i="9"/>
  <c r="P72" i="18"/>
  <c r="X77" i="12"/>
  <c r="AC76" i="12"/>
  <c r="AC76" i="4"/>
  <c r="L72" i="18"/>
  <c r="X77" i="4"/>
  <c r="W76" i="11"/>
  <c r="AB75" i="11"/>
  <c r="AH75" i="11" s="1"/>
  <c r="AN75" i="11" s="1"/>
  <c r="AL73" i="9"/>
  <c r="AM73" i="9" s="1"/>
  <c r="AG73" i="9"/>
  <c r="AL73" i="11"/>
  <c r="AM73" i="11" s="1"/>
  <c r="AG73" i="11"/>
  <c r="AO75" i="9"/>
  <c r="AA74" i="11"/>
  <c r="AF74" i="11"/>
  <c r="AC77" i="9"/>
  <c r="M73" i="18"/>
  <c r="X78" i="9"/>
  <c r="U75" i="11"/>
  <c r="I76" i="11"/>
  <c r="AA74" i="10"/>
  <c r="AF74" i="10"/>
  <c r="Z75" i="4"/>
  <c r="AA75" i="4" s="1"/>
  <c r="B71" i="18"/>
  <c r="AE74" i="12"/>
  <c r="AK74" i="12" s="1"/>
  <c r="AI76" i="9"/>
  <c r="AG73" i="10"/>
  <c r="AL73" i="10"/>
  <c r="AM73" i="10" s="1"/>
  <c r="W76" i="4"/>
  <c r="AB75" i="4"/>
  <c r="AH75" i="4" s="1"/>
  <c r="AN75" i="4" s="1"/>
  <c r="AA74" i="12"/>
  <c r="AF74" i="12"/>
  <c r="M76" i="12"/>
  <c r="U75" i="12"/>
  <c r="Y75" i="12" s="1"/>
  <c r="AE75" i="12" s="1"/>
  <c r="AK75" i="12" s="1"/>
  <c r="AB76" i="10"/>
  <c r="AH76" i="10" s="1"/>
  <c r="AN76" i="10" s="1"/>
  <c r="W77" i="10"/>
  <c r="I78" i="12"/>
  <c r="X77" i="11"/>
  <c r="AC76" i="11"/>
  <c r="O72" i="18"/>
  <c r="AJ74" i="10"/>
  <c r="AO74" i="10"/>
  <c r="AP74" i="10" s="1"/>
  <c r="J81" i="4"/>
  <c r="P77" i="4"/>
  <c r="V76" i="4"/>
  <c r="M77" i="4"/>
  <c r="U76" i="4"/>
  <c r="Y76" i="4" s="1"/>
  <c r="AE76" i="4" s="1"/>
  <c r="AK76" i="4" s="1"/>
  <c r="I81" i="4"/>
  <c r="J77" i="9"/>
  <c r="V76" i="9"/>
  <c r="J77" i="10"/>
  <c r="V76" i="10"/>
  <c r="J77" i="11"/>
  <c r="V76" i="11"/>
  <c r="J77" i="12"/>
  <c r="V76" i="12"/>
  <c r="K107" i="4"/>
  <c r="O106" i="12"/>
  <c r="AF75" i="4" l="1"/>
  <c r="F72" i="18"/>
  <c r="Z76" i="12"/>
  <c r="AI77" i="9"/>
  <c r="E72" i="18"/>
  <c r="Z76" i="11"/>
  <c r="AB78" i="12"/>
  <c r="AH78" i="12" s="1"/>
  <c r="AN78" i="12" s="1"/>
  <c r="W79" i="12"/>
  <c r="AG74" i="12"/>
  <c r="AL74" i="12"/>
  <c r="AM74" i="12" s="1"/>
  <c r="AA75" i="10"/>
  <c r="AF75" i="10"/>
  <c r="U76" i="11"/>
  <c r="Y76" i="11" s="1"/>
  <c r="I77" i="11"/>
  <c r="D72" i="18"/>
  <c r="Z76" i="10"/>
  <c r="U76" i="10"/>
  <c r="Y76" i="10" s="1"/>
  <c r="AE76" i="10" s="1"/>
  <c r="AK76" i="10" s="1"/>
  <c r="I77" i="10"/>
  <c r="AI76" i="11"/>
  <c r="AO75" i="4"/>
  <c r="AP75" i="4" s="1"/>
  <c r="AJ75" i="4"/>
  <c r="W77" i="4"/>
  <c r="AB76" i="4"/>
  <c r="AH76" i="4" s="1"/>
  <c r="AN76" i="4" s="1"/>
  <c r="AI76" i="10"/>
  <c r="AD76" i="10"/>
  <c r="AA75" i="9"/>
  <c r="AF75" i="9"/>
  <c r="M74" i="18"/>
  <c r="AC78" i="9"/>
  <c r="X79" i="9"/>
  <c r="I79" i="12"/>
  <c r="W77" i="11"/>
  <c r="AB76" i="11"/>
  <c r="AH76" i="11" s="1"/>
  <c r="AN76" i="11" s="1"/>
  <c r="AO75" i="12"/>
  <c r="AP75" i="12" s="1"/>
  <c r="AJ75" i="12"/>
  <c r="AN74" i="9"/>
  <c r="AP74" i="9" s="1"/>
  <c r="AJ74" i="9"/>
  <c r="L73" i="18"/>
  <c r="AC77" i="4"/>
  <c r="X78" i="4"/>
  <c r="M77" i="12"/>
  <c r="U76" i="12"/>
  <c r="Y76" i="12" s="1"/>
  <c r="AE76" i="12" s="1"/>
  <c r="AK76" i="12" s="1"/>
  <c r="AG74" i="4"/>
  <c r="AO76" i="9"/>
  <c r="W77" i="9"/>
  <c r="AB76" i="9"/>
  <c r="Y75" i="11"/>
  <c r="AE75" i="11" s="1"/>
  <c r="AK75" i="11" s="1"/>
  <c r="AC77" i="11"/>
  <c r="O73" i="18"/>
  <c r="X78" i="11"/>
  <c r="AL74" i="9"/>
  <c r="AM74" i="9" s="1"/>
  <c r="AG74" i="9"/>
  <c r="W78" i="10"/>
  <c r="AB77" i="10"/>
  <c r="AH77" i="10" s="1"/>
  <c r="AN77" i="10" s="1"/>
  <c r="U77" i="9"/>
  <c r="I78" i="9"/>
  <c r="C72" i="18"/>
  <c r="Z76" i="9"/>
  <c r="Z76" i="4"/>
  <c r="AF76" i="4" s="1"/>
  <c r="B72" i="18"/>
  <c r="AI76" i="4"/>
  <c r="AD76" i="4"/>
  <c r="AO75" i="10"/>
  <c r="AP75" i="10" s="1"/>
  <c r="AJ75" i="10"/>
  <c r="AH75" i="9"/>
  <c r="AD75" i="9"/>
  <c r="AL74" i="10"/>
  <c r="AM74" i="10" s="1"/>
  <c r="AG74" i="10"/>
  <c r="AL74" i="11"/>
  <c r="AM74" i="11" s="1"/>
  <c r="AG74" i="11"/>
  <c r="AA75" i="12"/>
  <c r="AF75" i="12"/>
  <c r="AD76" i="12"/>
  <c r="AI76" i="12"/>
  <c r="AA75" i="11"/>
  <c r="AF75" i="11"/>
  <c r="AO75" i="11"/>
  <c r="AP75" i="11" s="1"/>
  <c r="AJ75" i="11"/>
  <c r="X78" i="12"/>
  <c r="P73" i="18"/>
  <c r="AC77" i="12"/>
  <c r="X78" i="10"/>
  <c r="N73" i="18"/>
  <c r="AC77" i="10"/>
  <c r="J78" i="11"/>
  <c r="V77" i="11"/>
  <c r="J78" i="10"/>
  <c r="V77" i="10"/>
  <c r="M78" i="4"/>
  <c r="U77" i="4"/>
  <c r="Y77" i="4" s="1"/>
  <c r="AE77" i="4" s="1"/>
  <c r="AK77" i="4" s="1"/>
  <c r="J78" i="12"/>
  <c r="V77" i="12"/>
  <c r="I82" i="4"/>
  <c r="P78" i="4"/>
  <c r="V77" i="4"/>
  <c r="J78" i="9"/>
  <c r="V77" i="9"/>
  <c r="J82" i="4"/>
  <c r="AL75" i="4"/>
  <c r="AM75" i="4" s="1"/>
  <c r="AG75" i="4"/>
  <c r="K108" i="4"/>
  <c r="O107" i="12"/>
  <c r="AD76" i="11" l="1"/>
  <c r="AA76" i="4"/>
  <c r="AA76" i="11"/>
  <c r="AE76" i="11"/>
  <c r="AK76" i="11" s="1"/>
  <c r="AI77" i="12"/>
  <c r="AD77" i="12"/>
  <c r="AA76" i="9"/>
  <c r="AF76" i="9"/>
  <c r="AC78" i="4"/>
  <c r="X79" i="4"/>
  <c r="L74" i="18"/>
  <c r="P74" i="18"/>
  <c r="AC78" i="12"/>
  <c r="X79" i="12"/>
  <c r="U78" i="9"/>
  <c r="Y78" i="9" s="1"/>
  <c r="AE78" i="9" s="1"/>
  <c r="AK78" i="9" s="1"/>
  <c r="I79" i="9"/>
  <c r="AL75" i="11"/>
  <c r="AM75" i="11" s="1"/>
  <c r="AG75" i="11"/>
  <c r="AG75" i="10"/>
  <c r="AL75" i="10"/>
  <c r="AM75" i="10" s="1"/>
  <c r="C73" i="18"/>
  <c r="Z77" i="9"/>
  <c r="AI77" i="11"/>
  <c r="I80" i="12"/>
  <c r="AI78" i="9"/>
  <c r="W80" i="12"/>
  <c r="AB79" i="12"/>
  <c r="AH79" i="12" s="1"/>
  <c r="AN79" i="12" s="1"/>
  <c r="AL75" i="9"/>
  <c r="AM75" i="9" s="1"/>
  <c r="AG75" i="9"/>
  <c r="AF76" i="11"/>
  <c r="U77" i="10"/>
  <c r="Y77" i="10" s="1"/>
  <c r="AE77" i="10" s="1"/>
  <c r="AK77" i="10" s="1"/>
  <c r="I78" i="10"/>
  <c r="AA76" i="10"/>
  <c r="AF76" i="10"/>
  <c r="AO76" i="12"/>
  <c r="AP76" i="12" s="1"/>
  <c r="AJ76" i="12"/>
  <c r="M75" i="18"/>
  <c r="X80" i="9"/>
  <c r="AC79" i="9"/>
  <c r="O74" i="18"/>
  <c r="X79" i="11"/>
  <c r="AC78" i="11"/>
  <c r="W78" i="9"/>
  <c r="AB77" i="9"/>
  <c r="AN75" i="9"/>
  <c r="AP75" i="9" s="1"/>
  <c r="AJ75" i="9"/>
  <c r="AI77" i="4"/>
  <c r="AI77" i="10"/>
  <c r="AD77" i="10"/>
  <c r="AJ76" i="10"/>
  <c r="AO76" i="10"/>
  <c r="AP76" i="10" s="1"/>
  <c r="AO77" i="9"/>
  <c r="E73" i="18"/>
  <c r="Z77" i="11"/>
  <c r="AF77" i="11" s="1"/>
  <c r="AL77" i="11" s="1"/>
  <c r="Y77" i="9"/>
  <c r="AE77" i="9" s="1"/>
  <c r="AK77" i="9" s="1"/>
  <c r="AB78" i="10"/>
  <c r="AH78" i="10" s="1"/>
  <c r="AN78" i="10" s="1"/>
  <c r="W79" i="10"/>
  <c r="W78" i="11"/>
  <c r="AB77" i="11"/>
  <c r="AH77" i="11" s="1"/>
  <c r="AN77" i="11" s="1"/>
  <c r="AJ76" i="4"/>
  <c r="AO76" i="4"/>
  <c r="AP76" i="4" s="1"/>
  <c r="AA76" i="12"/>
  <c r="AF76" i="12"/>
  <c r="AO76" i="11"/>
  <c r="AP76" i="11" s="1"/>
  <c r="AJ76" i="11"/>
  <c r="U77" i="11"/>
  <c r="Y77" i="11" s="1"/>
  <c r="I78" i="11"/>
  <c r="AL75" i="12"/>
  <c r="AM75" i="12" s="1"/>
  <c r="AG75" i="12"/>
  <c r="Z77" i="4"/>
  <c r="B73" i="18"/>
  <c r="AH76" i="9"/>
  <c r="AD76" i="9"/>
  <c r="F73" i="18"/>
  <c r="Z77" i="12"/>
  <c r="D73" i="18"/>
  <c r="Z77" i="10"/>
  <c r="N74" i="18"/>
  <c r="X79" i="10"/>
  <c r="AC78" i="10"/>
  <c r="M78" i="12"/>
  <c r="U77" i="12"/>
  <c r="Y77" i="12" s="1"/>
  <c r="AE77" i="12" s="1"/>
  <c r="AK77" i="12" s="1"/>
  <c r="AB77" i="4"/>
  <c r="AH77" i="4" s="1"/>
  <c r="AN77" i="4" s="1"/>
  <c r="W78" i="4"/>
  <c r="AG76" i="4"/>
  <c r="AL76" i="4"/>
  <c r="AM76" i="4" s="1"/>
  <c r="J79" i="10"/>
  <c r="V78" i="10"/>
  <c r="J83" i="4"/>
  <c r="J79" i="9"/>
  <c r="V78" i="9"/>
  <c r="P79" i="4"/>
  <c r="V78" i="4"/>
  <c r="J79" i="12"/>
  <c r="V78" i="12"/>
  <c r="M79" i="4"/>
  <c r="U78" i="4"/>
  <c r="Y78" i="4" s="1"/>
  <c r="AE78" i="4" s="1"/>
  <c r="AK78" i="4" s="1"/>
  <c r="AA77" i="4"/>
  <c r="AF77" i="4"/>
  <c r="I83" i="4"/>
  <c r="J79" i="11"/>
  <c r="V78" i="11"/>
  <c r="K109" i="4"/>
  <c r="O108" i="12"/>
  <c r="AD77" i="11" l="1"/>
  <c r="AO77" i="11"/>
  <c r="AP77" i="11" s="1"/>
  <c r="AJ77" i="11"/>
  <c r="AB78" i="11"/>
  <c r="AH78" i="11" s="1"/>
  <c r="AN78" i="11" s="1"/>
  <c r="W79" i="11"/>
  <c r="E74" i="18"/>
  <c r="Z78" i="11"/>
  <c r="AF78" i="11" s="1"/>
  <c r="N75" i="18"/>
  <c r="AC79" i="10"/>
  <c r="X80" i="10"/>
  <c r="W80" i="10"/>
  <c r="AB79" i="10"/>
  <c r="AH79" i="10" s="1"/>
  <c r="AN79" i="10" s="1"/>
  <c r="AI79" i="9"/>
  <c r="AD78" i="10"/>
  <c r="AI78" i="10"/>
  <c r="M76" i="18"/>
  <c r="X81" i="9"/>
  <c r="AC80" i="9"/>
  <c r="AA77" i="10"/>
  <c r="AF77" i="10"/>
  <c r="AA77" i="12"/>
  <c r="AF77" i="12"/>
  <c r="AC79" i="12"/>
  <c r="P75" i="18"/>
  <c r="X80" i="12"/>
  <c r="F74" i="18"/>
  <c r="Z78" i="12"/>
  <c r="AN76" i="9"/>
  <c r="AP76" i="9" s="1"/>
  <c r="AJ76" i="9"/>
  <c r="U78" i="10"/>
  <c r="Y78" i="10" s="1"/>
  <c r="AE78" i="10" s="1"/>
  <c r="AK78" i="10" s="1"/>
  <c r="I79" i="10"/>
  <c r="AI78" i="12"/>
  <c r="AD78" i="12"/>
  <c r="AG76" i="10"/>
  <c r="AL76" i="10"/>
  <c r="AM76" i="10" s="1"/>
  <c r="Z78" i="4"/>
  <c r="AA78" i="4" s="1"/>
  <c r="B74" i="18"/>
  <c r="AG76" i="11"/>
  <c r="AL76" i="11"/>
  <c r="AM76" i="11" s="1"/>
  <c r="AC79" i="4"/>
  <c r="X80" i="4"/>
  <c r="L75" i="18"/>
  <c r="AO77" i="10"/>
  <c r="AP77" i="10" s="1"/>
  <c r="AJ77" i="10"/>
  <c r="AI78" i="4"/>
  <c r="AA77" i="9"/>
  <c r="AF77" i="9"/>
  <c r="U78" i="11"/>
  <c r="I79" i="11"/>
  <c r="AJ77" i="4"/>
  <c r="AO77" i="4"/>
  <c r="AP77" i="4" s="1"/>
  <c r="AL76" i="9"/>
  <c r="AM76" i="9" s="1"/>
  <c r="AG76" i="9"/>
  <c r="AA77" i="11"/>
  <c r="AE77" i="11"/>
  <c r="AD77" i="4"/>
  <c r="AB80" i="12"/>
  <c r="AH80" i="12" s="1"/>
  <c r="AN80" i="12" s="1"/>
  <c r="W81" i="12"/>
  <c r="O75" i="18"/>
  <c r="X80" i="11"/>
  <c r="AC79" i="11"/>
  <c r="C74" i="18"/>
  <c r="Z78" i="9"/>
  <c r="D74" i="18"/>
  <c r="Z78" i="10"/>
  <c r="AO78" i="9"/>
  <c r="M79" i="12"/>
  <c r="U78" i="12"/>
  <c r="Y78" i="12" s="1"/>
  <c r="AE78" i="12" s="1"/>
  <c r="AK78" i="12" s="1"/>
  <c r="U79" i="9"/>
  <c r="Y79" i="9" s="1"/>
  <c r="AE79" i="9" s="1"/>
  <c r="AK79" i="9" s="1"/>
  <c r="I80" i="9"/>
  <c r="AJ77" i="12"/>
  <c r="AO77" i="12"/>
  <c r="AP77" i="12" s="1"/>
  <c r="AL76" i="12"/>
  <c r="AM76" i="12" s="1"/>
  <c r="AG76" i="12"/>
  <c r="AH77" i="9"/>
  <c r="AD77" i="9"/>
  <c r="I81" i="12"/>
  <c r="AD78" i="11"/>
  <c r="AI78" i="11"/>
  <c r="W79" i="4"/>
  <c r="AB78" i="4"/>
  <c r="AH78" i="4" s="1"/>
  <c r="AN78" i="4" s="1"/>
  <c r="AB78" i="9"/>
  <c r="W79" i="9"/>
  <c r="J80" i="11"/>
  <c r="V79" i="11"/>
  <c r="M80" i="4"/>
  <c r="U79" i="4"/>
  <c r="Y79" i="4" s="1"/>
  <c r="AE79" i="4" s="1"/>
  <c r="AK79" i="4" s="1"/>
  <c r="J80" i="10"/>
  <c r="V79" i="10"/>
  <c r="AL77" i="4"/>
  <c r="AM77" i="4" s="1"/>
  <c r="AG77" i="4"/>
  <c r="J80" i="12"/>
  <c r="V79" i="12"/>
  <c r="P80" i="4"/>
  <c r="V79" i="4"/>
  <c r="I84" i="4"/>
  <c r="J80" i="9"/>
  <c r="V79" i="9"/>
  <c r="J84" i="4"/>
  <c r="O109" i="12"/>
  <c r="W80" i="4" l="1"/>
  <c r="AB79" i="4"/>
  <c r="AH79" i="4" s="1"/>
  <c r="AN79" i="4" s="1"/>
  <c r="AN77" i="9"/>
  <c r="AP77" i="9" s="1"/>
  <c r="AJ77" i="9"/>
  <c r="AJ78" i="12"/>
  <c r="AO78" i="12"/>
  <c r="AP78" i="12" s="1"/>
  <c r="AO79" i="9"/>
  <c r="AB80" i="10"/>
  <c r="AH80" i="10" s="1"/>
  <c r="AN80" i="10" s="1"/>
  <c r="W81" i="10"/>
  <c r="AG77" i="10"/>
  <c r="AL77" i="10"/>
  <c r="AM77" i="10" s="1"/>
  <c r="AJ78" i="10"/>
  <c r="AO78" i="10"/>
  <c r="AP78" i="10" s="1"/>
  <c r="N76" i="18"/>
  <c r="X81" i="10"/>
  <c r="AC80" i="10"/>
  <c r="AD79" i="4"/>
  <c r="AI79" i="4"/>
  <c r="U80" i="9"/>
  <c r="Y80" i="9" s="1"/>
  <c r="AE80" i="9" s="1"/>
  <c r="AK80" i="9" s="1"/>
  <c r="I81" i="9"/>
  <c r="U79" i="11"/>
  <c r="Y79" i="11" s="1"/>
  <c r="I80" i="11"/>
  <c r="AD79" i="10"/>
  <c r="AI79" i="10"/>
  <c r="X81" i="4"/>
  <c r="L76" i="18"/>
  <c r="AC80" i="4"/>
  <c r="AJ78" i="11"/>
  <c r="AO78" i="11"/>
  <c r="AP78" i="11" s="1"/>
  <c r="I82" i="12"/>
  <c r="Y78" i="11"/>
  <c r="AL77" i="9"/>
  <c r="AM77" i="9" s="1"/>
  <c r="AG77" i="9"/>
  <c r="AA78" i="12"/>
  <c r="AF78" i="12"/>
  <c r="AL78" i="11"/>
  <c r="M80" i="12"/>
  <c r="U79" i="12"/>
  <c r="Y79" i="12" s="1"/>
  <c r="AE79" i="12" s="1"/>
  <c r="AK79" i="12" s="1"/>
  <c r="AH78" i="9"/>
  <c r="AD78" i="9"/>
  <c r="AI79" i="11"/>
  <c r="O76" i="18"/>
  <c r="AC80" i="11"/>
  <c r="X81" i="11"/>
  <c r="U79" i="10"/>
  <c r="Y79" i="10" s="1"/>
  <c r="AE79" i="10" s="1"/>
  <c r="AK79" i="10" s="1"/>
  <c r="I80" i="10"/>
  <c r="C75" i="18"/>
  <c r="Z79" i="9"/>
  <c r="AF78" i="4"/>
  <c r="AG78" i="4" s="1"/>
  <c r="AD78" i="4"/>
  <c r="X81" i="12"/>
  <c r="P76" i="18"/>
  <c r="AC80" i="12"/>
  <c r="W80" i="11"/>
  <c r="AB79" i="11"/>
  <c r="AH79" i="11" s="1"/>
  <c r="AN79" i="11" s="1"/>
  <c r="AJ78" i="4"/>
  <c r="AO78" i="4"/>
  <c r="AP78" i="4" s="1"/>
  <c r="AC81" i="9"/>
  <c r="M77" i="18"/>
  <c r="X82" i="9"/>
  <c r="Z79" i="4"/>
  <c r="AF79" i="4" s="1"/>
  <c r="B75" i="18"/>
  <c r="AA78" i="10"/>
  <c r="AF78" i="10"/>
  <c r="AD79" i="12"/>
  <c r="AI79" i="12"/>
  <c r="D75" i="18"/>
  <c r="Z79" i="10"/>
  <c r="AI80" i="9"/>
  <c r="E75" i="18"/>
  <c r="Z79" i="11"/>
  <c r="AG77" i="11"/>
  <c r="AK77" i="11"/>
  <c r="AM77" i="11" s="1"/>
  <c r="AG77" i="12"/>
  <c r="AL77" i="12"/>
  <c r="AM77" i="12" s="1"/>
  <c r="W82" i="12"/>
  <c r="AB81" i="12"/>
  <c r="AH81" i="12" s="1"/>
  <c r="AN81" i="12" s="1"/>
  <c r="F75" i="18"/>
  <c r="Z79" i="12"/>
  <c r="W80" i="9"/>
  <c r="AB79" i="9"/>
  <c r="AA78" i="9"/>
  <c r="AF78" i="9"/>
  <c r="J81" i="10"/>
  <c r="V80" i="10"/>
  <c r="M81" i="4"/>
  <c r="U80" i="4"/>
  <c r="Y80" i="4" s="1"/>
  <c r="AE80" i="4" s="1"/>
  <c r="AK80" i="4" s="1"/>
  <c r="J81" i="9"/>
  <c r="V80" i="9"/>
  <c r="AL78" i="4"/>
  <c r="AM78" i="4" s="1"/>
  <c r="P81" i="4"/>
  <c r="V80" i="4"/>
  <c r="J81" i="12"/>
  <c r="V80" i="12"/>
  <c r="J85" i="4"/>
  <c r="I85" i="4"/>
  <c r="J81" i="11"/>
  <c r="V80" i="11"/>
  <c r="AA79" i="4" l="1"/>
  <c r="AN78" i="9"/>
  <c r="AP78" i="9" s="1"/>
  <c r="AJ78" i="9"/>
  <c r="W81" i="11"/>
  <c r="AB80" i="11"/>
  <c r="AH80" i="11" s="1"/>
  <c r="AN80" i="11" s="1"/>
  <c r="AO80" i="9"/>
  <c r="AA79" i="9"/>
  <c r="AF79" i="9"/>
  <c r="I83" i="12"/>
  <c r="AB81" i="10"/>
  <c r="AH81" i="10" s="1"/>
  <c r="AN81" i="10" s="1"/>
  <c r="W82" i="10"/>
  <c r="Z80" i="4"/>
  <c r="AA80" i="4" s="1"/>
  <c r="B76" i="18"/>
  <c r="AA79" i="10"/>
  <c r="AF79" i="10"/>
  <c r="W83" i="12"/>
  <c r="AB82" i="12"/>
  <c r="AH82" i="12" s="1"/>
  <c r="AN82" i="12" s="1"/>
  <c r="E76" i="18"/>
  <c r="Z80" i="11"/>
  <c r="AD80" i="12"/>
  <c r="AI80" i="12"/>
  <c r="U81" i="9"/>
  <c r="I82" i="9"/>
  <c r="X82" i="11"/>
  <c r="AC81" i="11"/>
  <c r="O77" i="18"/>
  <c r="AI80" i="4"/>
  <c r="AI81" i="9"/>
  <c r="AG78" i="12"/>
  <c r="AL78" i="12"/>
  <c r="AM78" i="12" s="1"/>
  <c r="AL78" i="10"/>
  <c r="AM78" i="10" s="1"/>
  <c r="AG78" i="10"/>
  <c r="AI80" i="11"/>
  <c r="AD80" i="11"/>
  <c r="AA79" i="12"/>
  <c r="AF79" i="12"/>
  <c r="M81" i="12"/>
  <c r="U80" i="12"/>
  <c r="Y80" i="12" s="1"/>
  <c r="AE80" i="12" s="1"/>
  <c r="AK80" i="12" s="1"/>
  <c r="L77" i="18"/>
  <c r="X82" i="4"/>
  <c r="AC81" i="4"/>
  <c r="F76" i="18"/>
  <c r="Z80" i="12"/>
  <c r="U80" i="10"/>
  <c r="I81" i="10"/>
  <c r="AJ79" i="12"/>
  <c r="AO79" i="12"/>
  <c r="AP79" i="12" s="1"/>
  <c r="C76" i="18"/>
  <c r="Z80" i="9"/>
  <c r="AL78" i="9"/>
  <c r="AM78" i="9" s="1"/>
  <c r="AG78" i="9"/>
  <c r="AD79" i="11"/>
  <c r="AO79" i="10"/>
  <c r="AP79" i="10" s="1"/>
  <c r="AJ79" i="10"/>
  <c r="AB80" i="9"/>
  <c r="W81" i="9"/>
  <c r="X82" i="12"/>
  <c r="AC81" i="12"/>
  <c r="P77" i="18"/>
  <c r="AA79" i="11"/>
  <c r="AF79" i="11"/>
  <c r="D76" i="18"/>
  <c r="Z80" i="10"/>
  <c r="AJ79" i="11"/>
  <c r="AO79" i="11"/>
  <c r="AP79" i="11" s="1"/>
  <c r="AO79" i="4"/>
  <c r="AP79" i="4" s="1"/>
  <c r="AJ79" i="4"/>
  <c r="AI80" i="10"/>
  <c r="AD80" i="10"/>
  <c r="N77" i="18"/>
  <c r="AC81" i="10"/>
  <c r="X82" i="10"/>
  <c r="AA78" i="11"/>
  <c r="AE78" i="11"/>
  <c r="AH79" i="9"/>
  <c r="AD79" i="9"/>
  <c r="M78" i="18"/>
  <c r="X83" i="9"/>
  <c r="AC82" i="9"/>
  <c r="U80" i="11"/>
  <c r="Y80" i="11" s="1"/>
  <c r="I81" i="11"/>
  <c r="W81" i="4"/>
  <c r="AB80" i="4"/>
  <c r="AH80" i="4" s="1"/>
  <c r="AN80" i="4" s="1"/>
  <c r="J82" i="12"/>
  <c r="V81" i="12"/>
  <c r="J82" i="11"/>
  <c r="V81" i="11"/>
  <c r="J86" i="4"/>
  <c r="J82" i="9"/>
  <c r="V81" i="9"/>
  <c r="I86" i="4"/>
  <c r="J82" i="10"/>
  <c r="V81" i="10"/>
  <c r="M82" i="4"/>
  <c r="U81" i="4"/>
  <c r="Y81" i="4" s="1"/>
  <c r="AE81" i="4" s="1"/>
  <c r="AK81" i="4" s="1"/>
  <c r="P82" i="4"/>
  <c r="V81" i="4"/>
  <c r="AG79" i="4"/>
  <c r="AL79" i="4"/>
  <c r="AM79" i="4" s="1"/>
  <c r="AD80" i="4" l="1"/>
  <c r="AI82" i="9"/>
  <c r="AD81" i="10"/>
  <c r="AI81" i="10"/>
  <c r="AA80" i="9"/>
  <c r="AF80" i="9"/>
  <c r="AO81" i="9"/>
  <c r="Z81" i="4"/>
  <c r="AF81" i="4" s="1"/>
  <c r="B77" i="18"/>
  <c r="AA80" i="11"/>
  <c r="AF80" i="11"/>
  <c r="P78" i="18"/>
  <c r="X83" i="12"/>
  <c r="AC82" i="12"/>
  <c r="D77" i="18"/>
  <c r="Z81" i="10"/>
  <c r="AJ80" i="11"/>
  <c r="AO80" i="11"/>
  <c r="AP80" i="11" s="1"/>
  <c r="AL79" i="9"/>
  <c r="AM79" i="9" s="1"/>
  <c r="AG79" i="9"/>
  <c r="AN79" i="9"/>
  <c r="AP79" i="9" s="1"/>
  <c r="AJ79" i="9"/>
  <c r="AB82" i="10"/>
  <c r="AH82" i="10" s="1"/>
  <c r="AN82" i="10" s="1"/>
  <c r="W83" i="10"/>
  <c r="AO80" i="4"/>
  <c r="AP80" i="4" s="1"/>
  <c r="AJ80" i="4"/>
  <c r="AF80" i="4"/>
  <c r="E77" i="18"/>
  <c r="Z81" i="11"/>
  <c r="AO80" i="10"/>
  <c r="AP80" i="10" s="1"/>
  <c r="AJ80" i="10"/>
  <c r="M82" i="12"/>
  <c r="U81" i="12"/>
  <c r="Y81" i="12" s="1"/>
  <c r="AE81" i="12" s="1"/>
  <c r="AK81" i="12" s="1"/>
  <c r="AI81" i="12"/>
  <c r="AD81" i="12"/>
  <c r="C77" i="18"/>
  <c r="Z81" i="9"/>
  <c r="F77" i="18"/>
  <c r="Z81" i="12"/>
  <c r="U81" i="10"/>
  <c r="Y81" i="10" s="1"/>
  <c r="AE81" i="10" s="1"/>
  <c r="AK81" i="10" s="1"/>
  <c r="I82" i="10"/>
  <c r="AI81" i="11"/>
  <c r="W82" i="9"/>
  <c r="AB81" i="9"/>
  <c r="Y80" i="10"/>
  <c r="AE80" i="10" s="1"/>
  <c r="AK80" i="10" s="1"/>
  <c r="O78" i="18"/>
  <c r="AC82" i="11"/>
  <c r="X83" i="11"/>
  <c r="W84" i="12"/>
  <c r="AB83" i="12"/>
  <c r="AH83" i="12" s="1"/>
  <c r="AN83" i="12" s="1"/>
  <c r="AC83" i="9"/>
  <c r="X84" i="9"/>
  <c r="M79" i="18"/>
  <c r="AA80" i="12"/>
  <c r="AF80" i="12"/>
  <c r="W82" i="11"/>
  <c r="AB81" i="11"/>
  <c r="AH81" i="11" s="1"/>
  <c r="AN81" i="11" s="1"/>
  <c r="AG79" i="12"/>
  <c r="AL79" i="12"/>
  <c r="AM79" i="12" s="1"/>
  <c r="AL79" i="10"/>
  <c r="AM79" i="10" s="1"/>
  <c r="AG79" i="10"/>
  <c r="AH80" i="9"/>
  <c r="AD80" i="9"/>
  <c r="U82" i="9"/>
  <c r="Y82" i="9" s="1"/>
  <c r="I83" i="9"/>
  <c r="AF80" i="10"/>
  <c r="AI81" i="4"/>
  <c r="Y81" i="9"/>
  <c r="AE81" i="9" s="1"/>
  <c r="AK81" i="9" s="1"/>
  <c r="W82" i="4"/>
  <c r="AB81" i="4"/>
  <c r="AH81" i="4" s="1"/>
  <c r="AN81" i="4" s="1"/>
  <c r="AC82" i="10"/>
  <c r="X83" i="10"/>
  <c r="N78" i="18"/>
  <c r="I84" i="12"/>
  <c r="L78" i="18"/>
  <c r="AC82" i="4"/>
  <c r="X83" i="4"/>
  <c r="AJ80" i="12"/>
  <c r="AO80" i="12"/>
  <c r="AP80" i="12" s="1"/>
  <c r="U81" i="11"/>
  <c r="Y81" i="11" s="1"/>
  <c r="I82" i="11"/>
  <c r="AK78" i="11"/>
  <c r="AM78" i="11" s="1"/>
  <c r="AG78" i="11"/>
  <c r="AL79" i="11"/>
  <c r="AE79" i="11"/>
  <c r="AK79" i="11" s="1"/>
  <c r="P83" i="4"/>
  <c r="V82" i="4"/>
  <c r="J83" i="10"/>
  <c r="V82" i="10"/>
  <c r="I87" i="4"/>
  <c r="M83" i="4"/>
  <c r="U82" i="4"/>
  <c r="Y82" i="4" s="1"/>
  <c r="AE82" i="4" s="1"/>
  <c r="AK82" i="4" s="1"/>
  <c r="AG80" i="4"/>
  <c r="AL80" i="4"/>
  <c r="AM80" i="4" s="1"/>
  <c r="J87" i="4"/>
  <c r="J83" i="11"/>
  <c r="V82" i="11"/>
  <c r="J83" i="9"/>
  <c r="V82" i="9"/>
  <c r="J83" i="12"/>
  <c r="V82" i="12"/>
  <c r="AA81" i="4" l="1"/>
  <c r="AA81" i="12"/>
  <c r="AF81" i="12"/>
  <c r="AA81" i="10"/>
  <c r="AF81" i="10"/>
  <c r="I85" i="12"/>
  <c r="W83" i="11"/>
  <c r="AB82" i="11"/>
  <c r="AH82" i="11" s="1"/>
  <c r="AN82" i="11" s="1"/>
  <c r="M80" i="18"/>
  <c r="AC84" i="9"/>
  <c r="X85" i="9"/>
  <c r="AI83" i="9"/>
  <c r="AO81" i="12"/>
  <c r="AP81" i="12" s="1"/>
  <c r="AJ81" i="12"/>
  <c r="AB84" i="12"/>
  <c r="AH84" i="12" s="1"/>
  <c r="AN84" i="12" s="1"/>
  <c r="W85" i="12"/>
  <c r="AI82" i="4"/>
  <c r="AA81" i="9"/>
  <c r="AF81" i="9"/>
  <c r="AE82" i="9"/>
  <c r="AK82" i="9" s="1"/>
  <c r="O79" i="18"/>
  <c r="X84" i="11"/>
  <c r="AC83" i="11"/>
  <c r="AA81" i="11"/>
  <c r="AF81" i="11"/>
  <c r="U82" i="10"/>
  <c r="Y82" i="10" s="1"/>
  <c r="AE82" i="10" s="1"/>
  <c r="AK82" i="10" s="1"/>
  <c r="I83" i="10"/>
  <c r="X84" i="4"/>
  <c r="L79" i="18"/>
  <c r="AC83" i="4"/>
  <c r="C78" i="18"/>
  <c r="Z82" i="9"/>
  <c r="M83" i="12"/>
  <c r="U82" i="12"/>
  <c r="Y82" i="12" s="1"/>
  <c r="AE82" i="12" s="1"/>
  <c r="AK82" i="12" s="1"/>
  <c r="E78" i="18"/>
  <c r="Z82" i="11"/>
  <c r="AO81" i="4"/>
  <c r="AP81" i="4" s="1"/>
  <c r="AJ81" i="4"/>
  <c r="AL80" i="9"/>
  <c r="AM80" i="9" s="1"/>
  <c r="AG80" i="9"/>
  <c r="AB82" i="4"/>
  <c r="AH82" i="4" s="1"/>
  <c r="AN82" i="4" s="1"/>
  <c r="W83" i="4"/>
  <c r="AG80" i="10"/>
  <c r="AL80" i="10"/>
  <c r="AM80" i="10" s="1"/>
  <c r="AA80" i="10"/>
  <c r="AJ81" i="10"/>
  <c r="AO81" i="10"/>
  <c r="AP81" i="10" s="1"/>
  <c r="AL80" i="12"/>
  <c r="AM80" i="12" s="1"/>
  <c r="AG80" i="12"/>
  <c r="AI82" i="12"/>
  <c r="AD82" i="12"/>
  <c r="F78" i="18"/>
  <c r="Z82" i="12"/>
  <c r="P79" i="18"/>
  <c r="AC83" i="12"/>
  <c r="X84" i="12"/>
  <c r="AD82" i="11"/>
  <c r="AI82" i="11"/>
  <c r="AG79" i="11"/>
  <c r="U83" i="9"/>
  <c r="Y83" i="9" s="1"/>
  <c r="I84" i="9"/>
  <c r="AH81" i="9"/>
  <c r="AD81" i="9"/>
  <c r="AB83" i="10"/>
  <c r="AH83" i="10" s="1"/>
  <c r="AN83" i="10" s="1"/>
  <c r="W84" i="10"/>
  <c r="AD81" i="4"/>
  <c r="AM79" i="11"/>
  <c r="AB82" i="9"/>
  <c r="W83" i="9"/>
  <c r="AC83" i="10"/>
  <c r="X84" i="10"/>
  <c r="N79" i="18"/>
  <c r="AD82" i="10"/>
  <c r="AI82" i="10"/>
  <c r="AL80" i="11"/>
  <c r="AM80" i="11" s="1"/>
  <c r="AG80" i="11"/>
  <c r="U82" i="11"/>
  <c r="Y82" i="11" s="1"/>
  <c r="I83" i="11"/>
  <c r="AD81" i="11"/>
  <c r="AO82" i="9"/>
  <c r="Z82" i="4"/>
  <c r="AA82" i="4" s="1"/>
  <c r="B78" i="18"/>
  <c r="D78" i="18"/>
  <c r="Z82" i="10"/>
  <c r="AN80" i="9"/>
  <c r="AP80" i="9" s="1"/>
  <c r="AJ80" i="9"/>
  <c r="AO81" i="11"/>
  <c r="AP81" i="11" s="1"/>
  <c r="AJ81" i="11"/>
  <c r="AE80" i="11"/>
  <c r="AK80" i="11" s="1"/>
  <c r="J84" i="12"/>
  <c r="V83" i="12"/>
  <c r="J84" i="10"/>
  <c r="V83" i="10"/>
  <c r="J84" i="11"/>
  <c r="V83" i="11"/>
  <c r="J88" i="4"/>
  <c r="M84" i="4"/>
  <c r="U83" i="4"/>
  <c r="Y83" i="4" s="1"/>
  <c r="AE83" i="4" s="1"/>
  <c r="AK83" i="4" s="1"/>
  <c r="J84" i="9"/>
  <c r="V83" i="9"/>
  <c r="I88" i="4"/>
  <c r="AL81" i="4"/>
  <c r="AM81" i="4" s="1"/>
  <c r="AG81" i="4"/>
  <c r="P84" i="4"/>
  <c r="V83" i="4"/>
  <c r="AE83" i="9" l="1"/>
  <c r="AK83" i="9" s="1"/>
  <c r="AD82" i="4"/>
  <c r="X86" i="9"/>
  <c r="AC85" i="9"/>
  <c r="M81" i="18"/>
  <c r="AI83" i="12"/>
  <c r="AD83" i="12"/>
  <c r="AA82" i="12"/>
  <c r="AF82" i="12"/>
  <c r="AJ82" i="12"/>
  <c r="AO82" i="12"/>
  <c r="AP82" i="12" s="1"/>
  <c r="L80" i="18"/>
  <c r="X85" i="4"/>
  <c r="AC84" i="4"/>
  <c r="AI84" i="9"/>
  <c r="M84" i="12"/>
  <c r="U83" i="12"/>
  <c r="Y83" i="12" s="1"/>
  <c r="AA82" i="9"/>
  <c r="AF82" i="9"/>
  <c r="AO83" i="9"/>
  <c r="X85" i="10"/>
  <c r="AC84" i="10"/>
  <c r="N80" i="18"/>
  <c r="U83" i="10"/>
  <c r="I84" i="10"/>
  <c r="AA82" i="11"/>
  <c r="AF82" i="11"/>
  <c r="P80" i="18"/>
  <c r="X85" i="12"/>
  <c r="AC84" i="12"/>
  <c r="D79" i="18"/>
  <c r="Z83" i="10"/>
  <c r="AO82" i="10"/>
  <c r="AP82" i="10" s="1"/>
  <c r="AJ82" i="10"/>
  <c r="AF82" i="4"/>
  <c r="AL82" i="4" s="1"/>
  <c r="AM82" i="4" s="1"/>
  <c r="AL81" i="9"/>
  <c r="AM81" i="9" s="1"/>
  <c r="AG81" i="9"/>
  <c r="U84" i="9"/>
  <c r="I85" i="9"/>
  <c r="F79" i="18"/>
  <c r="Z83" i="12"/>
  <c r="AF83" i="12" s="1"/>
  <c r="AI83" i="4"/>
  <c r="W84" i="11"/>
  <c r="AB83" i="11"/>
  <c r="AH83" i="11" s="1"/>
  <c r="AN83" i="11" s="1"/>
  <c r="AJ82" i="4"/>
  <c r="AO82" i="4"/>
  <c r="AP82" i="4" s="1"/>
  <c r="E79" i="18"/>
  <c r="Z83" i="11"/>
  <c r="U83" i="11"/>
  <c r="I84" i="11"/>
  <c r="AI83" i="10"/>
  <c r="AD83" i="10"/>
  <c r="AH82" i="9"/>
  <c r="AD82" i="9"/>
  <c r="AL81" i="11"/>
  <c r="I86" i="12"/>
  <c r="AB85" i="12"/>
  <c r="AH85" i="12" s="1"/>
  <c r="AN85" i="12" s="1"/>
  <c r="W86" i="12"/>
  <c r="AN81" i="9"/>
  <c r="AP81" i="9" s="1"/>
  <c r="AJ81" i="9"/>
  <c r="AJ82" i="11"/>
  <c r="AO82" i="11"/>
  <c r="AP82" i="11" s="1"/>
  <c r="AI83" i="11"/>
  <c r="AD83" i="11"/>
  <c r="AL81" i="10"/>
  <c r="AM81" i="10" s="1"/>
  <c r="AG81" i="10"/>
  <c r="W84" i="9"/>
  <c r="AB83" i="9"/>
  <c r="AB84" i="10"/>
  <c r="AH84" i="10" s="1"/>
  <c r="AN84" i="10" s="1"/>
  <c r="W85" i="10"/>
  <c r="O80" i="18"/>
  <c r="X85" i="11"/>
  <c r="AC84" i="11"/>
  <c r="Z83" i="4"/>
  <c r="AA83" i="4" s="1"/>
  <c r="B79" i="18"/>
  <c r="C79" i="18"/>
  <c r="Z83" i="9"/>
  <c r="AE81" i="11"/>
  <c r="AK81" i="11" s="1"/>
  <c r="AM81" i="11" s="1"/>
  <c r="W84" i="4"/>
  <c r="AB83" i="4"/>
  <c r="AH83" i="4" s="1"/>
  <c r="AN83" i="4" s="1"/>
  <c r="AG81" i="12"/>
  <c r="AL81" i="12"/>
  <c r="AM81" i="12" s="1"/>
  <c r="AA82" i="10"/>
  <c r="AF82" i="10"/>
  <c r="P85" i="4"/>
  <c r="V84" i="4"/>
  <c r="I89" i="4"/>
  <c r="J85" i="9"/>
  <c r="V84" i="9"/>
  <c r="J89" i="4"/>
  <c r="J85" i="10"/>
  <c r="V84" i="10"/>
  <c r="M85" i="4"/>
  <c r="U84" i="4"/>
  <c r="Y84" i="4" s="1"/>
  <c r="AE84" i="4" s="1"/>
  <c r="AK84" i="4" s="1"/>
  <c r="J85" i="11"/>
  <c r="V84" i="11"/>
  <c r="J85" i="12"/>
  <c r="V84" i="12"/>
  <c r="AD83" i="4" l="1"/>
  <c r="AG82" i="4"/>
  <c r="AL83" i="12"/>
  <c r="AL82" i="9"/>
  <c r="AM82" i="9" s="1"/>
  <c r="AG82" i="9"/>
  <c r="AA83" i="12"/>
  <c r="AE83" i="12"/>
  <c r="AK83" i="12" s="1"/>
  <c r="D80" i="18"/>
  <c r="Z84" i="10"/>
  <c r="AI84" i="4"/>
  <c r="C80" i="18"/>
  <c r="Z84" i="9"/>
  <c r="AA83" i="10"/>
  <c r="AF83" i="10"/>
  <c r="AC85" i="4"/>
  <c r="X86" i="4"/>
  <c r="L81" i="18"/>
  <c r="AE82" i="11"/>
  <c r="AK82" i="11" s="1"/>
  <c r="AB85" i="10"/>
  <c r="AH85" i="10" s="1"/>
  <c r="AN85" i="10" s="1"/>
  <c r="W86" i="10"/>
  <c r="AO83" i="10"/>
  <c r="AP83" i="10" s="1"/>
  <c r="AJ83" i="10"/>
  <c r="N81" i="18"/>
  <c r="AC85" i="10"/>
  <c r="X86" i="10"/>
  <c r="U85" i="9"/>
  <c r="I86" i="9"/>
  <c r="I87" i="12"/>
  <c r="AI84" i="11"/>
  <c r="U84" i="11"/>
  <c r="Y84" i="11" s="1"/>
  <c r="I85" i="11"/>
  <c r="AI84" i="12"/>
  <c r="AD84" i="12"/>
  <c r="F80" i="18"/>
  <c r="Z84" i="12"/>
  <c r="AF84" i="12" s="1"/>
  <c r="W85" i="4"/>
  <c r="AB84" i="4"/>
  <c r="AH84" i="4" s="1"/>
  <c r="AN84" i="4" s="1"/>
  <c r="O81" i="18"/>
  <c r="X86" i="11"/>
  <c r="AC85" i="11"/>
  <c r="AN82" i="9"/>
  <c r="AP82" i="9" s="1"/>
  <c r="AJ82" i="9"/>
  <c r="Y83" i="11"/>
  <c r="AA83" i="11" s="1"/>
  <c r="P81" i="18"/>
  <c r="X86" i="12"/>
  <c r="AC85" i="12"/>
  <c r="AA83" i="9"/>
  <c r="AF83" i="9"/>
  <c r="Y85" i="9"/>
  <c r="Y84" i="9"/>
  <c r="AE84" i="9" s="1"/>
  <c r="AK84" i="9" s="1"/>
  <c r="AB84" i="9"/>
  <c r="W85" i="9"/>
  <c r="AF83" i="11"/>
  <c r="AG82" i="12"/>
  <c r="AL82" i="12"/>
  <c r="AM82" i="12" s="1"/>
  <c r="AG81" i="11"/>
  <c r="AL82" i="11"/>
  <c r="U84" i="10"/>
  <c r="Y84" i="10" s="1"/>
  <c r="I85" i="10"/>
  <c r="AO83" i="12"/>
  <c r="AP83" i="12" s="1"/>
  <c r="AJ83" i="12"/>
  <c r="AB86" i="12"/>
  <c r="AH86" i="12" s="1"/>
  <c r="AN86" i="12" s="1"/>
  <c r="W87" i="12"/>
  <c r="M85" i="12"/>
  <c r="U84" i="12"/>
  <c r="Y84" i="12" s="1"/>
  <c r="AJ83" i="11"/>
  <c r="AO83" i="11"/>
  <c r="AP83" i="11" s="1"/>
  <c r="Y83" i="10"/>
  <c r="AE83" i="10" s="1"/>
  <c r="AK83" i="10" s="1"/>
  <c r="E80" i="18"/>
  <c r="Z84" i="11"/>
  <c r="AL82" i="10"/>
  <c r="AM82" i="10" s="1"/>
  <c r="AG82" i="10"/>
  <c r="W85" i="11"/>
  <c r="AB84" i="11"/>
  <c r="AH84" i="11" s="1"/>
  <c r="AN84" i="11" s="1"/>
  <c r="AI85" i="9"/>
  <c r="AO84" i="9"/>
  <c r="AF83" i="4"/>
  <c r="AL83" i="4" s="1"/>
  <c r="AM83" i="4" s="1"/>
  <c r="AH83" i="9"/>
  <c r="AD83" i="9"/>
  <c r="Z84" i="4"/>
  <c r="AA84" i="4" s="1"/>
  <c r="B80" i="18"/>
  <c r="AJ83" i="4"/>
  <c r="AO83" i="4"/>
  <c r="AP83" i="4" s="1"/>
  <c r="AD84" i="10"/>
  <c r="AI84" i="10"/>
  <c r="M82" i="18"/>
  <c r="X87" i="9"/>
  <c r="AC86" i="9"/>
  <c r="J86" i="10"/>
  <c r="V85" i="10"/>
  <c r="I90" i="4"/>
  <c r="J86" i="12"/>
  <c r="V85" i="12"/>
  <c r="J86" i="9"/>
  <c r="V85" i="9"/>
  <c r="J86" i="11"/>
  <c r="V85" i="11"/>
  <c r="M86" i="4"/>
  <c r="U85" i="4"/>
  <c r="Y85" i="4" s="1"/>
  <c r="AE85" i="4" s="1"/>
  <c r="AK85" i="4" s="1"/>
  <c r="J90" i="4"/>
  <c r="AG83" i="4"/>
  <c r="P86" i="4"/>
  <c r="V85" i="4"/>
  <c r="AG82" i="11" l="1"/>
  <c r="AD84" i="11"/>
  <c r="AM82" i="11"/>
  <c r="U85" i="10"/>
  <c r="Y85" i="10" s="1"/>
  <c r="I86" i="10"/>
  <c r="AI85" i="11"/>
  <c r="W87" i="10"/>
  <c r="AB86" i="10"/>
  <c r="AH86" i="10" s="1"/>
  <c r="AN86" i="10" s="1"/>
  <c r="X87" i="11"/>
  <c r="O82" i="18"/>
  <c r="AC86" i="11"/>
  <c r="E81" i="18"/>
  <c r="Z85" i="11"/>
  <c r="X87" i="4"/>
  <c r="AC86" i="4"/>
  <c r="L82" i="18"/>
  <c r="AA84" i="11"/>
  <c r="AF84" i="11"/>
  <c r="AL84" i="11" s="1"/>
  <c r="W86" i="9"/>
  <c r="AB85" i="9"/>
  <c r="U85" i="11"/>
  <c r="Y85" i="11" s="1"/>
  <c r="I86" i="11"/>
  <c r="AD84" i="4"/>
  <c r="AJ84" i="4"/>
  <c r="AO84" i="4"/>
  <c r="AP84" i="4" s="1"/>
  <c r="AA84" i="10"/>
  <c r="AF84" i="10"/>
  <c r="AO85" i="9"/>
  <c r="AB85" i="4"/>
  <c r="AH85" i="4" s="1"/>
  <c r="AN85" i="4" s="1"/>
  <c r="W86" i="4"/>
  <c r="AA84" i="9"/>
  <c r="AF84" i="9"/>
  <c r="X88" i="9"/>
  <c r="AC87" i="9"/>
  <c r="M83" i="18"/>
  <c r="AJ84" i="11"/>
  <c r="AO84" i="11"/>
  <c r="AP84" i="11" s="1"/>
  <c r="AL83" i="9"/>
  <c r="AM83" i="9" s="1"/>
  <c r="AG83" i="9"/>
  <c r="I88" i="12"/>
  <c r="AN83" i="9"/>
  <c r="AP83" i="9" s="1"/>
  <c r="AJ83" i="9"/>
  <c r="AF84" i="4"/>
  <c r="AL84" i="4" s="1"/>
  <c r="AM84" i="4" s="1"/>
  <c r="C81" i="18"/>
  <c r="Z85" i="9"/>
  <c r="AG83" i="10"/>
  <c r="AL83" i="10"/>
  <c r="AM83" i="10" s="1"/>
  <c r="F81" i="18"/>
  <c r="Z85" i="12"/>
  <c r="AO84" i="12"/>
  <c r="AP84" i="12" s="1"/>
  <c r="AJ84" i="12"/>
  <c r="AE84" i="10"/>
  <c r="AK84" i="10" s="1"/>
  <c r="AA84" i="12"/>
  <c r="AE84" i="12"/>
  <c r="AK84" i="12" s="1"/>
  <c r="AI85" i="12"/>
  <c r="AD85" i="12"/>
  <c r="U86" i="9"/>
  <c r="Y86" i="9" s="1"/>
  <c r="I87" i="9"/>
  <c r="AI85" i="4"/>
  <c r="AD85" i="4"/>
  <c r="AB85" i="11"/>
  <c r="AH85" i="11" s="1"/>
  <c r="AN85" i="11" s="1"/>
  <c r="W86" i="11"/>
  <c r="AL83" i="11"/>
  <c r="M86" i="12"/>
  <c r="U85" i="12"/>
  <c r="Y85" i="12" s="1"/>
  <c r="P82" i="18"/>
  <c r="AC86" i="12"/>
  <c r="X87" i="12"/>
  <c r="AL84" i="12"/>
  <c r="D81" i="18"/>
  <c r="Z85" i="10"/>
  <c r="AB87" i="12"/>
  <c r="AH87" i="12" s="1"/>
  <c r="AN87" i="12" s="1"/>
  <c r="W88" i="12"/>
  <c r="N82" i="18"/>
  <c r="X87" i="10"/>
  <c r="AC86" i="10"/>
  <c r="AH84" i="9"/>
  <c r="AD84" i="9"/>
  <c r="AI86" i="9"/>
  <c r="AE85" i="9"/>
  <c r="AK85" i="9" s="1"/>
  <c r="AJ84" i="10"/>
  <c r="AO84" i="10"/>
  <c r="AP84" i="10" s="1"/>
  <c r="Z85" i="4"/>
  <c r="B81" i="18"/>
  <c r="AE83" i="11"/>
  <c r="AK83" i="11" s="1"/>
  <c r="AM83" i="11" s="1"/>
  <c r="AD85" i="10"/>
  <c r="AI85" i="10"/>
  <c r="AG83" i="12"/>
  <c r="AM83" i="12"/>
  <c r="J87" i="9"/>
  <c r="V86" i="9"/>
  <c r="M87" i="4"/>
  <c r="U86" i="4"/>
  <c r="Y86" i="4" s="1"/>
  <c r="AE86" i="4" s="1"/>
  <c r="AK86" i="4" s="1"/>
  <c r="J87" i="11"/>
  <c r="V86" i="11"/>
  <c r="I91" i="4"/>
  <c r="P87" i="4"/>
  <c r="V86" i="4"/>
  <c r="J91" i="4"/>
  <c r="J87" i="12"/>
  <c r="V86" i="12"/>
  <c r="J87" i="10"/>
  <c r="V86" i="10"/>
  <c r="AG84" i="4" l="1"/>
  <c r="AF85" i="4"/>
  <c r="AA85" i="4"/>
  <c r="U86" i="11"/>
  <c r="Y86" i="11" s="1"/>
  <c r="I87" i="11"/>
  <c r="AN84" i="9"/>
  <c r="AP84" i="9" s="1"/>
  <c r="AJ84" i="9"/>
  <c r="AL84" i="9"/>
  <c r="AM84" i="9" s="1"/>
  <c r="AG84" i="9"/>
  <c r="U87" i="9"/>
  <c r="Y87" i="9" s="1"/>
  <c r="I88" i="9"/>
  <c r="AA85" i="10"/>
  <c r="AF85" i="10"/>
  <c r="AA85" i="11"/>
  <c r="AF85" i="11"/>
  <c r="AI86" i="11"/>
  <c r="AH85" i="9"/>
  <c r="AD85" i="9"/>
  <c r="AD86" i="10"/>
  <c r="AI86" i="10"/>
  <c r="AE85" i="11"/>
  <c r="AK85" i="11" s="1"/>
  <c r="AG84" i="12"/>
  <c r="AA85" i="12"/>
  <c r="AF85" i="12"/>
  <c r="X88" i="11"/>
  <c r="O83" i="18"/>
  <c r="AC87" i="11"/>
  <c r="AI86" i="4"/>
  <c r="AC87" i="4"/>
  <c r="X88" i="4"/>
  <c r="L83" i="18"/>
  <c r="AO85" i="10"/>
  <c r="AP85" i="10" s="1"/>
  <c r="AJ85" i="10"/>
  <c r="I89" i="12"/>
  <c r="AI87" i="9"/>
  <c r="AB87" i="10"/>
  <c r="AH87" i="10" s="1"/>
  <c r="AN87" i="10" s="1"/>
  <c r="W88" i="10"/>
  <c r="X88" i="10"/>
  <c r="AC87" i="10"/>
  <c r="N83" i="18"/>
  <c r="AE85" i="12"/>
  <c r="AK85" i="12" s="1"/>
  <c r="AG84" i="10"/>
  <c r="AL84" i="10"/>
  <c r="AM84" i="10" s="1"/>
  <c r="AD85" i="11"/>
  <c r="E82" i="18"/>
  <c r="Z86" i="11"/>
  <c r="AO85" i="12"/>
  <c r="AP85" i="12" s="1"/>
  <c r="AJ85" i="12"/>
  <c r="AB88" i="12"/>
  <c r="AH88" i="12" s="1"/>
  <c r="AN88" i="12" s="1"/>
  <c r="W89" i="12"/>
  <c r="F82" i="18"/>
  <c r="Z86" i="12"/>
  <c r="M87" i="12"/>
  <c r="U86" i="12"/>
  <c r="Y86" i="12" s="1"/>
  <c r="AA85" i="9"/>
  <c r="AF85" i="9"/>
  <c r="AJ85" i="11"/>
  <c r="AO85" i="11"/>
  <c r="AP85" i="11" s="1"/>
  <c r="AO86" i="9"/>
  <c r="AO85" i="4"/>
  <c r="AP85" i="4" s="1"/>
  <c r="AJ85" i="4"/>
  <c r="AB86" i="9"/>
  <c r="W87" i="9"/>
  <c r="AB86" i="4"/>
  <c r="AH86" i="4" s="1"/>
  <c r="AN86" i="4" s="1"/>
  <c r="W87" i="4"/>
  <c r="P83" i="18"/>
  <c r="AC87" i="12"/>
  <c r="X88" i="12"/>
  <c r="AI86" i="12"/>
  <c r="AD86" i="12"/>
  <c r="U86" i="10"/>
  <c r="Y86" i="10" s="1"/>
  <c r="I87" i="10"/>
  <c r="AE86" i="9"/>
  <c r="AK86" i="9" s="1"/>
  <c r="C82" i="18"/>
  <c r="Z86" i="9"/>
  <c r="X89" i="9"/>
  <c r="AC88" i="9"/>
  <c r="M84" i="18"/>
  <c r="D82" i="18"/>
  <c r="Z86" i="10"/>
  <c r="AF86" i="10" s="1"/>
  <c r="AM84" i="12"/>
  <c r="Z86" i="4"/>
  <c r="AF86" i="4" s="1"/>
  <c r="B82" i="18"/>
  <c r="AE85" i="10"/>
  <c r="AK85" i="10" s="1"/>
  <c r="AG83" i="11"/>
  <c r="AB86" i="11"/>
  <c r="AH86" i="11" s="1"/>
  <c r="AN86" i="11" s="1"/>
  <c r="W87" i="11"/>
  <c r="AE84" i="11"/>
  <c r="J92" i="4"/>
  <c r="J88" i="10"/>
  <c r="V87" i="10"/>
  <c r="J88" i="12"/>
  <c r="V87" i="12"/>
  <c r="J88" i="11"/>
  <c r="V87" i="11"/>
  <c r="M88" i="4"/>
  <c r="U87" i="4"/>
  <c r="Y87" i="4" s="1"/>
  <c r="AE87" i="4" s="1"/>
  <c r="AK87" i="4" s="1"/>
  <c r="P88" i="4"/>
  <c r="V87" i="4"/>
  <c r="I92" i="4"/>
  <c r="AL85" i="4"/>
  <c r="AM85" i="4" s="1"/>
  <c r="AG85" i="4"/>
  <c r="J88" i="9"/>
  <c r="V87" i="9"/>
  <c r="AD86" i="11" l="1"/>
  <c r="AD86" i="4"/>
  <c r="AH86" i="9"/>
  <c r="AD86" i="9"/>
  <c r="AL85" i="12"/>
  <c r="AM85" i="12" s="1"/>
  <c r="AG85" i="12"/>
  <c r="E83" i="18"/>
  <c r="Z87" i="11"/>
  <c r="M88" i="12"/>
  <c r="U87" i="12"/>
  <c r="Y87" i="12" s="1"/>
  <c r="AA86" i="12"/>
  <c r="AF86" i="12"/>
  <c r="AG85" i="10"/>
  <c r="AL85" i="10"/>
  <c r="AM85" i="10" s="1"/>
  <c r="AA86" i="10"/>
  <c r="AE86" i="10"/>
  <c r="AK86" i="10" s="1"/>
  <c r="W88" i="9"/>
  <c r="AB87" i="9"/>
  <c r="AL86" i="10"/>
  <c r="AE86" i="12"/>
  <c r="AK86" i="12" s="1"/>
  <c r="D83" i="18"/>
  <c r="Z87" i="10"/>
  <c r="X89" i="4"/>
  <c r="AC88" i="4"/>
  <c r="L84" i="18"/>
  <c r="U88" i="9"/>
  <c r="Y88" i="9" s="1"/>
  <c r="I89" i="9"/>
  <c r="AI87" i="4"/>
  <c r="AD87" i="4"/>
  <c r="AE87" i="9"/>
  <c r="AK87" i="9" s="1"/>
  <c r="W89" i="10"/>
  <c r="AB88" i="10"/>
  <c r="AH88" i="10" s="1"/>
  <c r="AN88" i="10" s="1"/>
  <c r="U87" i="10"/>
  <c r="Y87" i="10" s="1"/>
  <c r="I88" i="10"/>
  <c r="AB89" i="12"/>
  <c r="AH89" i="12" s="1"/>
  <c r="AN89" i="12" s="1"/>
  <c r="W90" i="12"/>
  <c r="AG84" i="11"/>
  <c r="AK84" i="11"/>
  <c r="AM84" i="11" s="1"/>
  <c r="AC88" i="12"/>
  <c r="X89" i="12"/>
  <c r="P84" i="18"/>
  <c r="AJ86" i="4"/>
  <c r="AO86" i="4"/>
  <c r="AP86" i="4" s="1"/>
  <c r="AO86" i="10"/>
  <c r="AP86" i="10" s="1"/>
  <c r="AJ86" i="10"/>
  <c r="AI88" i="9"/>
  <c r="I90" i="12"/>
  <c r="AL85" i="11"/>
  <c r="AM85" i="11" s="1"/>
  <c r="AG85" i="11"/>
  <c r="AA86" i="4"/>
  <c r="AA86" i="11"/>
  <c r="AF86" i="11"/>
  <c r="X89" i="10"/>
  <c r="N84" i="18"/>
  <c r="AC88" i="10"/>
  <c r="AJ86" i="11"/>
  <c r="AO86" i="11"/>
  <c r="AP86" i="11" s="1"/>
  <c r="AA86" i="9"/>
  <c r="AF86" i="9"/>
  <c r="AI87" i="11"/>
  <c r="F83" i="18"/>
  <c r="Z87" i="12"/>
  <c r="W88" i="11"/>
  <c r="AB87" i="11"/>
  <c r="AH87" i="11" s="1"/>
  <c r="AN87" i="11" s="1"/>
  <c r="AD87" i="12"/>
  <c r="AI87" i="12"/>
  <c r="AB87" i="4"/>
  <c r="AH87" i="4" s="1"/>
  <c r="AN87" i="4" s="1"/>
  <c r="W88" i="4"/>
  <c r="U87" i="11"/>
  <c r="Y87" i="11" s="1"/>
  <c r="I88" i="11"/>
  <c r="AI87" i="10"/>
  <c r="AD87" i="10"/>
  <c r="Z87" i="4"/>
  <c r="B83" i="18"/>
  <c r="AN85" i="9"/>
  <c r="AP85" i="9" s="1"/>
  <c r="AJ85" i="9"/>
  <c r="AC89" i="9"/>
  <c r="M85" i="18"/>
  <c r="X90" i="9"/>
  <c r="AL85" i="9"/>
  <c r="AM85" i="9" s="1"/>
  <c r="AG85" i="9"/>
  <c r="AO87" i="9"/>
  <c r="AO86" i="12"/>
  <c r="AP86" i="12" s="1"/>
  <c r="AJ86" i="12"/>
  <c r="C83" i="18"/>
  <c r="Z87" i="9"/>
  <c r="O84" i="18"/>
  <c r="X89" i="11"/>
  <c r="AC88" i="11"/>
  <c r="AE86" i="11"/>
  <c r="AK86" i="11" s="1"/>
  <c r="P89" i="4"/>
  <c r="V88" i="4"/>
  <c r="J89" i="9"/>
  <c r="V88" i="9"/>
  <c r="I93" i="4"/>
  <c r="J89" i="11"/>
  <c r="V88" i="11"/>
  <c r="AF87" i="4"/>
  <c r="AA87" i="4"/>
  <c r="M89" i="4"/>
  <c r="U88" i="4"/>
  <c r="Y88" i="4" s="1"/>
  <c r="AE88" i="4" s="1"/>
  <c r="AK88" i="4" s="1"/>
  <c r="J89" i="12"/>
  <c r="V88" i="12"/>
  <c r="J89" i="10"/>
  <c r="V88" i="10"/>
  <c r="AG86" i="4"/>
  <c r="AL86" i="4"/>
  <c r="AM86" i="4" s="1"/>
  <c r="J93" i="4"/>
  <c r="AM86" i="10" l="1"/>
  <c r="AD87" i="11"/>
  <c r="AG86" i="10"/>
  <c r="AE87" i="12"/>
  <c r="AK87" i="12" s="1"/>
  <c r="P85" i="18"/>
  <c r="AC89" i="12"/>
  <c r="X90" i="12"/>
  <c r="E84" i="18"/>
  <c r="Z88" i="11"/>
  <c r="AL86" i="11"/>
  <c r="AM86" i="11" s="1"/>
  <c r="AG86" i="11"/>
  <c r="AE87" i="10"/>
  <c r="AK87" i="10" s="1"/>
  <c r="AL86" i="12"/>
  <c r="AM86" i="12" s="1"/>
  <c r="AG86" i="12"/>
  <c r="AA87" i="10"/>
  <c r="AF87" i="10"/>
  <c r="AJ87" i="11"/>
  <c r="AO87" i="11"/>
  <c r="AP87" i="11" s="1"/>
  <c r="U88" i="10"/>
  <c r="Y88" i="10" s="1"/>
  <c r="AE88" i="10" s="1"/>
  <c r="AK88" i="10" s="1"/>
  <c r="I89" i="10"/>
  <c r="W90" i="10"/>
  <c r="AB89" i="10"/>
  <c r="AH89" i="10" s="1"/>
  <c r="AN89" i="10" s="1"/>
  <c r="F84" i="18"/>
  <c r="Z88" i="12"/>
  <c r="AD88" i="12"/>
  <c r="AI88" i="12"/>
  <c r="W89" i="9"/>
  <c r="AB88" i="9"/>
  <c r="AE87" i="11"/>
  <c r="M89" i="12"/>
  <c r="U88" i="12"/>
  <c r="Y88" i="12" s="1"/>
  <c r="AE88" i="12" s="1"/>
  <c r="AK88" i="12" s="1"/>
  <c r="AO87" i="10"/>
  <c r="AP87" i="10" s="1"/>
  <c r="AJ87" i="10"/>
  <c r="O85" i="18"/>
  <c r="X90" i="11"/>
  <c r="AC89" i="11"/>
  <c r="AB88" i="4"/>
  <c r="AH88" i="4" s="1"/>
  <c r="AN88" i="4" s="1"/>
  <c r="W89" i="4"/>
  <c r="AO87" i="4"/>
  <c r="AP87" i="4" s="1"/>
  <c r="AJ87" i="4"/>
  <c r="AA87" i="11"/>
  <c r="AF87" i="11"/>
  <c r="AL87" i="11" s="1"/>
  <c r="AA87" i="12"/>
  <c r="AF87" i="12"/>
  <c r="X91" i="9"/>
  <c r="AC90" i="9"/>
  <c r="M86" i="18"/>
  <c r="AL86" i="9"/>
  <c r="AM86" i="9" s="1"/>
  <c r="AG86" i="9"/>
  <c r="AI89" i="9"/>
  <c r="U88" i="11"/>
  <c r="Y88" i="11" s="1"/>
  <c r="I89" i="11"/>
  <c r="AI88" i="11"/>
  <c r="I91" i="12"/>
  <c r="U89" i="9"/>
  <c r="Y89" i="9" s="1"/>
  <c r="I90" i="9"/>
  <c r="Z88" i="4"/>
  <c r="AF88" i="4" s="1"/>
  <c r="B84" i="18"/>
  <c r="AA87" i="9"/>
  <c r="AF87" i="9"/>
  <c r="AO87" i="12"/>
  <c r="AP87" i="12" s="1"/>
  <c r="AJ87" i="12"/>
  <c r="AE88" i="9"/>
  <c r="AK88" i="9" s="1"/>
  <c r="AD88" i="10"/>
  <c r="AI88" i="10"/>
  <c r="W91" i="12"/>
  <c r="AB90" i="12"/>
  <c r="AH90" i="12" s="1"/>
  <c r="AN90" i="12" s="1"/>
  <c r="AH87" i="9"/>
  <c r="AD87" i="9"/>
  <c r="C84" i="18"/>
  <c r="Z88" i="9"/>
  <c r="AC89" i="10"/>
  <c r="X90" i="10"/>
  <c r="N85" i="18"/>
  <c r="AO88" i="9"/>
  <c r="AI88" i="4"/>
  <c r="D84" i="18"/>
  <c r="Z88" i="10"/>
  <c r="AB88" i="11"/>
  <c r="AH88" i="11" s="1"/>
  <c r="AN88" i="11" s="1"/>
  <c r="W89" i="11"/>
  <c r="L85" i="18"/>
  <c r="X90" i="4"/>
  <c r="AC89" i="4"/>
  <c r="AN86" i="9"/>
  <c r="AP86" i="9" s="1"/>
  <c r="AJ86" i="9"/>
  <c r="J90" i="10"/>
  <c r="V89" i="10"/>
  <c r="AL87" i="4"/>
  <c r="AM87" i="4" s="1"/>
  <c r="AG87" i="4"/>
  <c r="J90" i="9"/>
  <c r="V89" i="9"/>
  <c r="J90" i="12"/>
  <c r="V89" i="12"/>
  <c r="J90" i="11"/>
  <c r="V89" i="11"/>
  <c r="I94" i="4"/>
  <c r="J94" i="4"/>
  <c r="M90" i="4"/>
  <c r="U89" i="4"/>
  <c r="Y89" i="4" s="1"/>
  <c r="AE89" i="4" s="1"/>
  <c r="AK89" i="4" s="1"/>
  <c r="P90" i="4"/>
  <c r="V89" i="4"/>
  <c r="AD88" i="4" l="1"/>
  <c r="AJ88" i="12"/>
  <c r="AO88" i="12"/>
  <c r="AP88" i="12" s="1"/>
  <c r="W91" i="10"/>
  <c r="AB90" i="10"/>
  <c r="AH90" i="10" s="1"/>
  <c r="AN90" i="10" s="1"/>
  <c r="AO88" i="4"/>
  <c r="AP88" i="4" s="1"/>
  <c r="AJ88" i="4"/>
  <c r="AA88" i="4"/>
  <c r="U90" i="9"/>
  <c r="Y90" i="9" s="1"/>
  <c r="I91" i="9"/>
  <c r="AC90" i="4"/>
  <c r="L86" i="18"/>
  <c r="X91" i="4"/>
  <c r="AL87" i="10"/>
  <c r="AM87" i="10" s="1"/>
  <c r="AG87" i="10"/>
  <c r="AE89" i="9"/>
  <c r="AK89" i="9" s="1"/>
  <c r="AI89" i="11"/>
  <c r="AD89" i="11"/>
  <c r="W92" i="12"/>
  <c r="AB91" i="12"/>
  <c r="AH91" i="12" s="1"/>
  <c r="AN91" i="12" s="1"/>
  <c r="AL87" i="9"/>
  <c r="AM87" i="9" s="1"/>
  <c r="AG87" i="9"/>
  <c r="O86" i="18"/>
  <c r="AC90" i="11"/>
  <c r="X91" i="11"/>
  <c r="AL87" i="12"/>
  <c r="AM87" i="12" s="1"/>
  <c r="AG87" i="12"/>
  <c r="AA88" i="10"/>
  <c r="AF88" i="10"/>
  <c r="C85" i="18"/>
  <c r="Z89" i="9"/>
  <c r="AD88" i="11"/>
  <c r="AJ88" i="11"/>
  <c r="AO88" i="11"/>
  <c r="AP88" i="11" s="1"/>
  <c r="AJ88" i="10"/>
  <c r="AO88" i="10"/>
  <c r="AP88" i="10" s="1"/>
  <c r="AB89" i="4"/>
  <c r="AH89" i="4" s="1"/>
  <c r="AN89" i="4" s="1"/>
  <c r="W90" i="4"/>
  <c r="E85" i="18"/>
  <c r="Z89" i="11"/>
  <c r="I92" i="12"/>
  <c r="AF88" i="11"/>
  <c r="AL88" i="11" s="1"/>
  <c r="AI89" i="4"/>
  <c r="AI90" i="9"/>
  <c r="Z89" i="4"/>
  <c r="B85" i="18"/>
  <c r="F85" i="18"/>
  <c r="Z89" i="12"/>
  <c r="N86" i="18"/>
  <c r="AC90" i="10"/>
  <c r="X91" i="10"/>
  <c r="AA88" i="11"/>
  <c r="AE88" i="11"/>
  <c r="M90" i="12"/>
  <c r="U89" i="12"/>
  <c r="Y89" i="12" s="1"/>
  <c r="AE89" i="12" s="1"/>
  <c r="AK89" i="12" s="1"/>
  <c r="U89" i="10"/>
  <c r="Y89" i="10" s="1"/>
  <c r="AE89" i="10" s="1"/>
  <c r="AK89" i="10" s="1"/>
  <c r="I90" i="10"/>
  <c r="AG87" i="11"/>
  <c r="AK87" i="11"/>
  <c r="AM87" i="11" s="1"/>
  <c r="P86" i="18"/>
  <c r="AC90" i="12"/>
  <c r="X91" i="12"/>
  <c r="AA88" i="12"/>
  <c r="AF88" i="12"/>
  <c r="X92" i="9"/>
  <c r="M87" i="18"/>
  <c r="AC91" i="9"/>
  <c r="W90" i="11"/>
  <c r="AB89" i="11"/>
  <c r="AH89" i="11" s="1"/>
  <c r="AN89" i="11" s="1"/>
  <c r="AA88" i="9"/>
  <c r="AF88" i="9"/>
  <c r="AN87" i="9"/>
  <c r="AP87" i="9" s="1"/>
  <c r="AJ87" i="9"/>
  <c r="AO89" i="9"/>
  <c r="AH88" i="9"/>
  <c r="AD88" i="9"/>
  <c r="AD89" i="12"/>
  <c r="AI89" i="12"/>
  <c r="AD89" i="10"/>
  <c r="AI89" i="10"/>
  <c r="U89" i="11"/>
  <c r="Y89" i="11" s="1"/>
  <c r="AE89" i="11" s="1"/>
  <c r="AK89" i="11" s="1"/>
  <c r="I90" i="11"/>
  <c r="D85" i="18"/>
  <c r="Z89" i="10"/>
  <c r="W90" i="9"/>
  <c r="AB89" i="9"/>
  <c r="P91" i="4"/>
  <c r="V90" i="4"/>
  <c r="J95" i="4"/>
  <c r="J91" i="11"/>
  <c r="V90" i="11"/>
  <c r="AF89" i="4"/>
  <c r="AA89" i="4"/>
  <c r="M91" i="4"/>
  <c r="U90" i="4"/>
  <c r="Y90" i="4" s="1"/>
  <c r="AE90" i="4" s="1"/>
  <c r="AK90" i="4" s="1"/>
  <c r="AG88" i="4"/>
  <c r="AL88" i="4"/>
  <c r="AM88" i="4" s="1"/>
  <c r="J91" i="12"/>
  <c r="V90" i="12"/>
  <c r="I95" i="4"/>
  <c r="J91" i="9"/>
  <c r="V90" i="9"/>
  <c r="J91" i="10"/>
  <c r="V90" i="10"/>
  <c r="AO89" i="12" l="1"/>
  <c r="AP89" i="12" s="1"/>
  <c r="AJ89" i="12"/>
  <c r="AJ89" i="10"/>
  <c r="AO89" i="10"/>
  <c r="AP89" i="10" s="1"/>
  <c r="AA89" i="9"/>
  <c r="AF89" i="9"/>
  <c r="AI90" i="4"/>
  <c r="D86" i="18"/>
  <c r="Z90" i="10"/>
  <c r="C86" i="18"/>
  <c r="Z90" i="9"/>
  <c r="AF90" i="9" s="1"/>
  <c r="W93" i="12"/>
  <c r="AB92" i="12"/>
  <c r="AH92" i="12" s="1"/>
  <c r="AN92" i="12" s="1"/>
  <c r="AJ89" i="11"/>
  <c r="AO89" i="11"/>
  <c r="AP89" i="11" s="1"/>
  <c r="AA89" i="12"/>
  <c r="AF89" i="12"/>
  <c r="U91" i="9"/>
  <c r="Y91" i="9" s="1"/>
  <c r="I92" i="9"/>
  <c r="AG88" i="10"/>
  <c r="AL88" i="10"/>
  <c r="AM88" i="10" s="1"/>
  <c r="AE90" i="9"/>
  <c r="AK90" i="9" s="1"/>
  <c r="AI90" i="12"/>
  <c r="AD90" i="12"/>
  <c r="L87" i="18"/>
  <c r="AC91" i="4"/>
  <c r="X92" i="4"/>
  <c r="N87" i="18"/>
  <c r="X92" i="10"/>
  <c r="AC91" i="10"/>
  <c r="AI91" i="9"/>
  <c r="M91" i="12"/>
  <c r="U90" i="12"/>
  <c r="Y90" i="12" s="1"/>
  <c r="AE90" i="12" s="1"/>
  <c r="AK90" i="12" s="1"/>
  <c r="AD90" i="10"/>
  <c r="AI90" i="10"/>
  <c r="U90" i="11"/>
  <c r="Y90" i="11" s="1"/>
  <c r="AE90" i="11" s="1"/>
  <c r="AK90" i="11" s="1"/>
  <c r="I91" i="11"/>
  <c r="E86" i="18"/>
  <c r="Z90" i="11"/>
  <c r="M88" i="18"/>
  <c r="AC92" i="9"/>
  <c r="X93" i="9"/>
  <c r="AB90" i="4"/>
  <c r="AH90" i="4" s="1"/>
  <c r="AN90" i="4" s="1"/>
  <c r="W91" i="4"/>
  <c r="AG88" i="11"/>
  <c r="AK88" i="11"/>
  <c r="AM88" i="11" s="1"/>
  <c r="Z90" i="4"/>
  <c r="AA90" i="4" s="1"/>
  <c r="B86" i="18"/>
  <c r="W91" i="9"/>
  <c r="AB90" i="9"/>
  <c r="AO89" i="4"/>
  <c r="AP89" i="4" s="1"/>
  <c r="AJ89" i="4"/>
  <c r="X92" i="11"/>
  <c r="O87" i="18"/>
  <c r="AC91" i="11"/>
  <c r="AB91" i="10"/>
  <c r="AH91" i="10" s="1"/>
  <c r="AN91" i="10" s="1"/>
  <c r="W92" i="10"/>
  <c r="U90" i="10"/>
  <c r="Y90" i="10" s="1"/>
  <c r="AE90" i="10" s="1"/>
  <c r="AK90" i="10" s="1"/>
  <c r="I91" i="10"/>
  <c r="F86" i="18"/>
  <c r="Z90" i="12"/>
  <c r="AN88" i="9"/>
  <c r="AP88" i="9" s="1"/>
  <c r="AJ88" i="9"/>
  <c r="AO90" i="9"/>
  <c r="AD89" i="4"/>
  <c r="AI90" i="11"/>
  <c r="I93" i="12"/>
  <c r="AA89" i="11"/>
  <c r="AF89" i="11"/>
  <c r="AL88" i="9"/>
  <c r="AM88" i="9" s="1"/>
  <c r="AG88" i="9"/>
  <c r="W91" i="11"/>
  <c r="AB90" i="11"/>
  <c r="AH90" i="11" s="1"/>
  <c r="AN90" i="11" s="1"/>
  <c r="AH89" i="9"/>
  <c r="AD89" i="9"/>
  <c r="AL88" i="12"/>
  <c r="AM88" i="12" s="1"/>
  <c r="AG88" i="12"/>
  <c r="AA89" i="10"/>
  <c r="AF89" i="10"/>
  <c r="AC91" i="12"/>
  <c r="P87" i="18"/>
  <c r="X92" i="12"/>
  <c r="J92" i="9"/>
  <c r="V91" i="9"/>
  <c r="J92" i="10"/>
  <c r="V91" i="10"/>
  <c r="I96" i="4"/>
  <c r="M92" i="4"/>
  <c r="U91" i="4"/>
  <c r="Y91" i="4" s="1"/>
  <c r="AE91" i="4" s="1"/>
  <c r="AK91" i="4" s="1"/>
  <c r="AG89" i="4"/>
  <c r="AL89" i="4"/>
  <c r="AM89" i="4" s="1"/>
  <c r="J92" i="12"/>
  <c r="V91" i="12"/>
  <c r="J92" i="11"/>
  <c r="V91" i="11"/>
  <c r="J96" i="4"/>
  <c r="P92" i="4"/>
  <c r="V91" i="4"/>
  <c r="AF90" i="4" l="1"/>
  <c r="AD90" i="4"/>
  <c r="AA90" i="11"/>
  <c r="AF90" i="11"/>
  <c r="U91" i="11"/>
  <c r="Y91" i="11" s="1"/>
  <c r="I92" i="11"/>
  <c r="E87" i="18"/>
  <c r="Z91" i="11"/>
  <c r="AF91" i="11" s="1"/>
  <c r="W94" i="12"/>
  <c r="AB93" i="12"/>
  <c r="AH93" i="12" s="1"/>
  <c r="AN93" i="12" s="1"/>
  <c r="AA90" i="10"/>
  <c r="AF90" i="10"/>
  <c r="F87" i="18"/>
  <c r="Z91" i="12"/>
  <c r="W92" i="9"/>
  <c r="AB91" i="9"/>
  <c r="W92" i="11"/>
  <c r="AB91" i="11"/>
  <c r="AH91" i="11" s="1"/>
  <c r="AN91" i="11" s="1"/>
  <c r="AJ90" i="4"/>
  <c r="AO90" i="4"/>
  <c r="AP90" i="4" s="1"/>
  <c r="W93" i="10"/>
  <c r="AB92" i="10"/>
  <c r="AH92" i="10" s="1"/>
  <c r="AN92" i="10" s="1"/>
  <c r="AI91" i="11"/>
  <c r="O88" i="18"/>
  <c r="AC92" i="11"/>
  <c r="X93" i="11"/>
  <c r="AL90" i="9"/>
  <c r="AG90" i="9"/>
  <c r="AH90" i="9"/>
  <c r="AD90" i="9"/>
  <c r="M92" i="12"/>
  <c r="U91" i="12"/>
  <c r="Y91" i="12" s="1"/>
  <c r="AE91" i="12" s="1"/>
  <c r="AK91" i="12" s="1"/>
  <c r="AO91" i="9"/>
  <c r="AC92" i="10"/>
  <c r="N88" i="18"/>
  <c r="X93" i="10"/>
  <c r="I94" i="12"/>
  <c r="AI91" i="4"/>
  <c r="AB91" i="4"/>
  <c r="AH91" i="4" s="1"/>
  <c r="AN91" i="4" s="1"/>
  <c r="W92" i="4"/>
  <c r="D87" i="18"/>
  <c r="Z91" i="10"/>
  <c r="C87" i="18"/>
  <c r="Z91" i="9"/>
  <c r="AF91" i="9" s="1"/>
  <c r="AJ90" i="12"/>
  <c r="AO90" i="12"/>
  <c r="AP90" i="12" s="1"/>
  <c r="AL89" i="10"/>
  <c r="AM89" i="10" s="1"/>
  <c r="AG89" i="10"/>
  <c r="Z91" i="4"/>
  <c r="B87" i="18"/>
  <c r="U91" i="10"/>
  <c r="Y91" i="10" s="1"/>
  <c r="AE91" i="10" s="1"/>
  <c r="AK91" i="10" s="1"/>
  <c r="I92" i="10"/>
  <c r="AM90" i="9"/>
  <c r="AA90" i="12"/>
  <c r="AF90" i="12"/>
  <c r="AE91" i="9"/>
  <c r="AK91" i="9" s="1"/>
  <c r="AN89" i="9"/>
  <c r="AP89" i="9" s="1"/>
  <c r="AJ89" i="9"/>
  <c r="AI91" i="10"/>
  <c r="AD91" i="10"/>
  <c r="AL89" i="11"/>
  <c r="AM89" i="11" s="1"/>
  <c r="AG89" i="11"/>
  <c r="AL89" i="9"/>
  <c r="AM89" i="9" s="1"/>
  <c r="AG89" i="9"/>
  <c r="P88" i="18"/>
  <c r="AC92" i="12"/>
  <c r="X93" i="12"/>
  <c r="AI92" i="9"/>
  <c r="AA90" i="9"/>
  <c r="AI91" i="12"/>
  <c r="AD91" i="12"/>
  <c r="U92" i="9"/>
  <c r="Y92" i="9" s="1"/>
  <c r="I93" i="9"/>
  <c r="AO90" i="10"/>
  <c r="AP90" i="10" s="1"/>
  <c r="AJ90" i="10"/>
  <c r="AG89" i="12"/>
  <c r="AL89" i="12"/>
  <c r="AM89" i="12" s="1"/>
  <c r="L88" i="18"/>
  <c r="X93" i="4"/>
  <c r="AC92" i="4"/>
  <c r="AD90" i="11"/>
  <c r="AO90" i="11"/>
  <c r="AP90" i="11" s="1"/>
  <c r="AJ90" i="11"/>
  <c r="AC93" i="9"/>
  <c r="M89" i="18"/>
  <c r="X94" i="9"/>
  <c r="J93" i="11"/>
  <c r="V92" i="11"/>
  <c r="P93" i="4"/>
  <c r="V92" i="4"/>
  <c r="AG90" i="4"/>
  <c r="AL90" i="4"/>
  <c r="AM90" i="4" s="1"/>
  <c r="I97" i="4"/>
  <c r="J93" i="12"/>
  <c r="V92" i="12"/>
  <c r="M93" i="4"/>
  <c r="U92" i="4"/>
  <c r="Y92" i="4" s="1"/>
  <c r="AE92" i="4" s="1"/>
  <c r="AK92" i="4" s="1"/>
  <c r="AA91" i="4"/>
  <c r="AF91" i="4"/>
  <c r="J97" i="4"/>
  <c r="J93" i="10"/>
  <c r="V92" i="10"/>
  <c r="J93" i="9"/>
  <c r="V92" i="9"/>
  <c r="AA91" i="9" l="1"/>
  <c r="AD91" i="11"/>
  <c r="L89" i="18"/>
  <c r="X94" i="4"/>
  <c r="AC93" i="4"/>
  <c r="AB92" i="4"/>
  <c r="AH92" i="4" s="1"/>
  <c r="AN92" i="4" s="1"/>
  <c r="W93" i="4"/>
  <c r="AO91" i="10"/>
  <c r="AP91" i="10" s="1"/>
  <c r="AJ91" i="10"/>
  <c r="AG90" i="10"/>
  <c r="AL90" i="10"/>
  <c r="AM90" i="10" s="1"/>
  <c r="F88" i="18"/>
  <c r="Z92" i="12"/>
  <c r="AA91" i="12"/>
  <c r="AF91" i="12"/>
  <c r="AO91" i="12"/>
  <c r="AP91" i="12" s="1"/>
  <c r="AJ91" i="12"/>
  <c r="M93" i="12"/>
  <c r="U92" i="12"/>
  <c r="Y92" i="12" s="1"/>
  <c r="AE92" i="12" s="1"/>
  <c r="AK92" i="12" s="1"/>
  <c r="AJ91" i="4"/>
  <c r="AO91" i="4"/>
  <c r="AP91" i="4" s="1"/>
  <c r="Z92" i="4"/>
  <c r="AA92" i="4" s="1"/>
  <c r="B88" i="18"/>
  <c r="U92" i="10"/>
  <c r="Y92" i="10" s="1"/>
  <c r="AE92" i="10" s="1"/>
  <c r="AK92" i="10" s="1"/>
  <c r="I93" i="10"/>
  <c r="AB94" i="12"/>
  <c r="AH94" i="12" s="1"/>
  <c r="AN94" i="12" s="1"/>
  <c r="W95" i="12"/>
  <c r="N89" i="18"/>
  <c r="X94" i="10"/>
  <c r="AC93" i="10"/>
  <c r="AO92" i="9"/>
  <c r="AN90" i="9"/>
  <c r="AP90" i="9" s="1"/>
  <c r="AJ90" i="9"/>
  <c r="AL91" i="11"/>
  <c r="AO91" i="11"/>
  <c r="AP91" i="11" s="1"/>
  <c r="AJ91" i="11"/>
  <c r="D88" i="18"/>
  <c r="Z92" i="10"/>
  <c r="AD92" i="10"/>
  <c r="AI92" i="10"/>
  <c r="AE92" i="9"/>
  <c r="AK92" i="9" s="1"/>
  <c r="X94" i="12"/>
  <c r="P89" i="18"/>
  <c r="AC93" i="12"/>
  <c r="AD91" i="4"/>
  <c r="AB92" i="9"/>
  <c r="W93" i="9"/>
  <c r="X95" i="9"/>
  <c r="AC94" i="9"/>
  <c r="M90" i="18"/>
  <c r="AI92" i="12"/>
  <c r="AD92" i="12"/>
  <c r="U92" i="11"/>
  <c r="Y92" i="11" s="1"/>
  <c r="I93" i="11"/>
  <c r="AD92" i="4"/>
  <c r="AI92" i="4"/>
  <c r="AL91" i="9"/>
  <c r="AM91" i="9" s="1"/>
  <c r="AG91" i="9"/>
  <c r="X94" i="11"/>
  <c r="O89" i="18"/>
  <c r="AC93" i="11"/>
  <c r="AA91" i="11"/>
  <c r="AE91" i="11"/>
  <c r="AK91" i="11" s="1"/>
  <c r="AM91" i="11" s="1"/>
  <c r="W94" i="10"/>
  <c r="AB93" i="10"/>
  <c r="AH93" i="10" s="1"/>
  <c r="AN93" i="10" s="1"/>
  <c r="W93" i="11"/>
  <c r="AB92" i="11"/>
  <c r="AH92" i="11" s="1"/>
  <c r="AN92" i="11" s="1"/>
  <c r="AL90" i="12"/>
  <c r="AM90" i="12" s="1"/>
  <c r="AG90" i="12"/>
  <c r="AH91" i="9"/>
  <c r="AD91" i="9"/>
  <c r="U93" i="9"/>
  <c r="Y93" i="9" s="1"/>
  <c r="I94" i="9"/>
  <c r="AI93" i="9"/>
  <c r="AI92" i="11"/>
  <c r="AD92" i="11"/>
  <c r="AL90" i="11"/>
  <c r="AM90" i="11" s="1"/>
  <c r="AG90" i="11"/>
  <c r="C88" i="18"/>
  <c r="Z92" i="9"/>
  <c r="I95" i="12"/>
  <c r="E88" i="18"/>
  <c r="Z92" i="11"/>
  <c r="AA91" i="10"/>
  <c r="AF91" i="10"/>
  <c r="AL91" i="4"/>
  <c r="AM91" i="4" s="1"/>
  <c r="AG91" i="4"/>
  <c r="J94" i="9"/>
  <c r="V93" i="9"/>
  <c r="J98" i="4"/>
  <c r="J94" i="10"/>
  <c r="V93" i="10"/>
  <c r="I98" i="4"/>
  <c r="M94" i="4"/>
  <c r="U93" i="4"/>
  <c r="Y93" i="4" s="1"/>
  <c r="AE93" i="4" s="1"/>
  <c r="AK93" i="4" s="1"/>
  <c r="J94" i="12"/>
  <c r="V93" i="12"/>
  <c r="P94" i="4"/>
  <c r="V93" i="4"/>
  <c r="J94" i="11"/>
  <c r="V93" i="11"/>
  <c r="AB94" i="10" l="1"/>
  <c r="AH94" i="10" s="1"/>
  <c r="AN94" i="10" s="1"/>
  <c r="W95" i="10"/>
  <c r="AC94" i="12"/>
  <c r="X95" i="12"/>
  <c r="P90" i="18"/>
  <c r="U93" i="11"/>
  <c r="Y93" i="11" s="1"/>
  <c r="I94" i="11"/>
  <c r="F89" i="18"/>
  <c r="Z93" i="12"/>
  <c r="AG91" i="12"/>
  <c r="AL91" i="12"/>
  <c r="AM91" i="12" s="1"/>
  <c r="AA92" i="9"/>
  <c r="AF92" i="9"/>
  <c r="AJ92" i="4"/>
  <c r="AO92" i="4"/>
  <c r="AP92" i="4" s="1"/>
  <c r="D89" i="18"/>
  <c r="Z93" i="10"/>
  <c r="E89" i="18"/>
  <c r="Z93" i="11"/>
  <c r="AO92" i="10"/>
  <c r="AP92" i="10" s="1"/>
  <c r="AJ92" i="10"/>
  <c r="M94" i="12"/>
  <c r="U93" i="12"/>
  <c r="Y93" i="12" s="1"/>
  <c r="AE93" i="12" s="1"/>
  <c r="AK93" i="12" s="1"/>
  <c r="AD93" i="10"/>
  <c r="AI93" i="10"/>
  <c r="AA92" i="11"/>
  <c r="AF92" i="11"/>
  <c r="AG91" i="11"/>
  <c r="AJ92" i="12"/>
  <c r="AO92" i="12"/>
  <c r="AP92" i="12" s="1"/>
  <c r="N90" i="18"/>
  <c r="X95" i="10"/>
  <c r="AC94" i="10"/>
  <c r="W94" i="4"/>
  <c r="AB93" i="4"/>
  <c r="AH93" i="4" s="1"/>
  <c r="AN93" i="4" s="1"/>
  <c r="AA92" i="10"/>
  <c r="AF92" i="10"/>
  <c r="AA92" i="12"/>
  <c r="AF92" i="12"/>
  <c r="C89" i="18"/>
  <c r="Z93" i="9"/>
  <c r="I96" i="12"/>
  <c r="Z93" i="4"/>
  <c r="AF93" i="4" s="1"/>
  <c r="B89" i="18"/>
  <c r="O90" i="18"/>
  <c r="X95" i="11"/>
  <c r="AC94" i="11"/>
  <c r="AB93" i="9"/>
  <c r="W94" i="9"/>
  <c r="AB95" i="12"/>
  <c r="AH95" i="12" s="1"/>
  <c r="AN95" i="12" s="1"/>
  <c r="W96" i="12"/>
  <c r="AE92" i="11"/>
  <c r="AK92" i="11" s="1"/>
  <c r="U94" i="9"/>
  <c r="Y94" i="9" s="1"/>
  <c r="I95" i="9"/>
  <c r="AF92" i="4"/>
  <c r="AL92" i="4" s="1"/>
  <c r="AM92" i="4" s="1"/>
  <c r="AN91" i="9"/>
  <c r="AP91" i="9" s="1"/>
  <c r="AJ91" i="9"/>
  <c r="AI94" i="9"/>
  <c r="AH92" i="9"/>
  <c r="AD92" i="9"/>
  <c r="AI93" i="4"/>
  <c r="AD93" i="4"/>
  <c r="AI93" i="11"/>
  <c r="AO93" i="9"/>
  <c r="AC95" i="9"/>
  <c r="X96" i="9"/>
  <c r="M91" i="18"/>
  <c r="AB93" i="11"/>
  <c r="AH93" i="11" s="1"/>
  <c r="AN93" i="11" s="1"/>
  <c r="W94" i="11"/>
  <c r="U93" i="10"/>
  <c r="Y93" i="10" s="1"/>
  <c r="AE93" i="10" s="1"/>
  <c r="AK93" i="10" s="1"/>
  <c r="I94" i="10"/>
  <c r="X95" i="4"/>
  <c r="AC94" i="4"/>
  <c r="L90" i="18"/>
  <c r="AJ92" i="11"/>
  <c r="AO92" i="11"/>
  <c r="AP92" i="11" s="1"/>
  <c r="AE93" i="9"/>
  <c r="AK93" i="9" s="1"/>
  <c r="AG91" i="10"/>
  <c r="AL91" i="10"/>
  <c r="AM91" i="10" s="1"/>
  <c r="AI93" i="12"/>
  <c r="AD93" i="12"/>
  <c r="J95" i="12"/>
  <c r="V94" i="12"/>
  <c r="M95" i="4"/>
  <c r="U94" i="4"/>
  <c r="Y94" i="4" s="1"/>
  <c r="AE94" i="4" s="1"/>
  <c r="AK94" i="4" s="1"/>
  <c r="I99" i="4"/>
  <c r="J95" i="9"/>
  <c r="V94" i="9"/>
  <c r="J95" i="11"/>
  <c r="V94" i="11"/>
  <c r="P95" i="4"/>
  <c r="V94" i="4"/>
  <c r="J95" i="10"/>
  <c r="V94" i="10"/>
  <c r="J99" i="4"/>
  <c r="AA93" i="4" l="1"/>
  <c r="AO93" i="4"/>
  <c r="AP93" i="4" s="1"/>
  <c r="AJ93" i="4"/>
  <c r="AO94" i="9"/>
  <c r="AL92" i="9"/>
  <c r="AM92" i="9" s="1"/>
  <c r="AG92" i="9"/>
  <c r="AE94" i="9"/>
  <c r="AK94" i="9" s="1"/>
  <c r="D90" i="18"/>
  <c r="Z94" i="10"/>
  <c r="AC95" i="10"/>
  <c r="N91" i="18"/>
  <c r="X96" i="10"/>
  <c r="AA93" i="12"/>
  <c r="AF93" i="12"/>
  <c r="AD94" i="10"/>
  <c r="AI94" i="10"/>
  <c r="C90" i="18"/>
  <c r="Z94" i="9"/>
  <c r="W97" i="12"/>
  <c r="AB96" i="12"/>
  <c r="AH96" i="12" s="1"/>
  <c r="AN96" i="12" s="1"/>
  <c r="U94" i="11"/>
  <c r="Y94" i="11" s="1"/>
  <c r="I95" i="11"/>
  <c r="AI94" i="4"/>
  <c r="AG92" i="4"/>
  <c r="AE93" i="11"/>
  <c r="AK93" i="11" s="1"/>
  <c r="AA93" i="9"/>
  <c r="AF93" i="9"/>
  <c r="AA93" i="10"/>
  <c r="AF93" i="10"/>
  <c r="E90" i="18"/>
  <c r="Z94" i="11"/>
  <c r="AC95" i="11"/>
  <c r="O91" i="18"/>
  <c r="X96" i="11"/>
  <c r="AG92" i="12"/>
  <c r="AL92" i="12"/>
  <c r="AM92" i="12" s="1"/>
  <c r="AL92" i="11"/>
  <c r="AM92" i="11" s="1"/>
  <c r="AG92" i="11"/>
  <c r="M92" i="18"/>
  <c r="AC96" i="9"/>
  <c r="X97" i="9"/>
  <c r="AI95" i="9"/>
  <c r="AC95" i="12"/>
  <c r="X96" i="12"/>
  <c r="P91" i="18"/>
  <c r="AJ93" i="12"/>
  <c r="AO93" i="12"/>
  <c r="AP93" i="12" s="1"/>
  <c r="W95" i="9"/>
  <c r="AB94" i="9"/>
  <c r="F90" i="18"/>
  <c r="Z94" i="12"/>
  <c r="AD94" i="12"/>
  <c r="AI94" i="12"/>
  <c r="AA93" i="11"/>
  <c r="AF93" i="11"/>
  <c r="AN92" i="9"/>
  <c r="AP92" i="9" s="1"/>
  <c r="AJ92" i="9"/>
  <c r="AL92" i="10"/>
  <c r="AM92" i="10" s="1"/>
  <c r="AG92" i="10"/>
  <c r="Z94" i="4"/>
  <c r="AF94" i="4" s="1"/>
  <c r="B90" i="18"/>
  <c r="W95" i="4"/>
  <c r="AB94" i="4"/>
  <c r="AH94" i="4" s="1"/>
  <c r="AN94" i="4" s="1"/>
  <c r="AC95" i="4"/>
  <c r="L91" i="18"/>
  <c r="X96" i="4"/>
  <c r="W95" i="11"/>
  <c r="AB94" i="11"/>
  <c r="AH94" i="11" s="1"/>
  <c r="AN94" i="11" s="1"/>
  <c r="AH93" i="9"/>
  <c r="AD93" i="9"/>
  <c r="AI94" i="11"/>
  <c r="AD94" i="11"/>
  <c r="AD93" i="11"/>
  <c r="M95" i="12"/>
  <c r="U94" i="12"/>
  <c r="Y94" i="12" s="1"/>
  <c r="AE94" i="12" s="1"/>
  <c r="AK94" i="12" s="1"/>
  <c r="AB95" i="10"/>
  <c r="AH95" i="10" s="1"/>
  <c r="AN95" i="10" s="1"/>
  <c r="W96" i="10"/>
  <c r="U95" i="9"/>
  <c r="Y95" i="9" s="1"/>
  <c r="AE95" i="9" s="1"/>
  <c r="AK95" i="9" s="1"/>
  <c r="I96" i="9"/>
  <c r="U94" i="10"/>
  <c r="Y94" i="10" s="1"/>
  <c r="AE94" i="10" s="1"/>
  <c r="AK94" i="10" s="1"/>
  <c r="I95" i="10"/>
  <c r="AJ93" i="10"/>
  <c r="AO93" i="10"/>
  <c r="AP93" i="10" s="1"/>
  <c r="AO93" i="11"/>
  <c r="AP93" i="11" s="1"/>
  <c r="AJ93" i="11"/>
  <c r="I97" i="12"/>
  <c r="J100" i="4"/>
  <c r="M96" i="4"/>
  <c r="U95" i="4"/>
  <c r="Y95" i="4" s="1"/>
  <c r="AE95" i="4" s="1"/>
  <c r="AK95" i="4" s="1"/>
  <c r="P96" i="4"/>
  <c r="V95" i="4"/>
  <c r="J96" i="11"/>
  <c r="V95" i="11"/>
  <c r="J96" i="10"/>
  <c r="V95" i="10"/>
  <c r="J96" i="9"/>
  <c r="V95" i="9"/>
  <c r="I100" i="4"/>
  <c r="J96" i="12"/>
  <c r="V95" i="12"/>
  <c r="AL93" i="4"/>
  <c r="AM93" i="4" s="1"/>
  <c r="AG93" i="4"/>
  <c r="AB95" i="4" l="1"/>
  <c r="AH95" i="4" s="1"/>
  <c r="AN95" i="4" s="1"/>
  <c r="W96" i="4"/>
  <c r="AB97" i="12"/>
  <c r="AH97" i="12" s="1"/>
  <c r="AN97" i="12" s="1"/>
  <c r="W98" i="12"/>
  <c r="N92" i="18"/>
  <c r="X97" i="10"/>
  <c r="AC96" i="10"/>
  <c r="M96" i="12"/>
  <c r="U95" i="12"/>
  <c r="Y95" i="12" s="1"/>
  <c r="AE95" i="12" s="1"/>
  <c r="AK95" i="12" s="1"/>
  <c r="AA94" i="12"/>
  <c r="AF94" i="12"/>
  <c r="AD95" i="10"/>
  <c r="AI95" i="10"/>
  <c r="AA94" i="10"/>
  <c r="AF94" i="10"/>
  <c r="X98" i="9"/>
  <c r="M93" i="18"/>
  <c r="AC97" i="9"/>
  <c r="U95" i="10"/>
  <c r="Y95" i="10" s="1"/>
  <c r="I96" i="10"/>
  <c r="D91" i="18"/>
  <c r="Z95" i="10"/>
  <c r="AF95" i="10" s="1"/>
  <c r="AL93" i="11"/>
  <c r="AM93" i="11" s="1"/>
  <c r="AG93" i="11"/>
  <c r="AI96" i="9"/>
  <c r="AA94" i="9"/>
  <c r="AF94" i="9"/>
  <c r="U96" i="9"/>
  <c r="Y96" i="9" s="1"/>
  <c r="AE96" i="9" s="1"/>
  <c r="AK96" i="9" s="1"/>
  <c r="I97" i="9"/>
  <c r="W97" i="10"/>
  <c r="AB96" i="10"/>
  <c r="AH96" i="10" s="1"/>
  <c r="AN96" i="10" s="1"/>
  <c r="AB95" i="9"/>
  <c r="W96" i="9"/>
  <c r="AL93" i="9"/>
  <c r="AM93" i="9" s="1"/>
  <c r="AG93" i="9"/>
  <c r="F91" i="18"/>
  <c r="Z95" i="12"/>
  <c r="Z95" i="4"/>
  <c r="AF95" i="4" s="1"/>
  <c r="B91" i="18"/>
  <c r="AG93" i="10"/>
  <c r="AL93" i="10"/>
  <c r="AM93" i="10" s="1"/>
  <c r="AN93" i="9"/>
  <c r="AP93" i="9" s="1"/>
  <c r="AJ93" i="9"/>
  <c r="O92" i="18"/>
  <c r="AC96" i="11"/>
  <c r="X97" i="11"/>
  <c r="E91" i="18"/>
  <c r="Z95" i="11"/>
  <c r="AJ94" i="11"/>
  <c r="AO94" i="11"/>
  <c r="AP94" i="11" s="1"/>
  <c r="AA94" i="4"/>
  <c r="AB95" i="11"/>
  <c r="AH95" i="11" s="1"/>
  <c r="AN95" i="11" s="1"/>
  <c r="W96" i="11"/>
  <c r="C91" i="18"/>
  <c r="Z95" i="9"/>
  <c r="L92" i="18"/>
  <c r="AC96" i="4"/>
  <c r="X97" i="4"/>
  <c r="AD94" i="4"/>
  <c r="AJ94" i="10"/>
  <c r="AO94" i="10"/>
  <c r="AP94" i="10" s="1"/>
  <c r="AL93" i="12"/>
  <c r="AM93" i="12" s="1"/>
  <c r="AG93" i="12"/>
  <c r="AI95" i="11"/>
  <c r="AI95" i="12"/>
  <c r="AD95" i="12"/>
  <c r="AJ94" i="4"/>
  <c r="AO94" i="4"/>
  <c r="AP94" i="4" s="1"/>
  <c r="AJ94" i="12"/>
  <c r="AO94" i="12"/>
  <c r="AP94" i="12" s="1"/>
  <c r="AA94" i="11"/>
  <c r="AF94" i="11"/>
  <c r="AH94" i="9"/>
  <c r="AD94" i="9"/>
  <c r="I98" i="12"/>
  <c r="X97" i="12"/>
  <c r="P92" i="18"/>
  <c r="AC96" i="12"/>
  <c r="AI95" i="4"/>
  <c r="AD95" i="4"/>
  <c r="AO95" i="9"/>
  <c r="U95" i="11"/>
  <c r="Y95" i="11" s="1"/>
  <c r="I96" i="11"/>
  <c r="AE94" i="11"/>
  <c r="AK94" i="11" s="1"/>
  <c r="I101" i="4"/>
  <c r="J97" i="9"/>
  <c r="V96" i="9"/>
  <c r="J97" i="11"/>
  <c r="V96" i="11"/>
  <c r="M97" i="4"/>
  <c r="U96" i="4"/>
  <c r="Y96" i="4" s="1"/>
  <c r="AE96" i="4" s="1"/>
  <c r="AK96" i="4" s="1"/>
  <c r="J97" i="12"/>
  <c r="V96" i="12"/>
  <c r="J97" i="10"/>
  <c r="V96" i="10"/>
  <c r="J101" i="4"/>
  <c r="P97" i="4"/>
  <c r="V96" i="4"/>
  <c r="AG94" i="4"/>
  <c r="AL94" i="4"/>
  <c r="AM94" i="4" s="1"/>
  <c r="AA95" i="4" l="1"/>
  <c r="AE95" i="11"/>
  <c r="AK95" i="11" s="1"/>
  <c r="AI96" i="12"/>
  <c r="AD96" i="12"/>
  <c r="AN94" i="9"/>
  <c r="AP94" i="9" s="1"/>
  <c r="AJ94" i="9"/>
  <c r="AB96" i="11"/>
  <c r="AH96" i="11" s="1"/>
  <c r="AN96" i="11" s="1"/>
  <c r="W97" i="11"/>
  <c r="AH95" i="9"/>
  <c r="AD95" i="9"/>
  <c r="AG94" i="12"/>
  <c r="AL94" i="12"/>
  <c r="AM94" i="12" s="1"/>
  <c r="AG94" i="10"/>
  <c r="AL94" i="10"/>
  <c r="AM94" i="10" s="1"/>
  <c r="AO95" i="10"/>
  <c r="AP95" i="10" s="1"/>
  <c r="AJ95" i="10"/>
  <c r="F92" i="18"/>
  <c r="Z96" i="12"/>
  <c r="AA95" i="12"/>
  <c r="AF95" i="12"/>
  <c r="AB96" i="9"/>
  <c r="W97" i="9"/>
  <c r="M97" i="12"/>
  <c r="U96" i="12"/>
  <c r="Y96" i="12" s="1"/>
  <c r="AE96" i="12" s="1"/>
  <c r="AK96" i="12" s="1"/>
  <c r="U96" i="10"/>
  <c r="Y96" i="10" s="1"/>
  <c r="I97" i="10"/>
  <c r="D92" i="18"/>
  <c r="Z96" i="10"/>
  <c r="I99" i="12"/>
  <c r="AI96" i="10"/>
  <c r="AD96" i="10"/>
  <c r="P93" i="18"/>
  <c r="AC97" i="12"/>
  <c r="X98" i="12"/>
  <c r="AA95" i="9"/>
  <c r="AF95" i="9"/>
  <c r="E92" i="18"/>
  <c r="Z96" i="11"/>
  <c r="N93" i="18"/>
  <c r="X98" i="10"/>
  <c r="AC97" i="10"/>
  <c r="AG94" i="11"/>
  <c r="AL94" i="11"/>
  <c r="AM94" i="11" s="1"/>
  <c r="C92" i="18"/>
  <c r="Z96" i="9"/>
  <c r="W99" i="12"/>
  <c r="AB98" i="12"/>
  <c r="AH98" i="12" s="1"/>
  <c r="AN98" i="12" s="1"/>
  <c r="Z96" i="4"/>
  <c r="B92" i="18"/>
  <c r="U97" i="9"/>
  <c r="Y97" i="9" s="1"/>
  <c r="AE97" i="9" s="1"/>
  <c r="AK97" i="9" s="1"/>
  <c r="I98" i="9"/>
  <c r="AA95" i="11"/>
  <c r="AF95" i="11"/>
  <c r="AI96" i="11"/>
  <c r="AD96" i="11"/>
  <c r="AO96" i="9"/>
  <c r="AA95" i="10"/>
  <c r="AE95" i="10"/>
  <c r="AK95" i="10" s="1"/>
  <c r="AO95" i="4"/>
  <c r="AP95" i="4" s="1"/>
  <c r="AJ95" i="4"/>
  <c r="L93" i="18"/>
  <c r="X98" i="4"/>
  <c r="AC97" i="4"/>
  <c r="M94" i="18"/>
  <c r="X99" i="9"/>
  <c r="AC98" i="9"/>
  <c r="AL94" i="9"/>
  <c r="AM94" i="9" s="1"/>
  <c r="AG94" i="9"/>
  <c r="O93" i="18"/>
  <c r="AC97" i="11"/>
  <c r="X98" i="11"/>
  <c r="AB96" i="4"/>
  <c r="AH96" i="4" s="1"/>
  <c r="AN96" i="4" s="1"/>
  <c r="W97" i="4"/>
  <c r="AL95" i="10"/>
  <c r="AI97" i="9"/>
  <c r="AD96" i="4"/>
  <c r="AI96" i="4"/>
  <c r="AB97" i="10"/>
  <c r="AH97" i="10" s="1"/>
  <c r="AN97" i="10" s="1"/>
  <c r="W98" i="10"/>
  <c r="AJ95" i="12"/>
  <c r="AO95" i="12"/>
  <c r="AP95" i="12" s="1"/>
  <c r="AD95" i="11"/>
  <c r="U96" i="11"/>
  <c r="I97" i="11"/>
  <c r="AO95" i="11"/>
  <c r="AP95" i="11" s="1"/>
  <c r="AJ95" i="11"/>
  <c r="P98" i="4"/>
  <c r="V97" i="4"/>
  <c r="J98" i="10"/>
  <c r="V97" i="10"/>
  <c r="J98" i="11"/>
  <c r="V97" i="11"/>
  <c r="AG95" i="4"/>
  <c r="AL95" i="4"/>
  <c r="AM95" i="4" s="1"/>
  <c r="M98" i="4"/>
  <c r="U97" i="4"/>
  <c r="Y97" i="4" s="1"/>
  <c r="AE97" i="4" s="1"/>
  <c r="AK97" i="4" s="1"/>
  <c r="AA96" i="4"/>
  <c r="AF96" i="4"/>
  <c r="J102" i="4"/>
  <c r="J98" i="12"/>
  <c r="V97" i="12"/>
  <c r="J98" i="9"/>
  <c r="V97" i="9"/>
  <c r="I102" i="4"/>
  <c r="AG95" i="10" l="1"/>
  <c r="AM95" i="10"/>
  <c r="AI97" i="10"/>
  <c r="AD97" i="10"/>
  <c r="AH96" i="9"/>
  <c r="AD96" i="9"/>
  <c r="X99" i="10"/>
  <c r="N94" i="18"/>
  <c r="AC98" i="10"/>
  <c r="AG95" i="12"/>
  <c r="AL95" i="12"/>
  <c r="AM95" i="12" s="1"/>
  <c r="M98" i="12"/>
  <c r="U97" i="12"/>
  <c r="Y97" i="12" s="1"/>
  <c r="AE97" i="12" s="1"/>
  <c r="AK97" i="12" s="1"/>
  <c r="W99" i="10"/>
  <c r="AB98" i="10"/>
  <c r="AH98" i="10" s="1"/>
  <c r="AN98" i="10" s="1"/>
  <c r="AJ96" i="4"/>
  <c r="AO96" i="4"/>
  <c r="AP96" i="4" s="1"/>
  <c r="AF96" i="11"/>
  <c r="AL96" i="11" s="1"/>
  <c r="AO97" i="9"/>
  <c r="AI97" i="12"/>
  <c r="AD97" i="12"/>
  <c r="AO96" i="10"/>
  <c r="AP96" i="10" s="1"/>
  <c r="AJ96" i="10"/>
  <c r="AJ96" i="11"/>
  <c r="AO96" i="11"/>
  <c r="AP96" i="11" s="1"/>
  <c r="AN95" i="9"/>
  <c r="AP95" i="9" s="1"/>
  <c r="AJ95" i="9"/>
  <c r="F93" i="18"/>
  <c r="Z97" i="12"/>
  <c r="X99" i="12"/>
  <c r="P94" i="18"/>
  <c r="AC98" i="12"/>
  <c r="W98" i="4"/>
  <c r="AB97" i="4"/>
  <c r="AH97" i="4" s="1"/>
  <c r="AN97" i="4" s="1"/>
  <c r="W98" i="11"/>
  <c r="AB97" i="11"/>
  <c r="AH97" i="11" s="1"/>
  <c r="AN97" i="11" s="1"/>
  <c r="X99" i="4"/>
  <c r="L94" i="18"/>
  <c r="AC98" i="4"/>
  <c r="W98" i="9"/>
  <c r="AB97" i="9"/>
  <c r="AL95" i="9"/>
  <c r="AM95" i="9" s="1"/>
  <c r="AG95" i="9"/>
  <c r="AL95" i="11"/>
  <c r="AM95" i="11" s="1"/>
  <c r="AG95" i="11"/>
  <c r="E93" i="18"/>
  <c r="Z97" i="11"/>
  <c r="U98" i="9"/>
  <c r="Y98" i="9" s="1"/>
  <c r="AE98" i="9" s="1"/>
  <c r="AK98" i="9" s="1"/>
  <c r="I99" i="9"/>
  <c r="Z97" i="4"/>
  <c r="B93" i="18"/>
  <c r="AA96" i="12"/>
  <c r="AF96" i="12"/>
  <c r="AB99" i="12"/>
  <c r="AH99" i="12" s="1"/>
  <c r="AN99" i="12" s="1"/>
  <c r="W100" i="12"/>
  <c r="AA96" i="10"/>
  <c r="AF96" i="10"/>
  <c r="C93" i="18"/>
  <c r="Z97" i="9"/>
  <c r="I100" i="12"/>
  <c r="AA96" i="9"/>
  <c r="AF96" i="9"/>
  <c r="X99" i="11"/>
  <c r="O94" i="18"/>
  <c r="AC98" i="11"/>
  <c r="D93" i="18"/>
  <c r="Z97" i="10"/>
  <c r="AI97" i="11"/>
  <c r="AI98" i="9"/>
  <c r="U97" i="11"/>
  <c r="I98" i="11"/>
  <c r="U97" i="10"/>
  <c r="Y97" i="10" s="1"/>
  <c r="I98" i="10"/>
  <c r="M95" i="18"/>
  <c r="AC99" i="9"/>
  <c r="X100" i="9"/>
  <c r="Y97" i="11"/>
  <c r="Y96" i="11"/>
  <c r="AE96" i="11" s="1"/>
  <c r="AI97" i="4"/>
  <c r="AD97" i="4"/>
  <c r="AE96" i="10"/>
  <c r="AK96" i="10" s="1"/>
  <c r="AJ96" i="12"/>
  <c r="AO96" i="12"/>
  <c r="AP96" i="12" s="1"/>
  <c r="J99" i="9"/>
  <c r="V98" i="9"/>
  <c r="J99" i="12"/>
  <c r="V98" i="12"/>
  <c r="M99" i="4"/>
  <c r="U98" i="4"/>
  <c r="Y98" i="4" s="1"/>
  <c r="AE98" i="4" s="1"/>
  <c r="AK98" i="4" s="1"/>
  <c r="AL96" i="4"/>
  <c r="AM96" i="4" s="1"/>
  <c r="AG96" i="4"/>
  <c r="J99" i="11"/>
  <c r="V98" i="11"/>
  <c r="I103" i="4"/>
  <c r="AF97" i="4"/>
  <c r="AA97" i="4"/>
  <c r="J103" i="4"/>
  <c r="J99" i="10"/>
  <c r="V98" i="10"/>
  <c r="P99" i="4"/>
  <c r="V98" i="4"/>
  <c r="AE97" i="11" l="1"/>
  <c r="AK97" i="11" s="1"/>
  <c r="AB98" i="9"/>
  <c r="W99" i="9"/>
  <c r="I101" i="12"/>
  <c r="AB98" i="11"/>
  <c r="AH98" i="11" s="1"/>
  <c r="AN98" i="11" s="1"/>
  <c r="W99" i="11"/>
  <c r="AB99" i="10"/>
  <c r="AH99" i="10" s="1"/>
  <c r="AN99" i="10" s="1"/>
  <c r="W100" i="10"/>
  <c r="E94" i="18"/>
  <c r="Z98" i="11"/>
  <c r="M99" i="12"/>
  <c r="U98" i="12"/>
  <c r="Y98" i="12" s="1"/>
  <c r="AE98" i="12" s="1"/>
  <c r="AK98" i="12" s="1"/>
  <c r="AH97" i="9"/>
  <c r="AD97" i="9"/>
  <c r="AI98" i="4"/>
  <c r="AD98" i="4"/>
  <c r="AA97" i="9"/>
  <c r="AF97" i="9"/>
  <c r="X100" i="11"/>
  <c r="O95" i="18"/>
  <c r="AC99" i="11"/>
  <c r="AB100" i="12"/>
  <c r="AH100" i="12" s="1"/>
  <c r="AN100" i="12" s="1"/>
  <c r="W101" i="12"/>
  <c r="AB98" i="4"/>
  <c r="AH98" i="4" s="1"/>
  <c r="AN98" i="4" s="1"/>
  <c r="W99" i="4"/>
  <c r="AO98" i="9"/>
  <c r="AD98" i="10"/>
  <c r="AI98" i="10"/>
  <c r="AG96" i="12"/>
  <c r="AL96" i="12"/>
  <c r="AM96" i="12" s="1"/>
  <c r="AL96" i="9"/>
  <c r="AM96" i="9" s="1"/>
  <c r="AG96" i="9"/>
  <c r="AG96" i="11"/>
  <c r="AK96" i="11"/>
  <c r="AM96" i="11" s="1"/>
  <c r="AE97" i="10"/>
  <c r="AK97" i="10" s="1"/>
  <c r="AD98" i="12"/>
  <c r="AI98" i="12"/>
  <c r="AD97" i="11"/>
  <c r="N95" i="18"/>
  <c r="AC99" i="10"/>
  <c r="X100" i="10"/>
  <c r="Z98" i="4"/>
  <c r="AF98" i="4" s="1"/>
  <c r="B94" i="18"/>
  <c r="AA96" i="11"/>
  <c r="AG96" i="10"/>
  <c r="AL96" i="10"/>
  <c r="AM96" i="10" s="1"/>
  <c r="P95" i="18"/>
  <c r="X100" i="12"/>
  <c r="AC99" i="12"/>
  <c r="AA97" i="12"/>
  <c r="AF97" i="12"/>
  <c r="F94" i="18"/>
  <c r="Z98" i="12"/>
  <c r="AA97" i="10"/>
  <c r="AF97" i="10"/>
  <c r="AA97" i="11"/>
  <c r="AF97" i="11"/>
  <c r="D94" i="18"/>
  <c r="Z98" i="10"/>
  <c r="AI99" i="9"/>
  <c r="U98" i="11"/>
  <c r="Y98" i="11" s="1"/>
  <c r="AE98" i="11" s="1"/>
  <c r="AK98" i="11" s="1"/>
  <c r="I99" i="11"/>
  <c r="U99" i="9"/>
  <c r="Y99" i="9" s="1"/>
  <c r="AE99" i="9" s="1"/>
  <c r="AK99" i="9" s="1"/>
  <c r="I100" i="9"/>
  <c r="AN96" i="9"/>
  <c r="AP96" i="9" s="1"/>
  <c r="AJ96" i="9"/>
  <c r="AO97" i="4"/>
  <c r="AP97" i="4" s="1"/>
  <c r="AJ97" i="4"/>
  <c r="X100" i="4"/>
  <c r="L95" i="18"/>
  <c r="AC99" i="4"/>
  <c r="AC100" i="9"/>
  <c r="X101" i="9"/>
  <c r="M96" i="18"/>
  <c r="U98" i="10"/>
  <c r="I99" i="10"/>
  <c r="C94" i="18"/>
  <c r="Z98" i="9"/>
  <c r="AI98" i="11"/>
  <c r="AD98" i="11"/>
  <c r="AO97" i="12"/>
  <c r="AP97" i="12" s="1"/>
  <c r="AJ97" i="12"/>
  <c r="AJ97" i="11"/>
  <c r="AO97" i="11"/>
  <c r="AP97" i="11" s="1"/>
  <c r="AJ97" i="10"/>
  <c r="AO97" i="10"/>
  <c r="AP97" i="10" s="1"/>
  <c r="AL97" i="4"/>
  <c r="AM97" i="4" s="1"/>
  <c r="AG97" i="4"/>
  <c r="J100" i="10"/>
  <c r="V99" i="10"/>
  <c r="M100" i="4"/>
  <c r="U99" i="4"/>
  <c r="Y99" i="4" s="1"/>
  <c r="AE99" i="4" s="1"/>
  <c r="AK99" i="4" s="1"/>
  <c r="J100" i="11"/>
  <c r="V99" i="11"/>
  <c r="P100" i="4"/>
  <c r="V99" i="4"/>
  <c r="J104" i="4"/>
  <c r="I104" i="4"/>
  <c r="J100" i="12"/>
  <c r="V99" i="12"/>
  <c r="J100" i="9"/>
  <c r="V99" i="9"/>
  <c r="AA98" i="4" l="1"/>
  <c r="AD99" i="10"/>
  <c r="AI99" i="10"/>
  <c r="AJ98" i="11"/>
  <c r="AO98" i="11"/>
  <c r="AP98" i="11" s="1"/>
  <c r="AJ98" i="12"/>
  <c r="AO98" i="12"/>
  <c r="AP98" i="12" s="1"/>
  <c r="M100" i="12"/>
  <c r="U99" i="12"/>
  <c r="Y99" i="12" s="1"/>
  <c r="AE99" i="12" s="1"/>
  <c r="AK99" i="12" s="1"/>
  <c r="AA98" i="11"/>
  <c r="AF98" i="11"/>
  <c r="O96" i="18"/>
  <c r="X101" i="11"/>
  <c r="AC100" i="11"/>
  <c r="AA98" i="9"/>
  <c r="AF98" i="9"/>
  <c r="AI99" i="12"/>
  <c r="AD99" i="12"/>
  <c r="Z99" i="4"/>
  <c r="AF99" i="4" s="1"/>
  <c r="B95" i="18"/>
  <c r="AC100" i="12"/>
  <c r="P96" i="18"/>
  <c r="X101" i="12"/>
  <c r="AJ98" i="10"/>
  <c r="AO98" i="10"/>
  <c r="AP98" i="10" s="1"/>
  <c r="W101" i="10"/>
  <c r="AB100" i="10"/>
  <c r="AH100" i="10" s="1"/>
  <c r="AN100" i="10" s="1"/>
  <c r="AI99" i="11"/>
  <c r="AL97" i="9"/>
  <c r="AM97" i="9" s="1"/>
  <c r="AG97" i="9"/>
  <c r="U99" i="10"/>
  <c r="Y99" i="10" s="1"/>
  <c r="I100" i="10"/>
  <c r="X102" i="9"/>
  <c r="AC101" i="9"/>
  <c r="M97" i="18"/>
  <c r="AL97" i="11"/>
  <c r="AM97" i="11" s="1"/>
  <c r="AG97" i="11"/>
  <c r="E95" i="18"/>
  <c r="Z99" i="11"/>
  <c r="AG97" i="12"/>
  <c r="AL97" i="12"/>
  <c r="AM97" i="12" s="1"/>
  <c r="AB99" i="11"/>
  <c r="AH99" i="11" s="1"/>
  <c r="AN99" i="11" s="1"/>
  <c r="W100" i="11"/>
  <c r="C95" i="18"/>
  <c r="Z99" i="9"/>
  <c r="AO99" i="9"/>
  <c r="F95" i="18"/>
  <c r="Z99" i="12"/>
  <c r="W100" i="4"/>
  <c r="AB99" i="4"/>
  <c r="AH99" i="4" s="1"/>
  <c r="AN99" i="4" s="1"/>
  <c r="I102" i="12"/>
  <c r="D95" i="18"/>
  <c r="Z99" i="10"/>
  <c r="AL97" i="10"/>
  <c r="AM97" i="10" s="1"/>
  <c r="AG97" i="10"/>
  <c r="AA98" i="12"/>
  <c r="AF98" i="12"/>
  <c r="AB101" i="12"/>
  <c r="AH101" i="12" s="1"/>
  <c r="AN101" i="12" s="1"/>
  <c r="W102" i="12"/>
  <c r="AB99" i="9"/>
  <c r="W100" i="9"/>
  <c r="AF98" i="10"/>
  <c r="AO98" i="4"/>
  <c r="AP98" i="4" s="1"/>
  <c r="AJ98" i="4"/>
  <c r="Y98" i="10"/>
  <c r="AE98" i="10" s="1"/>
  <c r="AK98" i="10" s="1"/>
  <c r="AN97" i="9"/>
  <c r="AP97" i="9" s="1"/>
  <c r="AJ97" i="9"/>
  <c r="AI100" i="9"/>
  <c r="AI99" i="4"/>
  <c r="L96" i="18"/>
  <c r="X101" i="4"/>
  <c r="AC100" i="4"/>
  <c r="U100" i="9"/>
  <c r="I101" i="9"/>
  <c r="U99" i="11"/>
  <c r="Y99" i="11" s="1"/>
  <c r="AE99" i="11" s="1"/>
  <c r="AK99" i="11" s="1"/>
  <c r="I100" i="11"/>
  <c r="N96" i="18"/>
  <c r="X101" i="10"/>
  <c r="AC100" i="10"/>
  <c r="AH98" i="9"/>
  <c r="AD98" i="9"/>
  <c r="I105" i="4"/>
  <c r="J101" i="9"/>
  <c r="V100" i="9"/>
  <c r="M101" i="4"/>
  <c r="U100" i="4"/>
  <c r="Y100" i="4" s="1"/>
  <c r="AE100" i="4" s="1"/>
  <c r="AK100" i="4" s="1"/>
  <c r="AL98" i="4"/>
  <c r="AM98" i="4" s="1"/>
  <c r="AG98" i="4"/>
  <c r="J101" i="12"/>
  <c r="V100" i="12"/>
  <c r="J105" i="4"/>
  <c r="P101" i="4"/>
  <c r="V100" i="4"/>
  <c r="J101" i="11"/>
  <c r="V100" i="11"/>
  <c r="J101" i="10"/>
  <c r="V100" i="10"/>
  <c r="AA98" i="10" l="1"/>
  <c r="AE99" i="10"/>
  <c r="AK99" i="10" s="1"/>
  <c r="AD99" i="4"/>
  <c r="AI100" i="10"/>
  <c r="AD100" i="10"/>
  <c r="U101" i="9"/>
  <c r="I102" i="9"/>
  <c r="AO99" i="12"/>
  <c r="AP99" i="12" s="1"/>
  <c r="AJ99" i="12"/>
  <c r="M101" i="12"/>
  <c r="U100" i="12"/>
  <c r="Y100" i="12" s="1"/>
  <c r="AE100" i="12" s="1"/>
  <c r="AK100" i="12" s="1"/>
  <c r="P97" i="18"/>
  <c r="AC101" i="12"/>
  <c r="X102" i="12"/>
  <c r="U100" i="11"/>
  <c r="Y100" i="11" s="1"/>
  <c r="AE100" i="11" s="1"/>
  <c r="AK100" i="11" s="1"/>
  <c r="I101" i="11"/>
  <c r="Z100" i="4"/>
  <c r="AF100" i="4" s="1"/>
  <c r="B96" i="18"/>
  <c r="AL98" i="11"/>
  <c r="AM98" i="11" s="1"/>
  <c r="AG98" i="11"/>
  <c r="I103" i="12"/>
  <c r="AG98" i="12"/>
  <c r="AL98" i="12"/>
  <c r="AM98" i="12" s="1"/>
  <c r="U100" i="10"/>
  <c r="Y100" i="10" s="1"/>
  <c r="AE100" i="10" s="1"/>
  <c r="AK100" i="10" s="1"/>
  <c r="I101" i="10"/>
  <c r="AA99" i="4"/>
  <c r="AN98" i="9"/>
  <c r="AP98" i="9" s="1"/>
  <c r="AJ98" i="9"/>
  <c r="X102" i="10"/>
  <c r="N97" i="18"/>
  <c r="AC101" i="10"/>
  <c r="AC102" i="9"/>
  <c r="M98" i="18"/>
  <c r="X103" i="9"/>
  <c r="AO99" i="4"/>
  <c r="AP99" i="4" s="1"/>
  <c r="AJ99" i="4"/>
  <c r="W101" i="4"/>
  <c r="AB100" i="4"/>
  <c r="AH100" i="4" s="1"/>
  <c r="AN100" i="4" s="1"/>
  <c r="D96" i="18"/>
  <c r="Z100" i="10"/>
  <c r="E96" i="18"/>
  <c r="Z100" i="11"/>
  <c r="Y101" i="9"/>
  <c r="Y100" i="9"/>
  <c r="AE100" i="9" s="1"/>
  <c r="AK100" i="9" s="1"/>
  <c r="F96" i="18"/>
  <c r="Z100" i="12"/>
  <c r="AJ99" i="11"/>
  <c r="AO99" i="11"/>
  <c r="AP99" i="11" s="1"/>
  <c r="W102" i="10"/>
  <c r="AB101" i="10"/>
  <c r="AH101" i="10" s="1"/>
  <c r="AN101" i="10" s="1"/>
  <c r="AB100" i="11"/>
  <c r="AH100" i="11" s="1"/>
  <c r="AN100" i="11" s="1"/>
  <c r="W101" i="11"/>
  <c r="AH99" i="9"/>
  <c r="AD99" i="9"/>
  <c r="W103" i="12"/>
  <c r="AB102" i="12"/>
  <c r="AH102" i="12" s="1"/>
  <c r="AN102" i="12" s="1"/>
  <c r="O97" i="18"/>
  <c r="X102" i="11"/>
  <c r="AC101" i="11"/>
  <c r="AO100" i="9"/>
  <c r="AD99" i="11"/>
  <c r="C96" i="18"/>
  <c r="Z100" i="9"/>
  <c r="AO99" i="10"/>
  <c r="AP99" i="10" s="1"/>
  <c r="AJ99" i="10"/>
  <c r="W101" i="9"/>
  <c r="AB100" i="9"/>
  <c r="AD100" i="12"/>
  <c r="AI100" i="12"/>
  <c r="AA99" i="11"/>
  <c r="AF99" i="11"/>
  <c r="AL98" i="9"/>
  <c r="AM98" i="9" s="1"/>
  <c r="AG98" i="9"/>
  <c r="AI100" i="4"/>
  <c r="L97" i="18"/>
  <c r="X102" i="4"/>
  <c r="AC101" i="4"/>
  <c r="AI100" i="11"/>
  <c r="AD100" i="11"/>
  <c r="AI101" i="9"/>
  <c r="AA99" i="10"/>
  <c r="AF99" i="10"/>
  <c r="AA99" i="12"/>
  <c r="AF99" i="12"/>
  <c r="AL98" i="10"/>
  <c r="AM98" i="10" s="1"/>
  <c r="AG98" i="10"/>
  <c r="AA99" i="9"/>
  <c r="AF99" i="9"/>
  <c r="J102" i="11"/>
  <c r="V101" i="11"/>
  <c r="J102" i="12"/>
  <c r="V101" i="12"/>
  <c r="J102" i="10"/>
  <c r="V101" i="10"/>
  <c r="P102" i="4"/>
  <c r="V101" i="4"/>
  <c r="AL99" i="4"/>
  <c r="AM99" i="4" s="1"/>
  <c r="AG99" i="4"/>
  <c r="J106" i="4"/>
  <c r="M102" i="4"/>
  <c r="U101" i="4"/>
  <c r="Y101" i="4" s="1"/>
  <c r="AE101" i="4" s="1"/>
  <c r="AK101" i="4" s="1"/>
  <c r="J102" i="9"/>
  <c r="V101" i="9"/>
  <c r="I106" i="4"/>
  <c r="AA100" i="4" l="1"/>
  <c r="W102" i="9"/>
  <c r="AB101" i="9"/>
  <c r="AG99" i="10"/>
  <c r="AL99" i="10"/>
  <c r="AM99" i="10" s="1"/>
  <c r="AO101" i="9"/>
  <c r="AI101" i="4"/>
  <c r="X103" i="12"/>
  <c r="P98" i="18"/>
  <c r="AC102" i="12"/>
  <c r="AJ100" i="11"/>
  <c r="AO100" i="11"/>
  <c r="AP100" i="11" s="1"/>
  <c r="L98" i="18"/>
  <c r="AC102" i="4"/>
  <c r="X103" i="4"/>
  <c r="W104" i="12"/>
  <c r="AB103" i="12"/>
  <c r="AH103" i="12" s="1"/>
  <c r="AN103" i="12" s="1"/>
  <c r="AI102" i="9"/>
  <c r="M102" i="12"/>
  <c r="U101" i="12"/>
  <c r="Y101" i="12" s="1"/>
  <c r="AE101" i="12" s="1"/>
  <c r="AK101" i="12" s="1"/>
  <c r="U101" i="11"/>
  <c r="Y101" i="11" s="1"/>
  <c r="AE101" i="11" s="1"/>
  <c r="AK101" i="11" s="1"/>
  <c r="I102" i="11"/>
  <c r="M99" i="18"/>
  <c r="AC103" i="9"/>
  <c r="X104" i="9"/>
  <c r="AI101" i="11"/>
  <c r="W102" i="4"/>
  <c r="AB101" i="4"/>
  <c r="AH101" i="4" s="1"/>
  <c r="AN101" i="4" s="1"/>
  <c r="AJ100" i="4"/>
  <c r="AO100" i="4"/>
  <c r="AP100" i="4" s="1"/>
  <c r="AI101" i="10"/>
  <c r="AD101" i="10"/>
  <c r="N98" i="18"/>
  <c r="AC102" i="10"/>
  <c r="X103" i="10"/>
  <c r="AA100" i="12"/>
  <c r="AF100" i="12"/>
  <c r="I104" i="12"/>
  <c r="AA100" i="11"/>
  <c r="AF100" i="11"/>
  <c r="AA100" i="10"/>
  <c r="AF100" i="10"/>
  <c r="U102" i="9"/>
  <c r="Y102" i="9" s="1"/>
  <c r="I103" i="9"/>
  <c r="O98" i="18"/>
  <c r="X103" i="11"/>
  <c r="AC102" i="11"/>
  <c r="Z101" i="4"/>
  <c r="B97" i="18"/>
  <c r="D97" i="18"/>
  <c r="Z101" i="10"/>
  <c r="W102" i="11"/>
  <c r="AB101" i="11"/>
  <c r="AH101" i="11" s="1"/>
  <c r="AN101" i="11" s="1"/>
  <c r="AG99" i="12"/>
  <c r="AL99" i="12"/>
  <c r="AM99" i="12" s="1"/>
  <c r="C97" i="18"/>
  <c r="Z101" i="9"/>
  <c r="AE101" i="9"/>
  <c r="AK101" i="9" s="1"/>
  <c r="AA100" i="9"/>
  <c r="AF100" i="9"/>
  <c r="F97" i="18"/>
  <c r="Z101" i="12"/>
  <c r="E97" i="18"/>
  <c r="Z101" i="11"/>
  <c r="AL99" i="9"/>
  <c r="AM99" i="9" s="1"/>
  <c r="AG99" i="9"/>
  <c r="AI101" i="12"/>
  <c r="AD101" i="12"/>
  <c r="AD100" i="4"/>
  <c r="AN99" i="9"/>
  <c r="AP99" i="9" s="1"/>
  <c r="AJ99" i="9"/>
  <c r="AL99" i="11"/>
  <c r="AM99" i="11" s="1"/>
  <c r="AG99" i="11"/>
  <c r="AO100" i="12"/>
  <c r="AP100" i="12" s="1"/>
  <c r="AJ100" i="12"/>
  <c r="W103" i="10"/>
  <c r="AB102" i="10"/>
  <c r="AH102" i="10" s="1"/>
  <c r="AN102" i="10" s="1"/>
  <c r="AH100" i="9"/>
  <c r="AD100" i="9"/>
  <c r="U101" i="10"/>
  <c r="Y101" i="10" s="1"/>
  <c r="AE101" i="10" s="1"/>
  <c r="AK101" i="10" s="1"/>
  <c r="I102" i="10"/>
  <c r="AO100" i="10"/>
  <c r="AP100" i="10" s="1"/>
  <c r="AJ100" i="10"/>
  <c r="I107" i="4"/>
  <c r="AL100" i="4"/>
  <c r="AM100" i="4" s="1"/>
  <c r="AG100" i="4"/>
  <c r="J103" i="10"/>
  <c r="V102" i="10"/>
  <c r="M103" i="4"/>
  <c r="U102" i="4"/>
  <c r="Y102" i="4" s="1"/>
  <c r="AE102" i="4" s="1"/>
  <c r="AK102" i="4" s="1"/>
  <c r="J107" i="4"/>
  <c r="P103" i="4"/>
  <c r="V102" i="4"/>
  <c r="J103" i="9"/>
  <c r="V102" i="9"/>
  <c r="AF101" i="4"/>
  <c r="AA101" i="4"/>
  <c r="J103" i="12"/>
  <c r="V102" i="12"/>
  <c r="J103" i="11"/>
  <c r="V102" i="11"/>
  <c r="AO102" i="9" l="1"/>
  <c r="AD102" i="12"/>
  <c r="AI102" i="12"/>
  <c r="E98" i="18"/>
  <c r="Z102" i="11"/>
  <c r="AN100" i="9"/>
  <c r="AP100" i="9" s="1"/>
  <c r="AJ100" i="9"/>
  <c r="W105" i="12"/>
  <c r="AB104" i="12"/>
  <c r="AH104" i="12" s="1"/>
  <c r="AN104" i="12" s="1"/>
  <c r="AB103" i="10"/>
  <c r="AH103" i="10" s="1"/>
  <c r="AN103" i="10" s="1"/>
  <c r="W104" i="10"/>
  <c r="AI102" i="10"/>
  <c r="AD102" i="10"/>
  <c r="AD102" i="4"/>
  <c r="AI102" i="4"/>
  <c r="AC103" i="12"/>
  <c r="X104" i="12"/>
  <c r="P99" i="18"/>
  <c r="AJ101" i="4"/>
  <c r="AO101" i="4"/>
  <c r="AP101" i="4" s="1"/>
  <c r="X105" i="9"/>
  <c r="AC104" i="9"/>
  <c r="M100" i="18"/>
  <c r="AD101" i="4"/>
  <c r="Z102" i="4"/>
  <c r="AA102" i="4" s="1"/>
  <c r="B98" i="18"/>
  <c r="D98" i="18"/>
  <c r="Z102" i="10"/>
  <c r="U103" i="9"/>
  <c r="Y103" i="9" s="1"/>
  <c r="I104" i="9"/>
  <c r="AI103" i="9"/>
  <c r="I105" i="12"/>
  <c r="AJ101" i="10"/>
  <c r="AO101" i="10"/>
  <c r="AP101" i="10" s="1"/>
  <c r="AA101" i="11"/>
  <c r="AF101" i="11"/>
  <c r="AE102" i="9"/>
  <c r="AK102" i="9" s="1"/>
  <c r="AL100" i="12"/>
  <c r="AM100" i="12" s="1"/>
  <c r="AG100" i="12"/>
  <c r="F98" i="18"/>
  <c r="Z102" i="12"/>
  <c r="W103" i="11"/>
  <c r="AB102" i="11"/>
  <c r="AH102" i="11" s="1"/>
  <c r="AN102" i="11" s="1"/>
  <c r="AI102" i="11"/>
  <c r="U102" i="11"/>
  <c r="Y102" i="11" s="1"/>
  <c r="AE102" i="11" s="1"/>
  <c r="AK102" i="11" s="1"/>
  <c r="I103" i="11"/>
  <c r="U102" i="10"/>
  <c r="Y102" i="10" s="1"/>
  <c r="AE102" i="10" s="1"/>
  <c r="AK102" i="10" s="1"/>
  <c r="I103" i="10"/>
  <c r="AA101" i="9"/>
  <c r="AF101" i="9"/>
  <c r="AB102" i="4"/>
  <c r="AH102" i="4" s="1"/>
  <c r="AN102" i="4" s="1"/>
  <c r="W103" i="4"/>
  <c r="AL100" i="10"/>
  <c r="AM100" i="10" s="1"/>
  <c r="AG100" i="10"/>
  <c r="AA101" i="12"/>
  <c r="AF101" i="12"/>
  <c r="C98" i="18"/>
  <c r="Z102" i="9"/>
  <c r="AD101" i="11"/>
  <c r="AO101" i="12"/>
  <c r="AP101" i="12" s="1"/>
  <c r="AJ101" i="12"/>
  <c r="AO101" i="11"/>
  <c r="AP101" i="11" s="1"/>
  <c r="AJ101" i="11"/>
  <c r="AH101" i="9"/>
  <c r="AD101" i="9"/>
  <c r="N99" i="18"/>
  <c r="AC103" i="10"/>
  <c r="X104" i="10"/>
  <c r="AC103" i="4"/>
  <c r="L99" i="18"/>
  <c r="X104" i="4"/>
  <c r="AA101" i="10"/>
  <c r="AF101" i="10"/>
  <c r="AC103" i="11"/>
  <c r="X104" i="11"/>
  <c r="O99" i="18"/>
  <c r="AL100" i="11"/>
  <c r="AM100" i="11" s="1"/>
  <c r="AG100" i="11"/>
  <c r="AL100" i="9"/>
  <c r="AM100" i="9" s="1"/>
  <c r="AG100" i="9"/>
  <c r="M103" i="12"/>
  <c r="U102" i="12"/>
  <c r="Y102" i="12" s="1"/>
  <c r="AE102" i="12" s="1"/>
  <c r="AK102" i="12" s="1"/>
  <c r="W103" i="9"/>
  <c r="AB102" i="9"/>
  <c r="J108" i="4"/>
  <c r="J104" i="11"/>
  <c r="V103" i="11"/>
  <c r="J104" i="10"/>
  <c r="V103" i="10"/>
  <c r="J104" i="9"/>
  <c r="V103" i="9"/>
  <c r="P104" i="4"/>
  <c r="V103" i="4"/>
  <c r="M104" i="4"/>
  <c r="U103" i="4"/>
  <c r="Y103" i="4" s="1"/>
  <c r="AE103" i="4" s="1"/>
  <c r="AK103" i="4" s="1"/>
  <c r="J104" i="12"/>
  <c r="V103" i="12"/>
  <c r="AG101" i="4"/>
  <c r="AL101" i="4"/>
  <c r="AM101" i="4" s="1"/>
  <c r="I108" i="4"/>
  <c r="AF102" i="4" l="1"/>
  <c r="AD102" i="11"/>
  <c r="AD103" i="12"/>
  <c r="AI103" i="12"/>
  <c r="AO102" i="10"/>
  <c r="AP102" i="10" s="1"/>
  <c r="AJ102" i="10"/>
  <c r="AB105" i="12"/>
  <c r="AH105" i="12" s="1"/>
  <c r="AN105" i="12" s="1"/>
  <c r="W106" i="12"/>
  <c r="AJ102" i="4"/>
  <c r="AO102" i="4"/>
  <c r="AP102" i="4" s="1"/>
  <c r="L100" i="18"/>
  <c r="AC104" i="4"/>
  <c r="X105" i="4"/>
  <c r="AC104" i="12"/>
  <c r="P100" i="18"/>
  <c r="X105" i="12"/>
  <c r="Z103" i="4"/>
  <c r="AA103" i="4" s="1"/>
  <c r="B99" i="18"/>
  <c r="N100" i="18"/>
  <c r="X105" i="10"/>
  <c r="AC104" i="10"/>
  <c r="AA102" i="9"/>
  <c r="AF102" i="9"/>
  <c r="AL101" i="12"/>
  <c r="AM101" i="12" s="1"/>
  <c r="AG101" i="12"/>
  <c r="AI103" i="11"/>
  <c r="AB104" i="10"/>
  <c r="AH104" i="10" s="1"/>
  <c r="AN104" i="10" s="1"/>
  <c r="W105" i="10"/>
  <c r="AA102" i="11"/>
  <c r="AF102" i="11"/>
  <c r="AL101" i="9"/>
  <c r="AM101" i="9" s="1"/>
  <c r="AG101" i="9"/>
  <c r="U103" i="11"/>
  <c r="Y103" i="11" s="1"/>
  <c r="I104" i="11"/>
  <c r="AL101" i="10"/>
  <c r="AM101" i="10" s="1"/>
  <c r="AG101" i="10"/>
  <c r="AO103" i="9"/>
  <c r="AD103" i="10"/>
  <c r="AI103" i="10"/>
  <c r="E99" i="18"/>
  <c r="Z103" i="11"/>
  <c r="AF103" i="11" s="1"/>
  <c r="AO102" i="12"/>
  <c r="AP102" i="12" s="1"/>
  <c r="AJ102" i="12"/>
  <c r="F99" i="18"/>
  <c r="Z103" i="12"/>
  <c r="AL101" i="11"/>
  <c r="AM101" i="11" s="1"/>
  <c r="AG101" i="11"/>
  <c r="O100" i="18"/>
  <c r="X105" i="11"/>
  <c r="AC104" i="11"/>
  <c r="AB103" i="4"/>
  <c r="AH103" i="4" s="1"/>
  <c r="AN103" i="4" s="1"/>
  <c r="W104" i="4"/>
  <c r="C99" i="18"/>
  <c r="Z103" i="9"/>
  <c r="D99" i="18"/>
  <c r="Z103" i="10"/>
  <c r="U103" i="10"/>
  <c r="Y103" i="10" s="1"/>
  <c r="AE103" i="10" s="1"/>
  <c r="AK103" i="10" s="1"/>
  <c r="I104" i="10"/>
  <c r="U104" i="9"/>
  <c r="Y104" i="9" s="1"/>
  <c r="I105" i="9"/>
  <c r="AE103" i="9"/>
  <c r="AK103" i="9" s="1"/>
  <c r="AH102" i="9"/>
  <c r="AD102" i="9"/>
  <c r="M104" i="12"/>
  <c r="U103" i="12"/>
  <c r="Y103" i="12" s="1"/>
  <c r="AE103" i="12" s="1"/>
  <c r="AK103" i="12" s="1"/>
  <c r="AC105" i="9"/>
  <c r="M101" i="18"/>
  <c r="X106" i="9"/>
  <c r="AI103" i="4"/>
  <c r="AN101" i="9"/>
  <c r="AP101" i="9" s="1"/>
  <c r="AJ101" i="9"/>
  <c r="AO102" i="11"/>
  <c r="AP102" i="11" s="1"/>
  <c r="AJ102" i="11"/>
  <c r="W104" i="9"/>
  <c r="AB103" i="9"/>
  <c r="AB103" i="11"/>
  <c r="AH103" i="11" s="1"/>
  <c r="AN103" i="11" s="1"/>
  <c r="W104" i="11"/>
  <c r="I106" i="12"/>
  <c r="AA102" i="10"/>
  <c r="AF102" i="10"/>
  <c r="AA102" i="12"/>
  <c r="AF102" i="12"/>
  <c r="AI104" i="9"/>
  <c r="J105" i="12"/>
  <c r="V104" i="12"/>
  <c r="M105" i="4"/>
  <c r="U104" i="4"/>
  <c r="Y104" i="4" s="1"/>
  <c r="AE104" i="4" s="1"/>
  <c r="AK104" i="4" s="1"/>
  <c r="J105" i="9"/>
  <c r="V104" i="9"/>
  <c r="I109" i="4"/>
  <c r="P105" i="4"/>
  <c r="V104" i="4"/>
  <c r="J105" i="10"/>
  <c r="V104" i="10"/>
  <c r="J109" i="4"/>
  <c r="AL102" i="4"/>
  <c r="AM102" i="4" s="1"/>
  <c r="AG102" i="4"/>
  <c r="J105" i="11"/>
  <c r="V104" i="11"/>
  <c r="AF103" i="4" l="1"/>
  <c r="AA103" i="10"/>
  <c r="AF103" i="10"/>
  <c r="AL103" i="11"/>
  <c r="D100" i="18"/>
  <c r="Z104" i="10"/>
  <c r="AI104" i="4"/>
  <c r="AN102" i="9"/>
  <c r="AP102" i="9" s="1"/>
  <c r="AJ102" i="9"/>
  <c r="AD104" i="10"/>
  <c r="AI104" i="10"/>
  <c r="W105" i="11"/>
  <c r="AB104" i="11"/>
  <c r="AH104" i="11" s="1"/>
  <c r="AN104" i="11" s="1"/>
  <c r="W105" i="9"/>
  <c r="AB104" i="9"/>
  <c r="AL102" i="11"/>
  <c r="AM102" i="11" s="1"/>
  <c r="AG102" i="11"/>
  <c r="U104" i="10"/>
  <c r="Y104" i="10" s="1"/>
  <c r="AE104" i="10" s="1"/>
  <c r="AK104" i="10" s="1"/>
  <c r="I105" i="10"/>
  <c r="W107" i="12"/>
  <c r="AB106" i="12"/>
  <c r="AH106" i="12" s="1"/>
  <c r="AN106" i="12" s="1"/>
  <c r="X106" i="4"/>
  <c r="L101" i="18"/>
  <c r="AC105" i="4"/>
  <c r="X106" i="12"/>
  <c r="AC105" i="12"/>
  <c r="P101" i="18"/>
  <c r="AH103" i="9"/>
  <c r="AD103" i="9"/>
  <c r="C100" i="18"/>
  <c r="Z104" i="9"/>
  <c r="I107" i="12"/>
  <c r="AA103" i="9"/>
  <c r="AF103" i="9"/>
  <c r="AD103" i="11"/>
  <c r="M105" i="12"/>
  <c r="U104" i="12"/>
  <c r="Y104" i="12" s="1"/>
  <c r="AE104" i="12" s="1"/>
  <c r="AK104" i="12" s="1"/>
  <c r="AG102" i="12"/>
  <c r="AL102" i="12"/>
  <c r="AM102" i="12" s="1"/>
  <c r="E100" i="18"/>
  <c r="Z104" i="11"/>
  <c r="AO103" i="10"/>
  <c r="AP103" i="10" s="1"/>
  <c r="AJ103" i="10"/>
  <c r="AI104" i="12"/>
  <c r="AD104" i="12"/>
  <c r="Z104" i="4"/>
  <c r="B100" i="18"/>
  <c r="AA103" i="11"/>
  <c r="AE103" i="11"/>
  <c r="AK103" i="11" s="1"/>
  <c r="AM103" i="11" s="1"/>
  <c r="AI104" i="11"/>
  <c r="AJ103" i="4"/>
  <c r="AO103" i="4"/>
  <c r="AP103" i="4" s="1"/>
  <c r="M102" i="18"/>
  <c r="X107" i="9"/>
  <c r="AC106" i="9"/>
  <c r="F100" i="18"/>
  <c r="Z104" i="12"/>
  <c r="AI105" i="9"/>
  <c r="AA103" i="12"/>
  <c r="AF103" i="12"/>
  <c r="AO103" i="11"/>
  <c r="AP103" i="11" s="1"/>
  <c r="AJ103" i="11"/>
  <c r="AJ103" i="12"/>
  <c r="AO103" i="12"/>
  <c r="AP103" i="12" s="1"/>
  <c r="AL102" i="9"/>
  <c r="AM102" i="9" s="1"/>
  <c r="AG102" i="9"/>
  <c r="AG102" i="10"/>
  <c r="AL102" i="10"/>
  <c r="AM102" i="10" s="1"/>
  <c r="N101" i="18"/>
  <c r="AC105" i="10"/>
  <c r="X106" i="10"/>
  <c r="U105" i="9"/>
  <c r="Y105" i="9" s="1"/>
  <c r="I106" i="9"/>
  <c r="AE104" i="9"/>
  <c r="AK104" i="9" s="1"/>
  <c r="U104" i="11"/>
  <c r="Y104" i="11" s="1"/>
  <c r="AE104" i="11" s="1"/>
  <c r="AK104" i="11" s="1"/>
  <c r="I105" i="11"/>
  <c r="AB104" i="4"/>
  <c r="AH104" i="4" s="1"/>
  <c r="AN104" i="4" s="1"/>
  <c r="W105" i="4"/>
  <c r="X106" i="11"/>
  <c r="AC105" i="11"/>
  <c r="O101" i="18"/>
  <c r="AD103" i="4"/>
  <c r="W106" i="10"/>
  <c r="AB105" i="10"/>
  <c r="AH105" i="10" s="1"/>
  <c r="AN105" i="10" s="1"/>
  <c r="AO104" i="9"/>
  <c r="J106" i="11"/>
  <c r="V105" i="11"/>
  <c r="AL103" i="4"/>
  <c r="AM103" i="4" s="1"/>
  <c r="AG103" i="4"/>
  <c r="J106" i="9"/>
  <c r="V105" i="9"/>
  <c r="AF104" i="4"/>
  <c r="AA104" i="4"/>
  <c r="J106" i="10"/>
  <c r="V105" i="10"/>
  <c r="P106" i="4"/>
  <c r="V105" i="4"/>
  <c r="M106" i="4"/>
  <c r="U105" i="4"/>
  <c r="Y105" i="4" s="1"/>
  <c r="AE105" i="4" s="1"/>
  <c r="AK105" i="4" s="1"/>
  <c r="J106" i="12"/>
  <c r="V105" i="12"/>
  <c r="AL103" i="12" l="1"/>
  <c r="AM103" i="12" s="1"/>
  <c r="AG103" i="12"/>
  <c r="W106" i="11"/>
  <c r="AB105" i="11"/>
  <c r="AH105" i="11" s="1"/>
  <c r="AN105" i="11" s="1"/>
  <c r="AD104" i="11"/>
  <c r="C101" i="18"/>
  <c r="Z105" i="9"/>
  <c r="AN103" i="9"/>
  <c r="AP103" i="9" s="1"/>
  <c r="AJ103" i="9"/>
  <c r="O102" i="18"/>
  <c r="X107" i="11"/>
  <c r="AC106" i="11"/>
  <c r="AD104" i="4"/>
  <c r="W108" i="12"/>
  <c r="AB107" i="12"/>
  <c r="AH107" i="12" s="1"/>
  <c r="AN107" i="12" s="1"/>
  <c r="U105" i="11"/>
  <c r="Y105" i="11" s="1"/>
  <c r="AE105" i="11" s="1"/>
  <c r="AK105" i="11" s="1"/>
  <c r="I106" i="11"/>
  <c r="AH104" i="9"/>
  <c r="AD104" i="9"/>
  <c r="AB105" i="9"/>
  <c r="W106" i="9"/>
  <c r="I108" i="12"/>
  <c r="AD105" i="10"/>
  <c r="AI105" i="10"/>
  <c r="AJ104" i="4"/>
  <c r="AO104" i="4"/>
  <c r="AP104" i="4" s="1"/>
  <c r="AO105" i="9"/>
  <c r="Z105" i="4"/>
  <c r="AA105" i="4" s="1"/>
  <c r="B101" i="18"/>
  <c r="AI106" i="9"/>
  <c r="M103" i="18"/>
  <c r="X108" i="9"/>
  <c r="AC107" i="9"/>
  <c r="AA104" i="9"/>
  <c r="AF104" i="9"/>
  <c r="AD105" i="12"/>
  <c r="AI105" i="12"/>
  <c r="P102" i="18"/>
  <c r="X107" i="12"/>
  <c r="AC106" i="12"/>
  <c r="AA104" i="10"/>
  <c r="AF104" i="10"/>
  <c r="F101" i="18"/>
  <c r="Z105" i="12"/>
  <c r="M106" i="12"/>
  <c r="U105" i="12"/>
  <c r="Y105" i="12" s="1"/>
  <c r="AE105" i="12" s="1"/>
  <c r="AK105" i="12" s="1"/>
  <c r="AL103" i="9"/>
  <c r="AM103" i="9" s="1"/>
  <c r="AG103" i="9"/>
  <c r="D101" i="18"/>
  <c r="Z105" i="10"/>
  <c r="U106" i="9"/>
  <c r="I107" i="9"/>
  <c r="N102" i="18"/>
  <c r="AC106" i="10"/>
  <c r="X107" i="10"/>
  <c r="AE105" i="9"/>
  <c r="AK105" i="9" s="1"/>
  <c r="AA104" i="12"/>
  <c r="AF104" i="12"/>
  <c r="AO104" i="10"/>
  <c r="AP104" i="10" s="1"/>
  <c r="AJ104" i="10"/>
  <c r="E101" i="18"/>
  <c r="Z105" i="11"/>
  <c r="AJ104" i="12"/>
  <c r="AO104" i="12"/>
  <c r="AP104" i="12" s="1"/>
  <c r="AI105" i="11"/>
  <c r="U105" i="10"/>
  <c r="Y105" i="10" s="1"/>
  <c r="AE105" i="10" s="1"/>
  <c r="AK105" i="10" s="1"/>
  <c r="I106" i="10"/>
  <c r="AO104" i="11"/>
  <c r="AP104" i="11" s="1"/>
  <c r="AJ104" i="11"/>
  <c r="AI105" i="4"/>
  <c r="AC106" i="4"/>
  <c r="X107" i="4"/>
  <c r="L102" i="18"/>
  <c r="AL103" i="10"/>
  <c r="AM103" i="10" s="1"/>
  <c r="AG103" i="10"/>
  <c r="AB105" i="4"/>
  <c r="AH105" i="4" s="1"/>
  <c r="AN105" i="4" s="1"/>
  <c r="W106" i="4"/>
  <c r="AG103" i="11"/>
  <c r="W107" i="10"/>
  <c r="AB106" i="10"/>
  <c r="AH106" i="10" s="1"/>
  <c r="AN106" i="10" s="1"/>
  <c r="AA104" i="11"/>
  <c r="AF104" i="11"/>
  <c r="M107" i="4"/>
  <c r="U106" i="4"/>
  <c r="Y106" i="4" s="1"/>
  <c r="AE106" i="4" s="1"/>
  <c r="AK106" i="4" s="1"/>
  <c r="J107" i="12"/>
  <c r="V106" i="12"/>
  <c r="AL104" i="4"/>
  <c r="AM104" i="4" s="1"/>
  <c r="AG104" i="4"/>
  <c r="P107" i="4"/>
  <c r="V106" i="4"/>
  <c r="J107" i="9"/>
  <c r="V106" i="9"/>
  <c r="AF105" i="4"/>
  <c r="J107" i="10"/>
  <c r="V106" i="10"/>
  <c r="J107" i="11"/>
  <c r="V106" i="11"/>
  <c r="AN104" i="9" l="1"/>
  <c r="AP104" i="9" s="1"/>
  <c r="AJ104" i="9"/>
  <c r="AI106" i="12"/>
  <c r="AD106" i="12"/>
  <c r="W107" i="9"/>
  <c r="AB106" i="9"/>
  <c r="U106" i="11"/>
  <c r="Y106" i="11" s="1"/>
  <c r="AE106" i="11" s="1"/>
  <c r="AK106" i="11" s="1"/>
  <c r="I107" i="11"/>
  <c r="N103" i="18"/>
  <c r="X108" i="10"/>
  <c r="AC107" i="10"/>
  <c r="M104" i="18"/>
  <c r="X109" i="9"/>
  <c r="D22" i="9" s="1"/>
  <c r="AA49" i="2" s="1"/>
  <c r="D11" i="15" s="1"/>
  <c r="AC108" i="9"/>
  <c r="Y106" i="9"/>
  <c r="AE106" i="9" s="1"/>
  <c r="AK106" i="9" s="1"/>
  <c r="AG104" i="12"/>
  <c r="AL104" i="12"/>
  <c r="AM104" i="12" s="1"/>
  <c r="AB108" i="12"/>
  <c r="AH108" i="12" s="1"/>
  <c r="AN108" i="12" s="1"/>
  <c r="W109" i="12"/>
  <c r="AB109" i="12" s="1"/>
  <c r="AB106" i="4"/>
  <c r="AH106" i="4" s="1"/>
  <c r="AN106" i="4" s="1"/>
  <c r="W107" i="4"/>
  <c r="AC107" i="11"/>
  <c r="X108" i="11"/>
  <c r="O103" i="18"/>
  <c r="AC107" i="12"/>
  <c r="P103" i="18"/>
  <c r="X108" i="12"/>
  <c r="E102" i="18"/>
  <c r="Z106" i="11"/>
  <c r="AJ105" i="4"/>
  <c r="AO105" i="4"/>
  <c r="AP105" i="4" s="1"/>
  <c r="AA105" i="9"/>
  <c r="AF105" i="9"/>
  <c r="C102" i="18"/>
  <c r="Z106" i="9"/>
  <c r="AI106" i="11"/>
  <c r="AA105" i="11"/>
  <c r="AF105" i="11"/>
  <c r="W108" i="10"/>
  <c r="AB107" i="10"/>
  <c r="AH107" i="10" s="1"/>
  <c r="AN107" i="10" s="1"/>
  <c r="AH105" i="9"/>
  <c r="AD105" i="9"/>
  <c r="AL104" i="9"/>
  <c r="AM104" i="9" s="1"/>
  <c r="AG104" i="9"/>
  <c r="AD106" i="10"/>
  <c r="AI106" i="10"/>
  <c r="AI106" i="4"/>
  <c r="L103" i="18"/>
  <c r="X108" i="4"/>
  <c r="AC107" i="4"/>
  <c r="Z106" i="4"/>
  <c r="AF106" i="4" s="1"/>
  <c r="B102" i="18"/>
  <c r="AO106" i="9"/>
  <c r="AA105" i="10"/>
  <c r="AF105" i="10"/>
  <c r="AJ105" i="12"/>
  <c r="AO105" i="12"/>
  <c r="AP105" i="12" s="1"/>
  <c r="U107" i="9"/>
  <c r="Y107" i="9" s="1"/>
  <c r="I108" i="9"/>
  <c r="U106" i="10"/>
  <c r="Y106" i="10" s="1"/>
  <c r="AE106" i="10" s="1"/>
  <c r="AK106" i="10" s="1"/>
  <c r="I107" i="10"/>
  <c r="AJ105" i="10"/>
  <c r="AO105" i="10"/>
  <c r="AP105" i="10" s="1"/>
  <c r="W107" i="11"/>
  <c r="AB106" i="11"/>
  <c r="AH106" i="11" s="1"/>
  <c r="AN106" i="11" s="1"/>
  <c r="AI107" i="9"/>
  <c r="AD105" i="4"/>
  <c r="F102" i="18"/>
  <c r="Z106" i="12"/>
  <c r="M107" i="12"/>
  <c r="U106" i="12"/>
  <c r="Y106" i="12" s="1"/>
  <c r="AL104" i="11"/>
  <c r="AM104" i="11" s="1"/>
  <c r="AG104" i="11"/>
  <c r="D102" i="18"/>
  <c r="Z106" i="10"/>
  <c r="AJ105" i="11"/>
  <c r="AO105" i="11"/>
  <c r="AP105" i="11" s="1"/>
  <c r="AD105" i="11"/>
  <c r="AA105" i="12"/>
  <c r="AF105" i="12"/>
  <c r="AL104" i="10"/>
  <c r="AM104" i="10" s="1"/>
  <c r="AG104" i="10"/>
  <c r="I109" i="12"/>
  <c r="AG105" i="4"/>
  <c r="AL105" i="4"/>
  <c r="AM105" i="4" s="1"/>
  <c r="J108" i="11"/>
  <c r="V107" i="11"/>
  <c r="J108" i="10"/>
  <c r="V107" i="10"/>
  <c r="J108" i="9"/>
  <c r="V107" i="9"/>
  <c r="P108" i="4"/>
  <c r="V107" i="4"/>
  <c r="J108" i="12"/>
  <c r="V107" i="12"/>
  <c r="M108" i="4"/>
  <c r="U107" i="4"/>
  <c r="Y107" i="4" s="1"/>
  <c r="AE107" i="4" s="1"/>
  <c r="AK107" i="4" s="1"/>
  <c r="AE107" i="9" l="1"/>
  <c r="AK107" i="9" s="1"/>
  <c r="AD106" i="11"/>
  <c r="AA106" i="4"/>
  <c r="AL105" i="10"/>
  <c r="AM105" i="10" s="1"/>
  <c r="AG105" i="10"/>
  <c r="AA106" i="9"/>
  <c r="AF106" i="9"/>
  <c r="AL105" i="9"/>
  <c r="AM105" i="9" s="1"/>
  <c r="AG105" i="9"/>
  <c r="M105" i="18"/>
  <c r="AC109" i="9"/>
  <c r="X109" i="10"/>
  <c r="D22" i="10" s="1"/>
  <c r="AD49" i="2" s="1"/>
  <c r="D12" i="15" s="1"/>
  <c r="N104" i="18"/>
  <c r="AC108" i="10"/>
  <c r="AB108" i="10"/>
  <c r="AH108" i="10" s="1"/>
  <c r="AN108" i="10" s="1"/>
  <c r="W109" i="10"/>
  <c r="AB109" i="10" s="1"/>
  <c r="AI108" i="9"/>
  <c r="AA106" i="12"/>
  <c r="AE106" i="12"/>
  <c r="AK106" i="12" s="1"/>
  <c r="M108" i="12"/>
  <c r="U107" i="12"/>
  <c r="Y107" i="12" s="1"/>
  <c r="AA106" i="11"/>
  <c r="AF106" i="11"/>
  <c r="U107" i="11"/>
  <c r="Y107" i="11" s="1"/>
  <c r="AE107" i="11" s="1"/>
  <c r="AK107" i="11" s="1"/>
  <c r="I108" i="11"/>
  <c r="L104" i="18"/>
  <c r="X109" i="4"/>
  <c r="D22" i="4" s="1"/>
  <c r="X49" i="2" s="1"/>
  <c r="D10" i="15" s="1"/>
  <c r="AC108" i="4"/>
  <c r="AF106" i="12"/>
  <c r="AH106" i="9"/>
  <c r="AD106" i="9"/>
  <c r="U108" i="9"/>
  <c r="Y108" i="9" s="1"/>
  <c r="AE108" i="9" s="1"/>
  <c r="AK108" i="9" s="1"/>
  <c r="I109" i="9"/>
  <c r="U109" i="9" s="1"/>
  <c r="F103" i="18"/>
  <c r="Z107" i="12"/>
  <c r="AA106" i="10"/>
  <c r="AF106" i="10"/>
  <c r="AD107" i="12"/>
  <c r="AI107" i="12"/>
  <c r="W108" i="9"/>
  <c r="AB107" i="9"/>
  <c r="AO106" i="11"/>
  <c r="AP106" i="11" s="1"/>
  <c r="AJ106" i="11"/>
  <c r="AI107" i="10"/>
  <c r="AD107" i="10"/>
  <c r="AI107" i="4"/>
  <c r="AO106" i="4"/>
  <c r="AP106" i="4" s="1"/>
  <c r="AJ106" i="4"/>
  <c r="AB107" i="11"/>
  <c r="AH107" i="11" s="1"/>
  <c r="AN107" i="11" s="1"/>
  <c r="W108" i="11"/>
  <c r="AH109" i="12"/>
  <c r="AL105" i="11"/>
  <c r="AM105" i="11" s="1"/>
  <c r="AG105" i="11"/>
  <c r="AO107" i="9"/>
  <c r="AO106" i="10"/>
  <c r="AP106" i="10" s="1"/>
  <c r="AJ106" i="10"/>
  <c r="O104" i="18"/>
  <c r="AC108" i="11"/>
  <c r="X109" i="11"/>
  <c r="D22" i="11" s="1"/>
  <c r="AG49" i="2" s="1"/>
  <c r="D13" i="15" s="1"/>
  <c r="AO106" i="12"/>
  <c r="AP106" i="12" s="1"/>
  <c r="AJ106" i="12"/>
  <c r="AL105" i="12"/>
  <c r="AM105" i="12" s="1"/>
  <c r="AG105" i="12"/>
  <c r="Z107" i="4"/>
  <c r="AF107" i="4" s="1"/>
  <c r="B103" i="18"/>
  <c r="C103" i="18"/>
  <c r="Z107" i="9"/>
  <c r="AD106" i="4"/>
  <c r="E103" i="18"/>
  <c r="Z107" i="11"/>
  <c r="AI107" i="11"/>
  <c r="D103" i="18"/>
  <c r="Z107" i="10"/>
  <c r="P104" i="18"/>
  <c r="X109" i="12"/>
  <c r="D22" i="12" s="1"/>
  <c r="AJ49" i="2" s="1"/>
  <c r="D14" i="15" s="1"/>
  <c r="AC108" i="12"/>
  <c r="U107" i="10"/>
  <c r="Y107" i="10" s="1"/>
  <c r="AE107" i="10" s="1"/>
  <c r="AK107" i="10" s="1"/>
  <c r="I108" i="10"/>
  <c r="AN105" i="9"/>
  <c r="AP105" i="9" s="1"/>
  <c r="AJ105" i="9"/>
  <c r="AB107" i="4"/>
  <c r="AH107" i="4" s="1"/>
  <c r="AN107" i="4" s="1"/>
  <c r="W108" i="4"/>
  <c r="P109" i="4"/>
  <c r="V109" i="4" s="1"/>
  <c r="B105" i="18" s="1"/>
  <c r="V108" i="4"/>
  <c r="J109" i="10"/>
  <c r="V109" i="10" s="1"/>
  <c r="V108" i="10"/>
  <c r="M109" i="4"/>
  <c r="U109" i="4" s="1"/>
  <c r="U108" i="4"/>
  <c r="Y108" i="4" s="1"/>
  <c r="AE108" i="4" s="1"/>
  <c r="AK108" i="4" s="1"/>
  <c r="J109" i="9"/>
  <c r="V109" i="9" s="1"/>
  <c r="V108" i="9"/>
  <c r="J109" i="12"/>
  <c r="V109" i="12" s="1"/>
  <c r="V108" i="12"/>
  <c r="AG106" i="4"/>
  <c r="AL106" i="4"/>
  <c r="AM106" i="4" s="1"/>
  <c r="J109" i="11"/>
  <c r="V109" i="11" s="1"/>
  <c r="V108" i="11"/>
  <c r="F13" i="15" l="1"/>
  <c r="G13" i="15" s="1"/>
  <c r="Y109" i="9"/>
  <c r="AE109" i="9" s="1"/>
  <c r="AH109" i="10"/>
  <c r="F12" i="15"/>
  <c r="G12" i="15" s="1"/>
  <c r="F11" i="15"/>
  <c r="G11" i="15" s="1"/>
  <c r="F14" i="15"/>
  <c r="G14" i="15" s="1"/>
  <c r="AN109" i="10"/>
  <c r="D28" i="10" s="1"/>
  <c r="AD57" i="2" s="1"/>
  <c r="D24" i="10"/>
  <c r="AD52" i="2" s="1"/>
  <c r="AK109" i="9"/>
  <c r="C28" i="9" s="1"/>
  <c r="L57" i="2" s="1"/>
  <c r="C24" i="9"/>
  <c r="L52" i="2" s="1"/>
  <c r="AN109" i="12"/>
  <c r="D28" i="12" s="1"/>
  <c r="AJ57" i="2" s="1"/>
  <c r="D24" i="12"/>
  <c r="AJ52" i="2" s="1"/>
  <c r="AE107" i="12"/>
  <c r="AK107" i="12" s="1"/>
  <c r="F10" i="15"/>
  <c r="G10" i="15" s="1"/>
  <c r="AA107" i="4"/>
  <c r="AO107" i="12"/>
  <c r="AP107" i="12" s="1"/>
  <c r="AJ107" i="12"/>
  <c r="M109" i="12"/>
  <c r="U109" i="12" s="1"/>
  <c r="U108" i="12"/>
  <c r="Y108" i="12" s="1"/>
  <c r="AE108" i="12" s="1"/>
  <c r="AK108" i="12" s="1"/>
  <c r="AO108" i="9"/>
  <c r="AA107" i="10"/>
  <c r="AF107" i="10"/>
  <c r="AJ107" i="11"/>
  <c r="AO107" i="11"/>
  <c r="AP107" i="11" s="1"/>
  <c r="AN106" i="9"/>
  <c r="AP106" i="9" s="1"/>
  <c r="AJ106" i="9"/>
  <c r="N105" i="18"/>
  <c r="AC109" i="10"/>
  <c r="AH107" i="9"/>
  <c r="AD107" i="9"/>
  <c r="AI108" i="11"/>
  <c r="E104" i="18"/>
  <c r="Z108" i="11"/>
  <c r="AG106" i="12"/>
  <c r="AL106" i="12"/>
  <c r="AM106" i="12" s="1"/>
  <c r="AI109" i="9"/>
  <c r="D25" i="9" s="1"/>
  <c r="AA53" i="2" s="1"/>
  <c r="AG106" i="11"/>
  <c r="AL106" i="11"/>
  <c r="AM106" i="11" s="1"/>
  <c r="O105" i="18"/>
  <c r="AC109" i="11"/>
  <c r="U108" i="10"/>
  <c r="Y108" i="10" s="1"/>
  <c r="AE108" i="10" s="1"/>
  <c r="AK108" i="10" s="1"/>
  <c r="I109" i="10"/>
  <c r="U109" i="10" s="1"/>
  <c r="F104" i="18"/>
  <c r="Z108" i="12"/>
  <c r="AD107" i="11"/>
  <c r="C22" i="11"/>
  <c r="D19" i="2" s="1"/>
  <c r="E105" i="18"/>
  <c r="Z109" i="11"/>
  <c r="C22" i="12"/>
  <c r="D23" i="2" s="1"/>
  <c r="F105" i="18"/>
  <c r="Z109" i="12"/>
  <c r="AI108" i="4"/>
  <c r="AA107" i="9"/>
  <c r="AF107" i="9"/>
  <c r="AO107" i="4"/>
  <c r="AP107" i="4" s="1"/>
  <c r="AJ107" i="4"/>
  <c r="AC109" i="4"/>
  <c r="L105" i="18"/>
  <c r="AL106" i="9"/>
  <c r="AM106" i="9" s="1"/>
  <c r="AG106" i="9"/>
  <c r="W109" i="4"/>
  <c r="AB109" i="4" s="1"/>
  <c r="AB108" i="4"/>
  <c r="AH108" i="4" s="1"/>
  <c r="AN108" i="4" s="1"/>
  <c r="AL106" i="10"/>
  <c r="AM106" i="10" s="1"/>
  <c r="AG106" i="10"/>
  <c r="AA107" i="12"/>
  <c r="AF107" i="12"/>
  <c r="AD107" i="4"/>
  <c r="W109" i="9"/>
  <c r="AB109" i="9" s="1"/>
  <c r="AB108" i="9"/>
  <c r="P105" i="18"/>
  <c r="AC109" i="12"/>
  <c r="AI108" i="12"/>
  <c r="AD108" i="12"/>
  <c r="C104" i="18"/>
  <c r="Z108" i="9"/>
  <c r="Y109" i="4"/>
  <c r="AE109" i="4" s="1"/>
  <c r="AK109" i="4" s="1"/>
  <c r="C28" i="4" s="1"/>
  <c r="I57" i="2" s="1"/>
  <c r="D104" i="18"/>
  <c r="Z108" i="10"/>
  <c r="C22" i="10"/>
  <c r="D15" i="2" s="1"/>
  <c r="D105" i="18"/>
  <c r="Z109" i="10"/>
  <c r="Z108" i="4"/>
  <c r="AF108" i="4" s="1"/>
  <c r="B104" i="18"/>
  <c r="AO107" i="10"/>
  <c r="AP107" i="10" s="1"/>
  <c r="AJ107" i="10"/>
  <c r="U108" i="11"/>
  <c r="Y108" i="11" s="1"/>
  <c r="AE108" i="11" s="1"/>
  <c r="AK108" i="11" s="1"/>
  <c r="I109" i="11"/>
  <c r="U109" i="11" s="1"/>
  <c r="Y109" i="11" s="1"/>
  <c r="AE109" i="11" s="1"/>
  <c r="AI108" i="10"/>
  <c r="AD108" i="10"/>
  <c r="C22" i="9"/>
  <c r="D11" i="2" s="1"/>
  <c r="C105" i="18"/>
  <c r="Z109" i="9"/>
  <c r="W109" i="11"/>
  <c r="AB109" i="11" s="1"/>
  <c r="AB108" i="11"/>
  <c r="AH108" i="11" s="1"/>
  <c r="AN108" i="11" s="1"/>
  <c r="AA107" i="11"/>
  <c r="AF107" i="11"/>
  <c r="AL107" i="4"/>
  <c r="AM107" i="4" s="1"/>
  <c r="AG107" i="4"/>
  <c r="C24" i="4"/>
  <c r="I52" i="2" s="1"/>
  <c r="Z109" i="4"/>
  <c r="C22" i="4"/>
  <c r="D5" i="2" s="1"/>
  <c r="D2" i="15" s="1"/>
  <c r="D6" i="15" l="1"/>
  <c r="F23" i="2"/>
  <c r="D4" i="15"/>
  <c r="F15" i="2"/>
  <c r="D3" i="15"/>
  <c r="F11" i="2"/>
  <c r="D5" i="15"/>
  <c r="F19" i="2"/>
  <c r="AK109" i="11"/>
  <c r="C28" i="11" s="1"/>
  <c r="R57" i="2" s="1"/>
  <c r="C24" i="11"/>
  <c r="R52" i="2" s="1"/>
  <c r="AD108" i="4"/>
  <c r="Y109" i="12"/>
  <c r="AE109" i="12" s="1"/>
  <c r="AL107" i="11"/>
  <c r="AM107" i="11" s="1"/>
  <c r="AG107" i="11"/>
  <c r="AL107" i="9"/>
  <c r="AM107" i="9" s="1"/>
  <c r="AG107" i="9"/>
  <c r="AO108" i="11"/>
  <c r="AP108" i="11" s="1"/>
  <c r="AJ108" i="11"/>
  <c r="AA109" i="12"/>
  <c r="AF109" i="12"/>
  <c r="C25" i="12" s="1"/>
  <c r="U53" i="2" s="1"/>
  <c r="AD109" i="10"/>
  <c r="AI109" i="10"/>
  <c r="D25" i="10" s="1"/>
  <c r="AD53" i="2" s="1"/>
  <c r="AL107" i="12"/>
  <c r="AM107" i="12" s="1"/>
  <c r="AG107" i="12"/>
  <c r="AO108" i="12"/>
  <c r="AP108" i="12" s="1"/>
  <c r="AJ108" i="12"/>
  <c r="AN107" i="9"/>
  <c r="AP107" i="9" s="1"/>
  <c r="AJ107" i="9"/>
  <c r="Y109" i="10"/>
  <c r="AE109" i="10" s="1"/>
  <c r="AL107" i="10"/>
  <c r="AM107" i="10" s="1"/>
  <c r="AG107" i="10"/>
  <c r="AJ108" i="4"/>
  <c r="AO108" i="4"/>
  <c r="AP108" i="4" s="1"/>
  <c r="AI109" i="11"/>
  <c r="D25" i="11" s="1"/>
  <c r="AG53" i="2" s="1"/>
  <c r="AD109" i="11"/>
  <c r="AO108" i="10"/>
  <c r="AP108" i="10" s="1"/>
  <c r="AJ108" i="10"/>
  <c r="AA108" i="12"/>
  <c r="AF108" i="12"/>
  <c r="AA109" i="9"/>
  <c r="AA109" i="11"/>
  <c r="AF109" i="11"/>
  <c r="C25" i="11" s="1"/>
  <c r="R53" i="2" s="1"/>
  <c r="AH109" i="4"/>
  <c r="AA108" i="9"/>
  <c r="AF108" i="9"/>
  <c r="AF109" i="9" s="1"/>
  <c r="C25" i="9" s="1"/>
  <c r="L53" i="2" s="1"/>
  <c r="AA108" i="4"/>
  <c r="AA108" i="10"/>
  <c r="AF108" i="10"/>
  <c r="AD109" i="4"/>
  <c r="AI109" i="4"/>
  <c r="D25" i="4" s="1"/>
  <c r="X53" i="2" s="1"/>
  <c r="AO109" i="9"/>
  <c r="D29" i="9" s="1"/>
  <c r="AA58" i="2" s="1"/>
  <c r="E11" i="15" s="1"/>
  <c r="AA108" i="11"/>
  <c r="AF108" i="11"/>
  <c r="AH109" i="11"/>
  <c r="AD108" i="11"/>
  <c r="AD109" i="12"/>
  <c r="AI109" i="12"/>
  <c r="D25" i="12" s="1"/>
  <c r="AJ53" i="2" s="1"/>
  <c r="AH108" i="9"/>
  <c r="AH109" i="9" s="1"/>
  <c r="D24" i="9" s="1"/>
  <c r="AA52" i="2" s="1"/>
  <c r="AD108" i="9"/>
  <c r="AD109" i="9"/>
  <c r="AF109" i="4"/>
  <c r="AA109" i="4"/>
  <c r="AG108" i="4"/>
  <c r="AL108" i="4"/>
  <c r="AM108" i="4" s="1"/>
  <c r="F2" i="15"/>
  <c r="G2" i="15" s="1"/>
  <c r="F4" i="15" l="1"/>
  <c r="G4" i="15" s="1"/>
  <c r="F6" i="15"/>
  <c r="G6" i="15" s="1"/>
  <c r="F3" i="15"/>
  <c r="G3" i="15" s="1"/>
  <c r="F5" i="15"/>
  <c r="G5" i="15" s="1"/>
  <c r="AK109" i="10"/>
  <c r="C28" i="10" s="1"/>
  <c r="O57" i="2" s="1"/>
  <c r="C24" i="10"/>
  <c r="O52" i="2" s="1"/>
  <c r="AN109" i="4"/>
  <c r="D28" i="4" s="1"/>
  <c r="X57" i="2" s="1"/>
  <c r="D24" i="4"/>
  <c r="X52" i="2" s="1"/>
  <c r="AK109" i="12"/>
  <c r="C28" i="12" s="1"/>
  <c r="U57" i="2" s="1"/>
  <c r="C24" i="12"/>
  <c r="U52" i="2" s="1"/>
  <c r="AN109" i="11"/>
  <c r="D28" i="11" s="1"/>
  <c r="AG57" i="2" s="1"/>
  <c r="D24" i="11"/>
  <c r="AG52" i="2" s="1"/>
  <c r="AL109" i="9"/>
  <c r="AG109" i="9"/>
  <c r="C26" i="9" s="1"/>
  <c r="L54" i="2" s="1"/>
  <c r="AN109" i="9"/>
  <c r="D28" i="9" s="1"/>
  <c r="AA57" i="2" s="1"/>
  <c r="AJ109" i="9"/>
  <c r="D26" i="9" s="1"/>
  <c r="AA54" i="2" s="1"/>
  <c r="AG108" i="10"/>
  <c r="AL108" i="10"/>
  <c r="AM108" i="10" s="1"/>
  <c r="AL108" i="9"/>
  <c r="AM108" i="9" s="1"/>
  <c r="AG108" i="9"/>
  <c r="AL109" i="11"/>
  <c r="AG109" i="11"/>
  <c r="C26" i="11" s="1"/>
  <c r="R54" i="2" s="1"/>
  <c r="AJ109" i="12"/>
  <c r="D26" i="12" s="1"/>
  <c r="AJ54" i="2" s="1"/>
  <c r="AO109" i="12"/>
  <c r="AA109" i="10"/>
  <c r="AF109" i="10"/>
  <c r="C25" i="10" s="1"/>
  <c r="O53" i="2" s="1"/>
  <c r="AL109" i="12"/>
  <c r="AG109" i="12"/>
  <c r="C26" i="12" s="1"/>
  <c r="U54" i="2" s="1"/>
  <c r="AG108" i="12"/>
  <c r="AL108" i="12"/>
  <c r="AM108" i="12" s="1"/>
  <c r="AL108" i="11"/>
  <c r="AM108" i="11" s="1"/>
  <c r="AG108" i="11"/>
  <c r="AN108" i="9"/>
  <c r="AP108" i="9" s="1"/>
  <c r="AJ108" i="9"/>
  <c r="AJ109" i="10"/>
  <c r="D26" i="10" s="1"/>
  <c r="AD54" i="2" s="1"/>
  <c r="AO109" i="10"/>
  <c r="AO109" i="4"/>
  <c r="AJ109" i="4"/>
  <c r="D26" i="4" s="1"/>
  <c r="X54" i="2" s="1"/>
  <c r="AO109" i="11"/>
  <c r="AJ109" i="11"/>
  <c r="D26" i="11" s="1"/>
  <c r="AG54" i="2" s="1"/>
  <c r="C25" i="4"/>
  <c r="I53" i="2" s="1"/>
  <c r="AG109" i="4"/>
  <c r="C26" i="4" s="1"/>
  <c r="I54" i="2" s="1"/>
  <c r="AL109" i="4"/>
  <c r="AP109" i="9" l="1"/>
  <c r="D30" i="9" s="1"/>
  <c r="AA59" i="2" s="1"/>
  <c r="AP109" i="4"/>
  <c r="D30" i="4" s="1"/>
  <c r="X59" i="2" s="1"/>
  <c r="D29" i="4"/>
  <c r="X58" i="2" s="1"/>
  <c r="E10" i="15" s="1"/>
  <c r="AP109" i="12"/>
  <c r="D30" i="12" s="1"/>
  <c r="AJ59" i="2" s="1"/>
  <c r="D29" i="12"/>
  <c r="AJ58" i="2" s="1"/>
  <c r="E14" i="15" s="1"/>
  <c r="AM109" i="11"/>
  <c r="C30" i="11" s="1"/>
  <c r="R59" i="2" s="1"/>
  <c r="C29" i="11"/>
  <c r="D20" i="2" s="1"/>
  <c r="AP109" i="10"/>
  <c r="D30" i="10" s="1"/>
  <c r="AD59" i="2" s="1"/>
  <c r="D29" i="10"/>
  <c r="AD58" i="2" s="1"/>
  <c r="E12" i="15" s="1"/>
  <c r="AM109" i="9"/>
  <c r="C30" i="9" s="1"/>
  <c r="L59" i="2" s="1"/>
  <c r="C29" i="9"/>
  <c r="D12" i="2" s="1"/>
  <c r="AP109" i="11"/>
  <c r="D30" i="11" s="1"/>
  <c r="AG59" i="2" s="1"/>
  <c r="D29" i="11"/>
  <c r="AG58" i="2" s="1"/>
  <c r="E13" i="15" s="1"/>
  <c r="AM109" i="12"/>
  <c r="C30" i="12" s="1"/>
  <c r="U59" i="2" s="1"/>
  <c r="C29" i="12"/>
  <c r="D24" i="2" s="1"/>
  <c r="AG109" i="10"/>
  <c r="C26" i="10" s="1"/>
  <c r="O54" i="2" s="1"/>
  <c r="AL109" i="10"/>
  <c r="AM109" i="4"/>
  <c r="C30" i="4" s="1"/>
  <c r="I59" i="2" s="1"/>
  <c r="C29" i="4"/>
  <c r="D6" i="2" s="1"/>
  <c r="E2" i="15" s="1"/>
  <c r="E6" i="15" l="1"/>
  <c r="F24" i="2"/>
  <c r="E5" i="15"/>
  <c r="F20" i="2"/>
  <c r="E3" i="15"/>
  <c r="F12" i="2"/>
  <c r="AM109" i="10"/>
  <c r="C30" i="10" s="1"/>
  <c r="O59" i="2" s="1"/>
  <c r="C29" i="10"/>
  <c r="D16" i="2" s="1"/>
  <c r="I10" i="15" a="1"/>
  <c r="E4" i="15" l="1"/>
  <c r="I2" i="15" s="1" a="1"/>
  <c r="O96" i="2" s="1"/>
  <c r="F16" i="2"/>
  <c r="AF96" i="2"/>
  <c r="AC99" i="2"/>
  <c r="AC96" i="2"/>
  <c r="AH105" i="2"/>
  <c r="AJ105" i="2" s="1"/>
  <c r="AF105" i="2"/>
  <c r="AG105" i="2" s="1"/>
  <c r="AH93" i="2"/>
  <c r="AH99" i="2"/>
  <c r="AJ99" i="2" s="1"/>
  <c r="AC105" i="2"/>
  <c r="AF102" i="2"/>
  <c r="AH102" i="2"/>
  <c r="AF99" i="2"/>
  <c r="AD105" i="2"/>
  <c r="AH96" i="2"/>
  <c r="AF93" i="2"/>
  <c r="AC93" i="2"/>
  <c r="AD96" i="2"/>
  <c r="AD99" i="2"/>
  <c r="AD102" i="2"/>
  <c r="AC102" i="2"/>
  <c r="I10" i="15"/>
  <c r="AD93" i="2" s="1"/>
  <c r="AJ93" i="2" l="1"/>
  <c r="Q93" i="2"/>
  <c r="Q99" i="2"/>
  <c r="N96" i="2"/>
  <c r="N93" i="2"/>
  <c r="Q96" i="2"/>
  <c r="O102" i="2"/>
  <c r="I2" i="15"/>
  <c r="O93" i="2" s="1"/>
  <c r="S105" i="2"/>
  <c r="U105" i="2" s="1"/>
  <c r="Q102" i="2"/>
  <c r="N99" i="2"/>
  <c r="S96" i="2"/>
  <c r="O99" i="2"/>
  <c r="AG96" i="2"/>
  <c r="S99" i="2"/>
  <c r="U99" i="2" s="1"/>
  <c r="O105" i="2"/>
  <c r="S102" i="2"/>
  <c r="U102" i="2" s="1"/>
  <c r="N105" i="2"/>
  <c r="S93" i="2"/>
  <c r="U93" i="2" s="1"/>
  <c r="N102" i="2"/>
  <c r="Q105" i="2"/>
  <c r="R105" i="2" s="1"/>
  <c r="AJ96" i="2"/>
  <c r="AG99" i="2"/>
  <c r="AG93" i="2"/>
  <c r="AJ102" i="2"/>
  <c r="AG102" i="2"/>
  <c r="U96" i="2" l="1"/>
  <c r="R102" i="2"/>
  <c r="R99" i="2"/>
  <c r="R93" i="2"/>
  <c r="R9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<sst xmlns="http://schemas.openxmlformats.org/spreadsheetml/2006/main" count="878" uniqueCount="177">
  <si>
    <t>Stocks</t>
  </si>
  <si>
    <t>Bonds</t>
  </si>
  <si>
    <t>Alternatives</t>
  </si>
  <si>
    <t>Time Horizon (Years)</t>
  </si>
  <si>
    <t>Initial Capital ($)</t>
  </si>
  <si>
    <t>PPLI Policy Costs</t>
  </si>
  <si>
    <t>PPLI Start Up Costs</t>
  </si>
  <si>
    <t>Federal Income Tax</t>
  </si>
  <si>
    <t>Capital Gains Tax</t>
  </si>
  <si>
    <t>Net Investment Income Tax</t>
  </si>
  <si>
    <t>State Income Tax</t>
  </si>
  <si>
    <t>Total</t>
  </si>
  <si>
    <t>Weight</t>
  </si>
  <si>
    <t>PPLI Allocation</t>
  </si>
  <si>
    <t>Stocks (PPLI)</t>
  </si>
  <si>
    <t>Bonds (PPLI)</t>
  </si>
  <si>
    <t>Alternatives (PPLI)</t>
  </si>
  <si>
    <t>Returns</t>
  </si>
  <si>
    <t>Stocks (Taxable)</t>
  </si>
  <si>
    <t>Bonds (Taxable)</t>
  </si>
  <si>
    <t>Alternatives (Taxable)</t>
  </si>
  <si>
    <t>Return</t>
  </si>
  <si>
    <t>Drag</t>
  </si>
  <si>
    <t>Weighted Average</t>
  </si>
  <si>
    <t>Period Return</t>
  </si>
  <si>
    <t>Total Return</t>
  </si>
  <si>
    <t>Total Return (Annualized)</t>
  </si>
  <si>
    <t>Year</t>
  </si>
  <si>
    <t>Contributions</t>
  </si>
  <si>
    <t>Investment Settings</t>
  </si>
  <si>
    <t>Starting Capital ($)</t>
  </si>
  <si>
    <t>Investment Horizon (Years)</t>
  </si>
  <si>
    <t>Portfolio Allocation (%)</t>
  </si>
  <si>
    <t>PPLI Allocation (%)</t>
  </si>
  <si>
    <t>Return Assumptions (%)</t>
  </si>
  <si>
    <t>Tax Assumptions (%)</t>
  </si>
  <si>
    <t>PPLI Costs (%)</t>
  </si>
  <si>
    <t>Additional Contributions</t>
  </si>
  <si>
    <t>Amount ($)</t>
  </si>
  <si>
    <t>Ordinary Income</t>
  </si>
  <si>
    <t>Capital Gains</t>
  </si>
  <si>
    <t>NIIT</t>
  </si>
  <si>
    <t>Metrics</t>
  </si>
  <si>
    <t>Projected Value</t>
  </si>
  <si>
    <t>Annualized Return</t>
  </si>
  <si>
    <t>Custom</t>
  </si>
  <si>
    <t>Alternatives Enhanced (Taxable)</t>
  </si>
  <si>
    <t>Alternatives Enhanced (PPLI)</t>
  </si>
  <si>
    <t>Traditional (Taxable)</t>
  </si>
  <si>
    <t>Traditional (PPLI)</t>
  </si>
  <si>
    <t>Row Labels</t>
  </si>
  <si>
    <t>Grand Total</t>
  </si>
  <si>
    <t>Custom_</t>
  </si>
  <si>
    <t>Traditional (Taxable)_</t>
  </si>
  <si>
    <t>Traditional (PPLI)_</t>
  </si>
  <si>
    <t>Alternatives Enhanced (Taxable)_</t>
  </si>
  <si>
    <t>Alternatives Enhanced (PPLI)_</t>
  </si>
  <si>
    <t>Gross</t>
  </si>
  <si>
    <t>Net</t>
  </si>
  <si>
    <t>Period Drag</t>
  </si>
  <si>
    <t>Total Drag</t>
  </si>
  <si>
    <t>Annaulized Drag</t>
  </si>
  <si>
    <t>Total Return (Gross)</t>
  </si>
  <si>
    <t>Total Return (Drag)</t>
  </si>
  <si>
    <t>Total Return (Net)</t>
  </si>
  <si>
    <t>Annualized Return (Gross)</t>
  </si>
  <si>
    <t>Annualized Return (Net)</t>
  </si>
  <si>
    <t>Annualized Return (Drag)</t>
  </si>
  <si>
    <t>1st</t>
  </si>
  <si>
    <t>2nd</t>
  </si>
  <si>
    <t>3rd</t>
  </si>
  <si>
    <t>4th</t>
  </si>
  <si>
    <t>5th</t>
  </si>
  <si>
    <t>Strategy</t>
  </si>
  <si>
    <t>Rank</t>
  </si>
  <si>
    <t>Policy Costs</t>
  </si>
  <si>
    <t>Buy &amp; Hold</t>
  </si>
  <si>
    <t>Rebalanced</t>
  </si>
  <si>
    <t>* Weights Static</t>
  </si>
  <si>
    <t>Allocation Check</t>
  </si>
  <si>
    <t>Log-In</t>
  </si>
  <si>
    <t>Password</t>
  </si>
  <si>
    <t>Username</t>
  </si>
  <si>
    <t>Alternative</t>
  </si>
  <si>
    <t>Return Assumptions</t>
  </si>
  <si>
    <t>Portfolio Allocation</t>
  </si>
  <si>
    <t>Time Horizon</t>
  </si>
  <si>
    <t>Portfolio Value</t>
  </si>
  <si>
    <t>Interest in Private Placement</t>
  </si>
  <si>
    <t>Qualified Purchaser</t>
  </si>
  <si>
    <t>Accredited Investor</t>
  </si>
  <si>
    <t>John Doe</t>
  </si>
  <si>
    <t>Client Name</t>
  </si>
  <si>
    <t>Client Profile</t>
  </si>
  <si>
    <t>InsuraVise</t>
  </si>
  <si>
    <t>Name</t>
  </si>
  <si>
    <t>Current Client Portfolio</t>
  </si>
  <si>
    <t>20% of Current Portfolio inside PPLI</t>
  </si>
  <si>
    <t>100% of Bonds inside PPLI</t>
  </si>
  <si>
    <t>10% of Current Portfolio inside PPLI</t>
  </si>
  <si>
    <t>100% of Alternatives inside PPLI</t>
  </si>
  <si>
    <t>30% of Current Portfolio inside PPLI</t>
  </si>
  <si>
    <t>40% of Current Portfolio inside PPLI</t>
  </si>
  <si>
    <t>Compared to Base Case</t>
  </si>
  <si>
    <t>Explore Education Portal</t>
  </si>
  <si>
    <t>Explore Other Service Providers</t>
  </si>
  <si>
    <t>Carrier</t>
  </si>
  <si>
    <t>Rating</t>
  </si>
  <si>
    <t>Policy Minimum</t>
  </si>
  <si>
    <t>Fund Name</t>
  </si>
  <si>
    <t>Fund Type</t>
  </si>
  <si>
    <t>A</t>
  </si>
  <si>
    <t>B</t>
  </si>
  <si>
    <t>C</t>
  </si>
  <si>
    <t>X</t>
  </si>
  <si>
    <t>Y</t>
  </si>
  <si>
    <t>Z</t>
  </si>
  <si>
    <t>D</t>
  </si>
  <si>
    <t>E</t>
  </si>
  <si>
    <t>F</t>
  </si>
  <si>
    <t>Private Equity</t>
  </si>
  <si>
    <t>Private Credit</t>
  </si>
  <si>
    <t>Real Estate</t>
  </si>
  <si>
    <t>Fixed Income</t>
  </si>
  <si>
    <t>S&amp;P 500 Index</t>
  </si>
  <si>
    <t>Learn More</t>
  </si>
  <si>
    <t>Link</t>
  </si>
  <si>
    <t>Type</t>
  </si>
  <si>
    <t>White Papers</t>
  </si>
  <si>
    <t>What is PPLI/PPVA</t>
  </si>
  <si>
    <t>PPLI/PPVA Compliance</t>
  </si>
  <si>
    <t>Taxes</t>
  </si>
  <si>
    <t>Estate/Trust</t>
  </si>
  <si>
    <t>Connect</t>
  </si>
  <si>
    <t>Trust Providers</t>
  </si>
  <si>
    <t>CPA's</t>
  </si>
  <si>
    <t>Estate Attornerys</t>
  </si>
  <si>
    <t>Back</t>
  </si>
  <si>
    <t>Select Policy</t>
  </si>
  <si>
    <t>Begin Policy Execution</t>
  </si>
  <si>
    <t>Workflow Steps</t>
  </si>
  <si>
    <r>
      <t>1. Advisor initiates connection</t>
    </r>
    <r>
      <rPr>
        <sz val="11"/>
        <color theme="1"/>
        <rFont val="Aptos Narrow"/>
        <family val="2"/>
        <scheme val="minor"/>
      </rPr>
      <t xml:space="preserve"> with the selected carrier to start the process.</t>
    </r>
  </si>
  <si>
    <r>
      <t>2. Carrier is notified automatically</t>
    </r>
    <r>
      <rPr>
        <sz val="11"/>
        <color theme="1"/>
        <rFont val="Aptos Narrow"/>
        <family val="2"/>
        <scheme val="minor"/>
      </rPr>
      <t xml:space="preserve"> via the platform.</t>
    </r>
  </si>
  <si>
    <r>
      <t>3. Platform facilitates secure document exchange and onboarding</t>
    </r>
    <r>
      <rPr>
        <sz val="11"/>
        <color theme="1"/>
        <rFont val="Aptos Narrow"/>
        <family val="2"/>
        <scheme val="minor"/>
      </rPr>
      <t xml:space="preserve"> — including KYC, AML, and application uploads.</t>
    </r>
  </si>
  <si>
    <r>
      <t>4. Advisor tracks underwriting progress</t>
    </r>
    <r>
      <rPr>
        <sz val="11"/>
        <color theme="1"/>
        <rFont val="Aptos Narrow"/>
        <family val="2"/>
        <scheme val="minor"/>
      </rPr>
      <t xml:space="preserve"> in real time through the integrated platform dashboard.</t>
    </r>
  </si>
  <si>
    <r>
      <t>5. Platform automatically creates a compliance trail</t>
    </r>
    <r>
      <rPr>
        <sz val="11"/>
        <color theme="1"/>
        <rFont val="Aptos Narrow"/>
        <family val="2"/>
        <scheme val="minor"/>
      </rPr>
      <t xml:space="preserve"> for audit and recordkeeping, while maintaining a secure, encrypted data environment.</t>
    </r>
  </si>
  <si>
    <r>
      <t>6. Once policy is activated,</t>
    </r>
    <r>
      <rPr>
        <sz val="11"/>
        <color theme="1"/>
        <rFont val="Aptos Narrow"/>
        <family val="2"/>
        <scheme val="minor"/>
      </rPr>
      <t xml:space="preserve"> carrier data is pushed back into the platform through API connections for performance reporting and portfolio integration.</t>
    </r>
  </si>
  <si>
    <t>Current Value</t>
  </si>
  <si>
    <t>Carrier A</t>
  </si>
  <si>
    <t>Carrier B</t>
  </si>
  <si>
    <t>Carrier C</t>
  </si>
  <si>
    <t>Metrics Table</t>
  </si>
  <si>
    <t>Resrouces</t>
  </si>
  <si>
    <t>Statements</t>
  </si>
  <si>
    <t>Policy Information</t>
  </si>
  <si>
    <t>Chat with AI</t>
  </si>
  <si>
    <t>Education</t>
  </si>
  <si>
    <t>Service Providers</t>
  </si>
  <si>
    <t>Contact Advisor/Carrier</t>
  </si>
  <si>
    <t>Explore Carriers/Products</t>
  </si>
  <si>
    <t>* AI driven results to show if client is/is not suitable with reasoning and other commentary</t>
  </si>
  <si>
    <t>*Final version could be integrated to automatically pull client information from RIA Exisiting wealth platform</t>
  </si>
  <si>
    <t>1. Client Profile</t>
  </si>
  <si>
    <t>2. Financial Snapshot</t>
  </si>
  <si>
    <t>3. Legal &amp; Compliance Qualification</t>
  </si>
  <si>
    <t>4. Exsiting Life Insurance/Annuities</t>
  </si>
  <si>
    <t>5. Investment Allocation Preferences &amp; Objectives</t>
  </si>
  <si>
    <t>* Sections (working)</t>
  </si>
  <si>
    <t>* Final version would include a larger array of intake question/data (Data input here, would drive the similator snapshot of how Private Placement can impact future wealth)</t>
  </si>
  <si>
    <t>* Standalone portal accessed via out platform or integrated into RIA Exisiting wealth platform</t>
  </si>
  <si>
    <t>"Platform Name"</t>
  </si>
  <si>
    <t>* Standalone log-in via our platform or integrated into RIA existing wealth platform</t>
  </si>
  <si>
    <t>* Maybe include more unique comparison options (potentially driven by data/information from intake)</t>
  </si>
  <si>
    <t>* e.g. - Comapare impact of housing solely alternatives into PPLI wrapper</t>
  </si>
  <si>
    <t>* Demo is simplified data room - Should be a place where advisors/clients can learn more about PPLI/PPVA and what it is, the steps involved, impact, legal &amp; compliance concerns, etc.</t>
  </si>
  <si>
    <t>* Demo is simplified - Should be a place where advisors/clients can connect to other services providers needed for the PPLI/PPVA process if not already available/provided</t>
  </si>
  <si>
    <t>* Steps are simplified for version 1 - Purpose is end-to-end integrated/streamlined process of policy selection/execution. The goal should be to make it as quick and easy as possible for the RIA/Client while offering a compliance ready and secure aduit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</si>
</sst>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rial"/>
      <family val="2"/>
    </font>
    <font>
      <sz val="11"/>
      <name val="Aptos Narrow"/>
      <family val="2"/>
      <scheme val="minor"/>
    </font>
    <font>
      <b/>
      <sz val="9"/>
      <name val="Arial"/>
      <family val="2"/>
    </font>
    <font>
      <sz val="10"/>
      <color theme="0"/>
      <name val="Arial"/>
      <family val="2"/>
    </font>
    <font>
      <sz val="11"/>
      <color theme="3" tint="9.9978637043366805E-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9"/>
      <color theme="0"/>
      <name val="Aparajita"/>
      <family val="1"/>
    </font>
    <font>
      <sz val="9"/>
      <name val="Aparajita"/>
      <family val="1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i/>
      <sz val="9"/>
      <name val="Arial"/>
      <family val="2"/>
    </font>
    <font>
      <sz val="9"/>
      <color rgb="FF00B050"/>
      <name val="Arial"/>
      <family val="2"/>
    </font>
    <font>
      <i/>
      <u/>
      <sz val="11"/>
      <color theme="1"/>
      <name val="Aptos Narrow"/>
      <family val="2"/>
      <scheme val="minor"/>
    </font>
    <font>
      <u/>
      <sz val="14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9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17" fillId="14" borderId="17" applyNumberFormat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2">
    <xf numFmtId="0" fontId="0" fillId="0" borderId="0" xfId="0"/>
    <xf numFmtId="0" fontId="0" fillId="0" borderId="0" xfId="0" applyAlignment="1">
      <alignment horizontal="center"/>
    </xf>
    <xf numFmtId="164" fontId="0" fillId="3" borderId="2" xfId="5" applyNumberFormat="1" applyFont="1" applyAlignment="1">
      <alignment horizontal="center"/>
    </xf>
    <xf numFmtId="0" fontId="0" fillId="3" borderId="2" xfId="5" applyNumberFormat="1" applyFont="1" applyAlignment="1">
      <alignment horizontal="center"/>
    </xf>
    <xf numFmtId="10" fontId="0" fillId="3" borderId="2" xfId="5" applyNumberFormat="1" applyFont="1" applyAlignment="1">
      <alignment horizontal="center"/>
    </xf>
    <xf numFmtId="0" fontId="0" fillId="0" borderId="3" xfId="0" applyBorder="1" applyAlignment="1">
      <alignment horizontal="center"/>
    </xf>
    <xf numFmtId="10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0" xfId="3" applyNumberFormat="1" applyFont="1"/>
    <xf numFmtId="10" fontId="0" fillId="0" borderId="0" xfId="3" applyNumberFormat="1" applyFont="1" applyAlignment="1">
      <alignment horizontal="center"/>
    </xf>
    <xf numFmtId="10" fontId="2" fillId="2" borderId="1" xfId="4" applyNumberFormat="1" applyAlignment="1">
      <alignment horizontal="center"/>
    </xf>
    <xf numFmtId="4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0" fontId="0" fillId="10" borderId="0" xfId="3" applyNumberFormat="1" applyFont="1" applyFill="1" applyAlignment="1">
      <alignment horizontal="center"/>
    </xf>
    <xf numFmtId="164" fontId="8" fillId="11" borderId="4" xfId="5" applyNumberFormat="1" applyFont="1" applyFill="1" applyBorder="1" applyAlignment="1">
      <alignment horizontal="center" vertical="center"/>
    </xf>
    <xf numFmtId="10" fontId="8" fillId="11" borderId="4" xfId="3" applyNumberFormat="1" applyFont="1" applyFill="1" applyBorder="1" applyAlignment="1">
      <alignment horizontal="center" vertical="center"/>
    </xf>
    <xf numFmtId="164" fontId="9" fillId="11" borderId="4" xfId="5" applyNumberFormat="1" applyFont="1" applyFill="1" applyBorder="1" applyAlignment="1">
      <alignment horizontal="center" vertical="center"/>
    </xf>
    <xf numFmtId="10" fontId="9" fillId="11" borderId="4" xfId="3" applyNumberFormat="1" applyFont="1" applyFill="1" applyBorder="1" applyAlignment="1">
      <alignment horizontal="center" vertical="center"/>
    </xf>
    <xf numFmtId="164" fontId="10" fillId="11" borderId="4" xfId="5" applyNumberFormat="1" applyFont="1" applyFill="1" applyBorder="1" applyAlignment="1">
      <alignment horizontal="center" vertical="center"/>
    </xf>
    <xf numFmtId="10" fontId="10" fillId="11" borderId="4" xfId="3" applyNumberFormat="1" applyFont="1" applyFill="1" applyBorder="1" applyAlignment="1">
      <alignment horizontal="center" vertical="center"/>
    </xf>
    <xf numFmtId="164" fontId="11" fillId="11" borderId="4" xfId="5" applyNumberFormat="1" applyFont="1" applyFill="1" applyBorder="1" applyAlignment="1">
      <alignment horizontal="center" vertical="center"/>
    </xf>
    <xf numFmtId="10" fontId="11" fillId="11" borderId="4" xfId="3" applyNumberFormat="1" applyFont="1" applyFill="1" applyBorder="1" applyAlignment="1">
      <alignment horizontal="center" vertical="center"/>
    </xf>
    <xf numFmtId="164" fontId="12" fillId="11" borderId="4" xfId="5" applyNumberFormat="1" applyFont="1" applyFill="1" applyBorder="1" applyAlignment="1">
      <alignment horizontal="center" vertical="center"/>
    </xf>
    <xf numFmtId="10" fontId="12" fillId="11" borderId="4" xfId="3" applyNumberFormat="1" applyFont="1" applyFill="1" applyBorder="1" applyAlignment="1">
      <alignment horizontal="center" vertical="center"/>
    </xf>
    <xf numFmtId="43" fontId="0" fillId="0" borderId="0" xfId="1" applyFont="1"/>
    <xf numFmtId="0" fontId="7" fillId="9" borderId="4" xfId="0" applyFont="1" applyFill="1" applyBorder="1" applyAlignment="1">
      <alignment horizontal="center" vertical="center"/>
    </xf>
    <xf numFmtId="0" fontId="3" fillId="4" borderId="4" xfId="6" applyBorder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16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9" borderId="0" xfId="0" applyFill="1"/>
    <xf numFmtId="0" fontId="0" fillId="18" borderId="18" xfId="0" applyFill="1" applyBorder="1"/>
    <xf numFmtId="0" fontId="0" fillId="18" borderId="19" xfId="0" applyFill="1" applyBorder="1"/>
    <xf numFmtId="0" fontId="0" fillId="18" borderId="20" xfId="0" applyFill="1" applyBorder="1"/>
    <xf numFmtId="0" fontId="0" fillId="18" borderId="21" xfId="0" applyFill="1" applyBorder="1"/>
    <xf numFmtId="0" fontId="0" fillId="18" borderId="0" xfId="0" applyFill="1"/>
    <xf numFmtId="0" fontId="0" fillId="18" borderId="22" xfId="0" applyFill="1" applyBorder="1"/>
    <xf numFmtId="0" fontId="0" fillId="18" borderId="24" xfId="0" applyFill="1" applyBorder="1"/>
    <xf numFmtId="0" fontId="0" fillId="18" borderId="25" xfId="0" applyFill="1" applyBorder="1"/>
    <xf numFmtId="0" fontId="0" fillId="18" borderId="26" xfId="0" applyFill="1" applyBorder="1"/>
    <xf numFmtId="10" fontId="0" fillId="0" borderId="7" xfId="3" applyNumberFormat="1" applyFont="1" applyBorder="1" applyAlignment="1">
      <alignment horizontal="center"/>
    </xf>
    <xf numFmtId="0" fontId="19" fillId="19" borderId="4" xfId="0" applyFont="1" applyFill="1" applyBorder="1"/>
    <xf numFmtId="0" fontId="0" fillId="0" borderId="7" xfId="2" applyNumberFormat="1" applyFont="1" applyBorder="1" applyAlignment="1">
      <alignment horizontal="center"/>
    </xf>
    <xf numFmtId="44" fontId="0" fillId="0" borderId="7" xfId="2" applyFont="1" applyBorder="1" applyAlignment="1">
      <alignment horizontal="center"/>
    </xf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horizontal="center"/>
    </xf>
    <xf numFmtId="0" fontId="0" fillId="3" borderId="2" xfId="5" applyFont="1"/>
    <xf numFmtId="0" fontId="3" fillId="4" borderId="6" xfId="6" applyBorder="1" applyAlignment="1">
      <alignment horizontal="left" vertical="center"/>
    </xf>
    <xf numFmtId="0" fontId="3" fillId="20" borderId="6" xfId="6" applyFill="1" applyBorder="1" applyAlignment="1">
      <alignment horizontal="left" vertical="center"/>
    </xf>
    <xf numFmtId="0" fontId="3" fillId="21" borderId="6" xfId="6" applyFill="1" applyBorder="1" applyAlignment="1">
      <alignment horizontal="left" vertical="center"/>
    </xf>
    <xf numFmtId="0" fontId="3" fillId="17" borderId="6" xfId="6" applyFill="1" applyBorder="1" applyAlignment="1">
      <alignment horizontal="left" vertical="center"/>
    </xf>
    <xf numFmtId="0" fontId="3" fillId="16" borderId="6" xfId="6" applyFill="1" applyBorder="1" applyAlignment="1">
      <alignment horizontal="left" vertical="center"/>
    </xf>
    <xf numFmtId="0" fontId="4" fillId="9" borderId="0" xfId="0" applyFont="1" applyFill="1"/>
    <xf numFmtId="0" fontId="4" fillId="9" borderId="0" xfId="1" applyNumberFormat="1" applyFont="1" applyFill="1" applyBorder="1" applyAlignment="1">
      <alignment horizontal="center"/>
    </xf>
    <xf numFmtId="0" fontId="4" fillId="9" borderId="6" xfId="6" applyFont="1" applyFill="1" applyBorder="1" applyAlignment="1">
      <alignment horizontal="left" vertical="center"/>
    </xf>
    <xf numFmtId="164" fontId="5" fillId="9" borderId="4" xfId="5" applyNumberFormat="1" applyFont="1" applyFill="1" applyBorder="1" applyAlignment="1" applyProtection="1">
      <alignment horizontal="center" vertical="center"/>
      <protection locked="0"/>
    </xf>
    <xf numFmtId="0" fontId="5" fillId="9" borderId="4" xfId="5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Alignment="1">
      <alignment horizontal="center" vertical="center"/>
    </xf>
    <xf numFmtId="164" fontId="4" fillId="9" borderId="0" xfId="1" applyNumberFormat="1" applyFont="1" applyFill="1" applyBorder="1"/>
    <xf numFmtId="164" fontId="8" fillId="9" borderId="4" xfId="5" applyNumberFormat="1" applyFont="1" applyFill="1" applyBorder="1" applyAlignment="1">
      <alignment horizontal="center" vertical="center"/>
    </xf>
    <xf numFmtId="164" fontId="9" fillId="9" borderId="4" xfId="5" applyNumberFormat="1" applyFont="1" applyFill="1" applyBorder="1" applyAlignment="1">
      <alignment horizontal="center" vertical="center"/>
    </xf>
    <xf numFmtId="164" fontId="10" fillId="9" borderId="4" xfId="5" applyNumberFormat="1" applyFont="1" applyFill="1" applyBorder="1" applyAlignment="1">
      <alignment horizontal="center" vertical="center"/>
    </xf>
    <xf numFmtId="164" fontId="11" fillId="9" borderId="4" xfId="5" applyNumberFormat="1" applyFont="1" applyFill="1" applyBorder="1" applyAlignment="1">
      <alignment horizontal="center" vertical="center"/>
    </xf>
    <xf numFmtId="164" fontId="12" fillId="9" borderId="4" xfId="5" applyNumberFormat="1" applyFont="1" applyFill="1" applyBorder="1" applyAlignment="1">
      <alignment horizontal="center" vertical="center"/>
    </xf>
    <xf numFmtId="0" fontId="4" fillId="9" borderId="8" xfId="6" applyFont="1" applyFill="1" applyBorder="1" applyAlignment="1">
      <alignment horizontal="left" vertical="center"/>
    </xf>
    <xf numFmtId="10" fontId="5" fillId="9" borderId="4" xfId="5" applyNumberFormat="1" applyFont="1" applyFill="1" applyBorder="1" applyAlignment="1" applyProtection="1">
      <alignment horizontal="center" vertical="center"/>
      <protection locked="0"/>
    </xf>
    <xf numFmtId="10" fontId="8" fillId="9" borderId="4" xfId="3" applyNumberFormat="1" applyFont="1" applyFill="1" applyBorder="1" applyAlignment="1">
      <alignment horizontal="center" vertical="center"/>
    </xf>
    <xf numFmtId="10" fontId="9" fillId="9" borderId="4" xfId="3" applyNumberFormat="1" applyFont="1" applyFill="1" applyBorder="1" applyAlignment="1">
      <alignment horizontal="center" vertical="center"/>
    </xf>
    <xf numFmtId="10" fontId="10" fillId="9" borderId="4" xfId="3" applyNumberFormat="1" applyFont="1" applyFill="1" applyBorder="1" applyAlignment="1">
      <alignment horizontal="center" vertical="center"/>
    </xf>
    <xf numFmtId="10" fontId="11" fillId="9" borderId="4" xfId="3" applyNumberFormat="1" applyFont="1" applyFill="1" applyBorder="1" applyAlignment="1">
      <alignment horizontal="center" vertical="center"/>
    </xf>
    <xf numFmtId="10" fontId="12" fillId="9" borderId="4" xfId="3" applyNumberFormat="1" applyFont="1" applyFill="1" applyBorder="1" applyAlignment="1">
      <alignment horizontal="center" vertical="center"/>
    </xf>
    <xf numFmtId="0" fontId="6" fillId="9" borderId="5" xfId="6" applyFont="1" applyFill="1" applyBorder="1" applyAlignment="1">
      <alignment horizontal="center" vertical="center"/>
    </xf>
    <xf numFmtId="0" fontId="4" fillId="9" borderId="4" xfId="5" applyNumberFormat="1" applyFont="1" applyFill="1" applyBorder="1" applyAlignment="1" applyProtection="1">
      <alignment horizontal="center"/>
      <protection locked="0"/>
    </xf>
    <xf numFmtId="164" fontId="4" fillId="9" borderId="4" xfId="5" applyNumberFormat="1" applyFont="1" applyFill="1" applyBorder="1" applyAlignment="1" applyProtection="1">
      <alignment horizontal="center"/>
      <protection locked="0"/>
    </xf>
    <xf numFmtId="164" fontId="22" fillId="11" borderId="4" xfId="0" applyNumberFormat="1" applyFont="1" applyFill="1" applyBorder="1" applyAlignment="1">
      <alignment horizontal="center"/>
    </xf>
    <xf numFmtId="0" fontId="4" fillId="18" borderId="0" xfId="1" applyNumberFormat="1" applyFont="1" applyFill="1" applyBorder="1" applyAlignment="1">
      <alignment horizontal="center"/>
    </xf>
    <xf numFmtId="0" fontId="4" fillId="18" borderId="0" xfId="0" applyFont="1" applyFill="1"/>
    <xf numFmtId="0" fontId="21" fillId="18" borderId="0" xfId="0" applyFont="1" applyFill="1" applyAlignment="1">
      <alignment horizontal="right"/>
    </xf>
    <xf numFmtId="0" fontId="4" fillId="18" borderId="0" xfId="1" applyNumberFormat="1" applyFont="1" applyFill="1" applyBorder="1" applyAlignment="1">
      <alignment horizontal="left"/>
    </xf>
    <xf numFmtId="0" fontId="18" fillId="18" borderId="0" xfId="13" applyNumberFormat="1" applyFill="1" applyBorder="1" applyAlignment="1">
      <alignment horizontal="left"/>
    </xf>
    <xf numFmtId="0" fontId="23" fillId="0" borderId="0" xfId="0" applyFont="1" applyAlignment="1">
      <alignment horizontal="center"/>
    </xf>
    <xf numFmtId="164" fontId="0" fillId="0" borderId="0" xfId="2" applyNumberFormat="1" applyFont="1" applyAlignment="1">
      <alignment horizontal="center"/>
    </xf>
    <xf numFmtId="0" fontId="26" fillId="18" borderId="0" xfId="13" applyFont="1" applyFill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0" xfId="0" applyFill="1" applyAlignment="1">
      <alignment horizontal="left" vertical="center" indent="1"/>
    </xf>
    <xf numFmtId="0" fontId="27" fillId="18" borderId="0" xfId="0" applyFont="1" applyFill="1" applyAlignment="1">
      <alignment vertical="center"/>
    </xf>
    <xf numFmtId="0" fontId="15" fillId="18" borderId="0" xfId="0" applyFont="1" applyFill="1" applyAlignment="1">
      <alignment horizontal="left" vertical="center" indent="1"/>
    </xf>
    <xf numFmtId="0" fontId="0" fillId="18" borderId="0" xfId="0" applyFill="1" applyAlignment="1">
      <alignment horizontal="left" vertical="center" indent="1"/>
    </xf>
    <xf numFmtId="164" fontId="0" fillId="18" borderId="0" xfId="0" applyNumberFormat="1" applyFill="1" applyAlignment="1">
      <alignment horizontal="center"/>
    </xf>
    <xf numFmtId="164" fontId="0" fillId="9" borderId="0" xfId="0" applyNumberFormat="1" applyFill="1"/>
    <xf numFmtId="164" fontId="0" fillId="9" borderId="0" xfId="2" applyNumberFormat="1" applyFont="1" applyFill="1"/>
    <xf numFmtId="0" fontId="0" fillId="22" borderId="26" xfId="0" applyFill="1" applyBorder="1"/>
    <xf numFmtId="0" fontId="0" fillId="22" borderId="25" xfId="0" applyFill="1" applyBorder="1"/>
    <xf numFmtId="0" fontId="0" fillId="22" borderId="24" xfId="0" applyFill="1" applyBorder="1"/>
    <xf numFmtId="0" fontId="0" fillId="22" borderId="22" xfId="0" applyFill="1" applyBorder="1"/>
    <xf numFmtId="0" fontId="0" fillId="22" borderId="0" xfId="0" applyFill="1"/>
    <xf numFmtId="0" fontId="0" fillId="22" borderId="21" xfId="0" applyFill="1" applyBorder="1"/>
    <xf numFmtId="0" fontId="0" fillId="22" borderId="20" xfId="0" applyFill="1" applyBorder="1"/>
    <xf numFmtId="0" fontId="0" fillId="22" borderId="19" xfId="0" applyFill="1" applyBorder="1"/>
    <xf numFmtId="0" fontId="0" fillId="22" borderId="18" xfId="0" applyFill="1" applyBorder="1"/>
    <xf numFmtId="0" fontId="3" fillId="9" borderId="0" xfId="0" applyFont="1" applyFill="1"/>
    <xf numFmtId="0" fontId="28" fillId="9" borderId="0" xfId="0" applyFont="1" applyFill="1"/>
    <xf numFmtId="0" fontId="25" fillId="14" borderId="17" xfId="13" applyFont="1" applyFill="1" applyBorder="1" applyAlignment="1">
      <alignment horizontal="center" vertical="center"/>
    </xf>
    <xf numFmtId="0" fontId="20" fillId="4" borderId="0" xfId="6" applyFont="1" applyBorder="1" applyAlignment="1">
      <alignment horizontal="center" vertical="center"/>
    </xf>
    <xf numFmtId="0" fontId="19" fillId="18" borderId="0" xfId="0" applyFont="1" applyFill="1" applyAlignment="1">
      <alignment horizontal="left"/>
    </xf>
    <xf numFmtId="0" fontId="0" fillId="0" borderId="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7" fillId="4" borderId="4" xfId="6" applyFont="1" applyBorder="1" applyAlignment="1">
      <alignment horizontal="center"/>
    </xf>
    <xf numFmtId="0" fontId="3" fillId="9" borderId="4" xfId="6" applyFill="1" applyBorder="1" applyAlignment="1">
      <alignment horizontal="center"/>
    </xf>
    <xf numFmtId="0" fontId="3" fillId="9" borderId="4" xfId="7" applyFill="1" applyBorder="1" applyAlignment="1">
      <alignment horizontal="center"/>
    </xf>
    <xf numFmtId="0" fontId="3" fillId="9" borderId="4" xfId="8" applyFill="1" applyBorder="1" applyAlignment="1">
      <alignment horizontal="center"/>
    </xf>
    <xf numFmtId="0" fontId="3" fillId="9" borderId="4" xfId="9" applyFill="1" applyBorder="1" applyAlignment="1">
      <alignment horizontal="center"/>
    </xf>
    <xf numFmtId="0" fontId="3" fillId="9" borderId="4" xfId="10" applyFill="1" applyBorder="1" applyAlignment="1">
      <alignment horizontal="center"/>
    </xf>
    <xf numFmtId="0" fontId="3" fillId="16" borderId="4" xfId="10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24" fillId="14" borderId="17" xfId="13" applyFont="1" applyFill="1" applyBorder="1" applyAlignment="1">
      <alignment horizontal="center" vertical="center"/>
    </xf>
    <xf numFmtId="0" fontId="4" fillId="9" borderId="15" xfId="1" applyNumberFormat="1" applyFont="1" applyFill="1" applyBorder="1" applyAlignment="1">
      <alignment horizontal="center" vertical="center" wrapText="1"/>
    </xf>
    <xf numFmtId="0" fontId="4" fillId="9" borderId="16" xfId="1" applyNumberFormat="1" applyFont="1" applyFill="1" applyBorder="1" applyAlignment="1">
      <alignment horizontal="center" vertical="center" wrapText="1"/>
    </xf>
    <xf numFmtId="0" fontId="4" fillId="9" borderId="5" xfId="1" applyNumberFormat="1" applyFont="1" applyFill="1" applyBorder="1" applyAlignment="1">
      <alignment horizontal="center" vertical="center" wrapText="1"/>
    </xf>
    <xf numFmtId="0" fontId="3" fillId="4" borderId="4" xfId="6" applyBorder="1" applyAlignment="1">
      <alignment horizontal="center"/>
    </xf>
    <xf numFmtId="0" fontId="3" fillId="20" borderId="4" xfId="7" applyFill="1" applyBorder="1" applyAlignment="1">
      <alignment horizontal="center"/>
    </xf>
    <xf numFmtId="0" fontId="3" fillId="21" borderId="4" xfId="8" applyFill="1" applyBorder="1" applyAlignment="1">
      <alignment horizontal="center"/>
    </xf>
    <xf numFmtId="0" fontId="3" fillId="17" borderId="4" xfId="9" applyFill="1" applyBorder="1" applyAlignment="1">
      <alignment horizontal="center"/>
    </xf>
    <xf numFmtId="0" fontId="14" fillId="9" borderId="12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164" fontId="13" fillId="9" borderId="10" xfId="0" applyNumberFormat="1" applyFont="1" applyFill="1" applyBorder="1" applyAlignment="1">
      <alignment horizontal="center" vertical="center"/>
    </xf>
    <xf numFmtId="164" fontId="13" fillId="9" borderId="9" xfId="0" applyNumberFormat="1" applyFont="1" applyFill="1" applyBorder="1" applyAlignment="1">
      <alignment horizontal="center" vertical="center"/>
    </xf>
    <xf numFmtId="164" fontId="13" fillId="9" borderId="11" xfId="0" applyNumberFormat="1" applyFont="1" applyFill="1" applyBorder="1" applyAlignment="1">
      <alignment horizontal="center" vertical="center"/>
    </xf>
    <xf numFmtId="164" fontId="13" fillId="9" borderId="12" xfId="0" applyNumberFormat="1" applyFont="1" applyFill="1" applyBorder="1" applyAlignment="1">
      <alignment horizontal="center" vertical="center"/>
    </xf>
    <xf numFmtId="164" fontId="13" fillId="9" borderId="0" xfId="0" applyNumberFormat="1" applyFont="1" applyFill="1" applyAlignment="1">
      <alignment horizontal="center" vertical="center"/>
    </xf>
    <xf numFmtId="164" fontId="13" fillId="9" borderId="13" xfId="0" applyNumberFormat="1" applyFont="1" applyFill="1" applyBorder="1" applyAlignment="1">
      <alignment horizontal="center" vertical="center"/>
    </xf>
    <xf numFmtId="164" fontId="13" fillId="9" borderId="8" xfId="0" applyNumberFormat="1" applyFont="1" applyFill="1" applyBorder="1" applyAlignment="1">
      <alignment horizontal="center" vertical="center"/>
    </xf>
    <xf numFmtId="164" fontId="13" fillId="9" borderId="3" xfId="0" applyNumberFormat="1" applyFont="1" applyFill="1" applyBorder="1" applyAlignment="1">
      <alignment horizontal="center" vertical="center"/>
    </xf>
    <xf numFmtId="164" fontId="13" fillId="9" borderId="14" xfId="0" applyNumberFormat="1" applyFont="1" applyFill="1" applyBorder="1" applyAlignment="1">
      <alignment horizontal="center" vertical="center"/>
    </xf>
    <xf numFmtId="164" fontId="14" fillId="9" borderId="13" xfId="0" applyNumberFormat="1" applyFont="1" applyFill="1" applyBorder="1" applyAlignment="1">
      <alignment horizontal="center" vertical="center"/>
    </xf>
    <xf numFmtId="164" fontId="14" fillId="9" borderId="14" xfId="0" applyNumberFormat="1" applyFont="1" applyFill="1" applyBorder="1" applyAlignment="1">
      <alignment horizontal="center" vertical="center"/>
    </xf>
    <xf numFmtId="164" fontId="14" fillId="9" borderId="12" xfId="2" applyNumberFormat="1" applyFont="1" applyFill="1" applyBorder="1" applyAlignment="1">
      <alignment horizontal="center" vertical="center"/>
    </xf>
    <xf numFmtId="164" fontId="14" fillId="9" borderId="0" xfId="2" applyNumberFormat="1" applyFont="1" applyFill="1" applyBorder="1" applyAlignment="1">
      <alignment horizontal="center" vertical="center"/>
    </xf>
    <xf numFmtId="164" fontId="14" fillId="9" borderId="8" xfId="2" applyNumberFormat="1" applyFont="1" applyFill="1" applyBorder="1" applyAlignment="1">
      <alignment horizontal="center" vertical="center"/>
    </xf>
    <xf numFmtId="164" fontId="14" fillId="9" borderId="3" xfId="2" applyNumberFormat="1" applyFont="1" applyFill="1" applyBorder="1" applyAlignment="1">
      <alignment horizontal="center" vertical="center"/>
    </xf>
    <xf numFmtId="10" fontId="14" fillId="9" borderId="13" xfId="3" applyNumberFormat="1" applyFont="1" applyFill="1" applyBorder="1" applyAlignment="1">
      <alignment horizontal="center" vertical="center"/>
    </xf>
    <xf numFmtId="10" fontId="14" fillId="9" borderId="14" xfId="3" applyNumberFormat="1" applyFont="1" applyFill="1" applyBorder="1" applyAlignment="1">
      <alignment horizontal="center" vertical="center"/>
    </xf>
    <xf numFmtId="10" fontId="14" fillId="9" borderId="12" xfId="3" applyNumberFormat="1" applyFont="1" applyFill="1" applyBorder="1" applyAlignment="1">
      <alignment horizontal="center" vertical="center"/>
    </xf>
    <xf numFmtId="10" fontId="14" fillId="9" borderId="8" xfId="3" applyNumberFormat="1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10" fontId="14" fillId="9" borderId="10" xfId="3" applyNumberFormat="1" applyFont="1" applyFill="1" applyBorder="1" applyAlignment="1">
      <alignment horizontal="center" vertical="center"/>
    </xf>
    <xf numFmtId="10" fontId="14" fillId="9" borderId="11" xfId="3" applyNumberFormat="1" applyFont="1" applyFill="1" applyBorder="1" applyAlignment="1">
      <alignment horizontal="center" vertical="center"/>
    </xf>
    <xf numFmtId="164" fontId="14" fillId="9" borderId="10" xfId="2" applyNumberFormat="1" applyFont="1" applyFill="1" applyBorder="1" applyAlignment="1">
      <alignment horizontal="center" vertical="center"/>
    </xf>
    <xf numFmtId="164" fontId="14" fillId="9" borderId="9" xfId="2" applyNumberFormat="1" applyFont="1" applyFill="1" applyBorder="1" applyAlignment="1">
      <alignment horizontal="center" vertical="center"/>
    </xf>
    <xf numFmtId="164" fontId="14" fillId="9" borderId="1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top" wrapText="1"/>
    </xf>
    <xf numFmtId="0" fontId="15" fillId="15" borderId="26" xfId="12" applyFont="1" applyBorder="1" applyAlignment="1">
      <alignment horizontal="center" vertical="center"/>
    </xf>
    <xf numFmtId="0" fontId="15" fillId="15" borderId="25" xfId="12" applyFont="1" applyBorder="1" applyAlignment="1">
      <alignment horizontal="center" vertical="center"/>
    </xf>
    <xf numFmtId="0" fontId="15" fillId="15" borderId="24" xfId="12" applyFont="1" applyBorder="1" applyAlignment="1">
      <alignment horizontal="center" vertical="center"/>
    </xf>
    <xf numFmtId="0" fontId="15" fillId="15" borderId="20" xfId="12" applyFont="1" applyBorder="1" applyAlignment="1">
      <alignment horizontal="center" vertical="center"/>
    </xf>
    <xf numFmtId="0" fontId="15" fillId="15" borderId="19" xfId="12" applyFont="1" applyBorder="1" applyAlignment="1">
      <alignment horizontal="center" vertical="center"/>
    </xf>
    <xf numFmtId="0" fontId="15" fillId="15" borderId="18" xfId="12" applyFont="1" applyBorder="1" applyAlignment="1">
      <alignment horizontal="center" vertical="center"/>
    </xf>
    <xf numFmtId="164" fontId="0" fillId="22" borderId="26" xfId="0" applyNumberFormat="1" applyFill="1" applyBorder="1" applyAlignment="1">
      <alignment horizontal="center" vertical="center"/>
    </xf>
    <xf numFmtId="164" fontId="0" fillId="22" borderId="25" xfId="0" applyNumberFormat="1" applyFill="1" applyBorder="1" applyAlignment="1">
      <alignment horizontal="center" vertical="center"/>
    </xf>
    <xf numFmtId="164" fontId="0" fillId="22" borderId="24" xfId="0" applyNumberFormat="1" applyFill="1" applyBorder="1" applyAlignment="1">
      <alignment horizontal="center" vertical="center"/>
    </xf>
    <xf numFmtId="164" fontId="0" fillId="22" borderId="22" xfId="0" applyNumberFormat="1" applyFill="1" applyBorder="1" applyAlignment="1">
      <alignment horizontal="center" vertical="center"/>
    </xf>
    <xf numFmtId="164" fontId="0" fillId="22" borderId="0" xfId="0" applyNumberFormat="1" applyFill="1" applyAlignment="1">
      <alignment horizontal="center" vertical="center"/>
    </xf>
    <xf numFmtId="164" fontId="0" fillId="22" borderId="21" xfId="0" applyNumberFormat="1" applyFill="1" applyBorder="1" applyAlignment="1">
      <alignment horizontal="center" vertical="center"/>
    </xf>
    <xf numFmtId="164" fontId="0" fillId="22" borderId="20" xfId="0" applyNumberFormat="1" applyFill="1" applyBorder="1" applyAlignment="1">
      <alignment horizontal="center" vertical="center"/>
    </xf>
    <xf numFmtId="164" fontId="0" fillId="22" borderId="19" xfId="0" applyNumberFormat="1" applyFill="1" applyBorder="1" applyAlignment="1">
      <alignment horizontal="center" vertical="center"/>
    </xf>
    <xf numFmtId="164" fontId="0" fillId="22" borderId="18" xfId="0" applyNumberFormat="1" applyFill="1" applyBorder="1" applyAlignment="1">
      <alignment horizontal="center" vertical="center"/>
    </xf>
    <xf numFmtId="0" fontId="3" fillId="4" borderId="26" xfId="6" applyBorder="1" applyAlignment="1">
      <alignment horizontal="center" vertical="center"/>
    </xf>
    <xf numFmtId="0" fontId="3" fillId="4" borderId="24" xfId="6" applyBorder="1" applyAlignment="1">
      <alignment horizontal="center" vertical="center"/>
    </xf>
    <xf numFmtId="0" fontId="3" fillId="4" borderId="22" xfId="6" applyBorder="1" applyAlignment="1">
      <alignment horizontal="center" vertical="center"/>
    </xf>
    <xf numFmtId="0" fontId="3" fillId="4" borderId="21" xfId="6" applyBorder="1" applyAlignment="1">
      <alignment horizontal="center" vertical="center"/>
    </xf>
    <xf numFmtId="0" fontId="3" fillId="4" borderId="20" xfId="6" applyBorder="1" applyAlignment="1">
      <alignment horizontal="center" vertical="center"/>
    </xf>
    <xf numFmtId="0" fontId="3" fillId="4" borderId="18" xfId="6" applyBorder="1" applyAlignment="1">
      <alignment horizontal="center" vertical="center"/>
    </xf>
    <xf numFmtId="0" fontId="3" fillId="4" borderId="27" xfId="6" applyBorder="1" applyAlignment="1">
      <alignment horizontal="center"/>
    </xf>
    <xf numFmtId="0" fontId="3" fillId="4" borderId="28" xfId="6" applyBorder="1" applyAlignment="1">
      <alignment horizontal="center"/>
    </xf>
    <xf numFmtId="0" fontId="3" fillId="4" borderId="29" xfId="6" applyBorder="1" applyAlignment="1">
      <alignment horizontal="center"/>
    </xf>
    <xf numFmtId="0" fontId="17" fillId="14" borderId="17" xfId="11" applyAlignment="1">
      <alignment horizontal="center"/>
    </xf>
  </cellXfs>
  <cellStyles count="14">
    <cellStyle name="60% - Accent5" xfId="12" builtinId="48"/>
    <cellStyle name="Accent1" xfId="6" builtinId="29"/>
    <cellStyle name="Accent2" xfId="7" builtinId="33"/>
    <cellStyle name="Accent3" xfId="8" builtinId="37"/>
    <cellStyle name="Accent4" xfId="9" builtinId="41"/>
    <cellStyle name="Accent5" xfId="10" builtinId="45"/>
    <cellStyle name="Check Cell" xfId="11" builtinId="23"/>
    <cellStyle name="Comma" xfId="1" builtinId="3"/>
    <cellStyle name="Currency" xfId="2" builtinId="4"/>
    <cellStyle name="Hyperlink" xfId="13" builtinId="8"/>
    <cellStyle name="Input" xfId="4" builtinId="20"/>
    <cellStyle name="Normal" xfId="0" builtinId="0"/>
    <cellStyle name="Note" xfId="5" builtinId="10"/>
    <cellStyle name="Percent" xfId="3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24994659260841701"/>
        </patternFill>
      </fill>
    </dxf>
    <dxf>
      <fill>
        <patternFill>
          <bgColor rgb="FFFF9933"/>
        </patternFill>
      </fill>
    </dxf>
    <dxf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i/>
        <u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00"/>
      <color rgb="FFFF9933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[Workflow Blueprint.xlsx]WA PIVOT!PivotTable2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Wealth Accumulation Over Time (Net)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34925" cap="flat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'WA PIVOT'!$B$6</c:f>
              <c:strCache>
                <c:ptCount val="1"/>
                <c:pt idx="0">
                  <c:v>Current Client Portfolio</c:v>
                </c:pt>
              </c:strCache>
            </c:strRef>
          </c:tx>
          <c:spPr>
            <a:ln w="34925" cap="flat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PIVOT'!$B$7:$B$27</c:f>
              <c:numCache>
                <c:formatCode>_(* #,##0.00_);_(* \(#,##0.00\);_(* "-"??_);_(@_)</c:formatCode>
                <c:ptCount val="20"/>
                <c:pt idx="0">
                  <c:v>10495648</c:v>
                </c:pt>
                <c:pt idx="1">
                  <c:v>11015862.6939904</c:v>
                </c:pt>
                <c:pt idx="2">
                  <c:v>11561861.725245494</c:v>
                </c:pt>
                <c:pt idx="3">
                  <c:v>12134923.089284942</c:v>
                </c:pt>
                <c:pt idx="4">
                  <c:v>12736388.125220731</c:v>
                </c:pt>
                <c:pt idx="5">
                  <c:v>13367664.655369671</c:v>
                </c:pt>
                <c:pt idx="6">
                  <c:v>14030230.280480137</c:v>
                </c:pt>
                <c:pt idx="7">
                  <c:v>14725635.838286078</c:v>
                </c:pt>
                <c:pt idx="8">
                  <c:v>15455509.033483559</c:v>
                </c:pt>
                <c:pt idx="9">
                  <c:v>16221558.247626364</c:v>
                </c:pt>
                <c:pt idx="10">
                  <c:v>17025576.537858315</c:v>
                </c:pt>
                <c:pt idx="11">
                  <c:v>17869445.833841953</c:v>
                </c:pt>
                <c:pt idx="12">
                  <c:v>18755141.342707161</c:v>
                </c:pt>
                <c:pt idx="13">
                  <c:v>19684736.172330171</c:v>
                </c:pt>
                <c:pt idx="14">
                  <c:v>20660406.18376448</c:v>
                </c:pt>
                <c:pt idx="15">
                  <c:v>21684435.084181529</c:v>
                </c:pt>
                <c:pt idx="16">
                  <c:v>22759219.772241969</c:v>
                </c:pt>
                <c:pt idx="17">
                  <c:v>23887275.948409185</c:v>
                </c:pt>
                <c:pt idx="18">
                  <c:v>25071244.003336895</c:v>
                </c:pt>
                <c:pt idx="19">
                  <c:v>26313895.198113486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54DB-42B7-9E31-F7F20267E2F6}"/>
            </c:ext>
          </c:extLst>
        </c:ser>
        <c:ser>
          <c:idx val="1"/>
          <c:order val="1"/>
          <c:tx>
            <c:strRef>
              <c:f>'WA PIVOT'!$C$6</c:f>
              <c:strCache>
                <c:ptCount val="1"/>
                <c:pt idx="0">
                  <c:v>10% of Current Portfolio inside PPLI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PIVOT'!$C$7:$C$27</c:f>
              <c:numCache>
                <c:formatCode>_(* #,##0.00_);_(* \(#,##0.00\);_(* "-"??_);_(@_)</c:formatCode>
                <c:ptCount val="20"/>
                <c:pt idx="0">
                  <c:v>10511483.200000001</c:v>
                </c:pt>
                <c:pt idx="1">
                  <c:v>11049127.906388225</c:v>
                </c:pt>
                <c:pt idx="2">
                  <c:v>11614272.236265101</c:v>
                </c:pt>
                <c:pt idx="3">
                  <c:v>12208322.749172704</c:v>
                </c:pt>
                <c:pt idx="4">
                  <c:v>12832757.94781067</c:v>
                </c:pt>
                <c:pt idx="5">
                  <c:v>13489131.957807833</c:v>
                </c:pt>
                <c:pt idx="6">
                  <c:v>14179078.395708015</c:v>
                </c:pt>
                <c:pt idx="7">
                  <c:v>14904314.434796777</c:v>
                </c:pt>
                <c:pt idx="8">
                  <c:v>15666645.078888381</c:v>
                </c:pt>
                <c:pt idx="9">
                  <c:v>16467967.65470979</c:v>
                </c:pt>
                <c:pt idx="10">
                  <c:v>17310276.534062535</c:v>
                </c:pt>
                <c:pt idx="11">
                  <c:v>18195668.097515255</c:v>
                </c:pt>
                <c:pt idx="12">
                  <c:v>19126345.951980758</c:v>
                </c:pt>
                <c:pt idx="13">
                  <c:v>20104626.415163375</c:v>
                </c:pt>
                <c:pt idx="14">
                  <c:v>21132944.280526605</c:v>
                </c:pt>
                <c:pt idx="15">
                  <c:v>22213858.877129149</c:v>
                </c:pt>
                <c:pt idx="16">
                  <c:v>23350060.439411391</c:v>
                </c:pt>
                <c:pt idx="17">
                  <c:v>24544376.802785747</c:v>
                </c:pt>
                <c:pt idx="18">
                  <c:v>25799780.44169521</c:v>
                </c:pt>
                <c:pt idx="19">
                  <c:v>27119395.867656779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4DB-42B7-9E31-F7F20267E2F6}"/>
            </c:ext>
          </c:extLst>
        </c:ser>
        <c:ser>
          <c:idx val="2"/>
          <c:order val="2"/>
          <c:tx>
            <c:strRef>
              <c:f>'WA PIVOT'!$D$6</c:f>
              <c:strCache>
                <c:ptCount val="1"/>
                <c:pt idx="0">
                  <c:v>20% of Current Portfolio inside PPLI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PIVOT'!$D$7:$D$27</c:f>
              <c:numCache>
                <c:formatCode>_(* #,##0.00_);_(* \(#,##0.00\);_(* "-"??_);_(@_)</c:formatCode>
                <c:ptCount val="20"/>
                <c:pt idx="0">
                  <c:v>10527318.4</c:v>
                </c:pt>
                <c:pt idx="1">
                  <c:v>11082443.269497856</c:v>
                </c:pt>
                <c:pt idx="2">
                  <c:v>11666840.894794095</c:v>
                </c:pt>
                <c:pt idx="3">
                  <c:v>12282054.882163836</c:v>
                </c:pt>
                <c:pt idx="4">
                  <c:v>12929710.235081319</c:v>
                </c:pt>
                <c:pt idx="5">
                  <c:v>13611517.646443991</c:v>
                </c:pt>
                <c:pt idx="6">
                  <c:v>14329278.017133454</c:v>
                </c:pt>
                <c:pt idx="7">
                  <c:v>15084887.212848453</c:v>
                </c:pt>
                <c:pt idx="8">
                  <c:v>15880341.071774425</c:v>
                </c:pt>
                <c:pt idx="9">
                  <c:v>16717740.676316664</c:v>
                </c:pt>
                <c:pt idx="10">
                  <c:v>17599297.902821686</c:v>
                </c:pt>
                <c:pt idx="11">
                  <c:v>18527341.263945617</c:v>
                </c:pt>
                <c:pt idx="12">
                  <c:v>19504322.059101395</c:v>
                </c:pt>
                <c:pt idx="13">
                  <c:v>20532820.849230401</c:v>
                </c:pt>
                <c:pt idx="14">
                  <c:v>21615554.273000684</c:v>
                </c:pt>
                <c:pt idx="15">
                  <c:v>22755382.222435873</c:v>
                </c:pt>
                <c:pt idx="16">
                  <c:v>23955315.396928206</c:v>
                </c:pt>
                <c:pt idx="17">
                  <c:v>25218523.255588561</c:v>
                </c:pt>
                <c:pt idx="18">
                  <c:v>26548342.388938539</c:v>
                </c:pt>
                <c:pt idx="19">
                  <c:v>27948285.332057267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54DB-42B7-9E31-F7F20267E2F6}"/>
            </c:ext>
          </c:extLst>
        </c:ser>
        <c:ser>
          <c:idx val="3"/>
          <c:order val="3"/>
          <c:tx>
            <c:strRef>
              <c:f>'WA PIVOT'!$E$6</c:f>
              <c:strCache>
                <c:ptCount val="1"/>
                <c:pt idx="0">
                  <c:v>30% of Current Portfolio inside PPLI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PIVOT'!$E$7:$E$27</c:f>
              <c:numCache>
                <c:formatCode>_(* #,##0.00_);_(* \(#,##0.00\);_(* "-"??_);_(@_)</c:formatCode>
                <c:ptCount val="20"/>
                <c:pt idx="0">
                  <c:v>10543153.6</c:v>
                </c:pt>
                <c:pt idx="1">
                  <c:v>11115808.783319294</c:v>
                </c:pt>
                <c:pt idx="2">
                  <c:v>11719567.939076442</c:v>
                </c:pt>
                <c:pt idx="3">
                  <c:v>12356120.490731837</c:v>
                </c:pt>
                <c:pt idx="4">
                  <c:v>13027247.623389313</c:v>
                </c:pt>
                <c:pt idx="5">
                  <c:v>13734827.267862847</c:v>
                </c:pt>
                <c:pt idx="6">
                  <c:v>14480839.355454633</c:v>
                </c:pt>
                <c:pt idx="7">
                  <c:v>15267371.358148318</c:v>
                </c:pt>
                <c:pt idx="8">
                  <c:v>16096624.129719831</c:v>
                </c:pt>
                <c:pt idx="9">
                  <c:v>16970918.064110249</c:v>
                </c:pt>
                <c:pt idx="10">
                  <c:v>17892699.5882929</c:v>
                </c:pt>
                <c:pt idx="11">
                  <c:v>18864548.007802881</c:v>
                </c:pt>
                <c:pt idx="12">
                  <c:v>19889182.724083975</c:v>
                </c:pt>
                <c:pt idx="13">
                  <c:v>20969470.843848374</c:v>
                </c:pt>
                <c:pt idx="14">
                  <c:v>22108435.201741502</c:v>
                </c:pt>
                <c:pt idx="15">
                  <c:v>23309262.818760764</c:v>
                </c:pt>
                <c:pt idx="16">
                  <c:v>24575313.820096366</c:v>
                </c:pt>
                <c:pt idx="17">
                  <c:v>25910130.837347873</c:v>
                </c:pt>
                <c:pt idx="18">
                  <c:v>27317448.921425521</c:v>
                </c:pt>
                <c:pt idx="19">
                  <c:v>28801205.99387436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54DB-42B7-9E31-F7F20267E2F6}"/>
            </c:ext>
          </c:extLst>
        </c:ser>
        <c:ser>
          <c:idx val="4"/>
          <c:order val="4"/>
          <c:tx>
            <c:strRef>
              <c:f>'WA PIVOT'!$F$6</c:f>
              <c:strCache>
                <c:ptCount val="1"/>
                <c:pt idx="0">
                  <c:v>40% of Current Portfolio inside PPLI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PIVOT'!$F$7:$F$27</c:f>
              <c:numCache>
                <c:formatCode>_(* #,##0.00_);_(* \(#,##0.00\);_(* "-"??_);_(@_)</c:formatCode>
                <c:ptCount val="20"/>
                <c:pt idx="0">
                  <c:v>10558988.800000001</c:v>
                </c:pt>
                <c:pt idx="1">
                  <c:v>11149224.447852544</c:v>
                </c:pt>
                <c:pt idx="2">
                  <c:v>11772453.60735612</c:v>
                </c:pt>
                <c:pt idx="3">
                  <c:v>12430520.578859286</c:v>
                </c:pt>
                <c:pt idx="4">
                  <c:v>13125372.757034471</c:v>
                </c:pt>
                <c:pt idx="5">
                  <c:v>13859066.393735209</c:v>
                </c:pt>
                <c:pt idx="6">
                  <c:v>14633772.682990646</c:v>
                </c:pt>
                <c:pt idx="7">
                  <c:v>15451784.186144417</c:v>
                </c:pt>
                <c:pt idx="8">
                  <c:v>16315521.616151601</c:v>
                </c:pt>
                <c:pt idx="9">
                  <c:v>17227541.001110267</c:v>
                </c:pt>
                <c:pt idx="10">
                  <c:v>18190541.248226408</c:v>
                </c:pt>
                <c:pt idx="11">
                  <c:v>19207372.130596064</c:v>
                </c:pt>
                <c:pt idx="12">
                  <c:v>20281042.720439598</c:v>
                </c:pt>
                <c:pt idx="13">
                  <c:v>21414730.293744326</c:v>
                </c:pt>
                <c:pt idx="14">
                  <c:v>22611789.732666705</c:v>
                </c:pt>
                <c:pt idx="15">
                  <c:v>23875763.453518271</c:v>
                </c:pt>
                <c:pt idx="16">
                  <c:v>25210391.889714874</c:v>
                </c:pt>
                <c:pt idx="17">
                  <c:v>26619624.560711019</c:v>
                </c:pt>
                <c:pt idx="18">
                  <c:v>28107631.759675257</c:v>
                </c:pt>
                <c:pt idx="19">
                  <c:v>29678816.894493531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54DB-42B7-9E31-F7F20267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37152"/>
        <c:axId val="180737632"/>
      </c:lineChart>
      <c:catAx>
        <c:axId val="18073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7632"/>
        <c:crosses val="autoZero"/>
        <c:auto val="1"/>
        <c:lblAlgn val="ctr"/>
        <c:lblOffset val="100"/>
        <c:noMultiLvlLbl val="0"/>
      </c:catAx>
      <c:valAx>
        <c:axId val="180737632"/>
        <c:scaling>
          <c:orientation val="minMax"/>
          <c:max val="33000000"/>
          <c:min val="10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715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8.7145969498910684E-3"/>
                <c:y val="0.38157871349602746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1" i="0" u="none" strike="noStrike" kern="1200" cap="all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Projected Value (Net)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Simulator'!$C$4:$D$4</c:f>
              <c:strCache>
                <c:ptCount val="2"/>
                <c:pt idx="0">
                  <c:v>Current Client Portfolio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Suitability!$D$12</c:f>
              <c:numCache>
                <c:formatCode>General</c:formatCode>
                <c:ptCount val="1"/>
                <c:pt idx="0">
                  <c:v>20</c:v>
                </c:pt>
              </c:numCache>
            </c:numRef>
          </c:cat>
          <c:val>
            <c:numRef>
              <c:f>'Return Simulator'!$D$5</c:f>
              <c:numCache>
                <c:formatCode>"$"#,##0.00</c:formatCode>
                <c:ptCount val="1"/>
                <c:pt idx="0">
                  <c:v>27153621.883681335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F-477D-9344-8AA378FC6256}"/>
            </c:ext>
          </c:extLst>
        </c:ser>
        <c:ser>
          <c:idx val="1"/>
          <c:order val="1"/>
          <c:tx>
            <c:strRef>
              <c:f>'Return Simulator'!$C$10:$D$10</c:f>
              <c:strCache>
                <c:ptCount val="2"/>
                <c:pt idx="0">
                  <c:v>10% of Current Portfolio inside PPLI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Suitability!$D$12</c:f>
              <c:numCache>
                <c:formatCode>General</c:formatCode>
                <c:ptCount val="1"/>
                <c:pt idx="0">
                  <c:v>20</c:v>
                </c:pt>
              </c:numCache>
            </c:numRef>
          </c:cat>
          <c:val>
            <c:numRef>
              <c:f>'Return Simulator'!$D$11</c:f>
              <c:numCache>
                <c:formatCode>"$"#,##0.00</c:formatCode>
                <c:ptCount val="1"/>
                <c:pt idx="0">
                  <c:v>28098546.931423761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F-477D-9344-8AA378FC6256}"/>
            </c:ext>
          </c:extLst>
        </c:ser>
        <c:ser>
          <c:idx val="2"/>
          <c:order val="2"/>
          <c:tx>
            <c:strRef>
              <c:f>'Return Simulator'!$C$14:$D$14</c:f>
              <c:strCache>
                <c:ptCount val="2"/>
                <c:pt idx="0">
                  <c:v>20% of Current Portfolio inside PPLI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Suitability!$D$12</c:f>
              <c:numCache>
                <c:formatCode>General</c:formatCode>
                <c:ptCount val="1"/>
                <c:pt idx="0">
                  <c:v>20</c:v>
                </c:pt>
              </c:numCache>
            </c:numRef>
          </c:cat>
          <c:val>
            <c:numRef>
              <c:f>'Return Simulator'!$D$15</c:f>
              <c:numCache>
                <c:formatCode>"$"#,##0.00</c:formatCode>
                <c:ptCount val="1"/>
                <c:pt idx="0">
                  <c:v>29043471.979166195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F-477D-9344-8AA378FC6256}"/>
            </c:ext>
          </c:extLst>
        </c:ser>
        <c:ser>
          <c:idx val="3"/>
          <c:order val="3"/>
          <c:tx>
            <c:strRef>
              <c:f>'Return Simulator'!$C$18:$D$18</c:f>
              <c:strCache>
                <c:ptCount val="2"/>
                <c:pt idx="0">
                  <c:v>30% of Current Portfolio inside PPLI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Suitability!$D$12</c:f>
              <c:numCache>
                <c:formatCode>General</c:formatCode>
                <c:ptCount val="1"/>
                <c:pt idx="0">
                  <c:v>20</c:v>
                </c:pt>
              </c:numCache>
            </c:numRef>
          </c:cat>
          <c:val>
            <c:numRef>
              <c:f>'Return Simulator'!$D$19</c:f>
              <c:numCache>
                <c:formatCode>"$"#,##0.00</c:formatCode>
                <c:ptCount val="1"/>
                <c:pt idx="0">
                  <c:v>29988397.026908625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F-477D-9344-8AA378FC6256}"/>
            </c:ext>
          </c:extLst>
        </c:ser>
        <c:ser>
          <c:idx val="4"/>
          <c:order val="4"/>
          <c:tx>
            <c:strRef>
              <c:f>'Return Simulator'!$C$22:$D$22</c:f>
              <c:strCache>
                <c:ptCount val="2"/>
                <c:pt idx="0">
                  <c:v>40% of Current Portfolio inside PPLI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Suitability!$D$12</c:f>
              <c:numCache>
                <c:formatCode>General</c:formatCode>
                <c:ptCount val="1"/>
                <c:pt idx="0">
                  <c:v>20</c:v>
                </c:pt>
              </c:numCache>
            </c:numRef>
          </c:cat>
          <c:val>
            <c:numRef>
              <c:f>'Return Simulator'!$D$23</c:f>
              <c:numCache>
                <c:formatCode>"$"#,##0.00</c:formatCode>
                <c:ptCount val="1"/>
                <c:pt idx="0">
                  <c:v>30933322.074651059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6F-477D-9344-8AA378FC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1503647"/>
        <c:axId val="1141491647"/>
      </c:barChart>
      <c:catAx>
        <c:axId val="1141503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1491647"/>
        <c:crosses val="autoZero"/>
        <c:auto val="1"/>
        <c:lblAlgn val="ctr"/>
        <c:lblOffset val="100"/>
        <c:noMultiLvlLbl val="0"/>
      </c:catAx>
      <c:valAx>
        <c:axId val="1141491647"/>
        <c:scaling>
          <c:orientation val="minMax"/>
          <c:max val="33000000"/>
          <c:min val="25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503647"/>
        <c:crosses val="autoZero"/>
        <c:crossBetween val="between"/>
        <c:majorUnit val="1000000"/>
        <c:minorUnit val="1000000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PPLI</a:t>
            </a:r>
            <a:r>
              <a:rPr lang="en-US" baseline="0"/>
              <a:t>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B-4E25-8D6D-DAF650E2D9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B-4E25-8D6D-DAF650E2D9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B-4E25-8D6D-DAF650E2D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'Portal-Widget'!$W$11:$W$13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'Portal-Widget'!$X$11:$X$13</c:f>
              <c:numCache>
                <c:formatCode>"$"#,##0.00</c:formatCode>
                <c:ptCount val="3"/>
                <c:pt idx="0">
                  <c:v>6250000</c:v>
                </c:pt>
                <c:pt idx="1">
                  <c:v>7500000</c:v>
                </c:pt>
                <c:pt idx="2">
                  <c:v>11250000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7-453E-B367-B559F81B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'Portal-Widget'!$X$17:$X$20</c:f>
              <c:numCache>
                <c:formatCode>"$"#,##0.00</c:formatCode>
                <c:ptCount val="4"/>
                <c:pt idx="0">
                  <c:v>10000000</c:v>
                </c:pt>
                <c:pt idx="1">
                  <c:v>14000000</c:v>
                </c:pt>
                <c:pt idx="2">
                  <c:v>19600000</c:v>
                </c:pt>
                <c:pt idx="3">
                  <c:v>25000000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5-464E-AE99-004CEF757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999199"/>
        <c:axId val="1046000159"/>
      </c:lineChart>
      <c:catAx>
        <c:axId val="1045999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00159"/>
        <c:crosses val="autoZero"/>
        <c:auto val="1"/>
        <c:lblAlgn val="ctr"/>
        <c:lblOffset val="100"/>
        <c:noMultiLvlLbl val="0"/>
      </c:catAx>
      <c:valAx>
        <c:axId val="10460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9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353787</xdr:colOff>
      <xdr:row>52</xdr:row>
      <xdr:rowOff>29066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92A945-45B9-9D9D-B4D2-B6FBBF9C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22929" cy="9050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1195164</xdr:colOff>
      <xdr:row>1</xdr:row>
      <xdr:rowOff>200023</xdr:rowOff>
    </xdr:from>
    <xdr:to>
      <xdr:col>20</xdr:col>
      <xdr:colOff>424141</xdr:colOff>
      <xdr:row>21</xdr:row>
      <xdr:rowOff>103933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CF372-11C7-4A4A-A1B1-02DACD0AE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71997</xdr:colOff>
      <xdr:row>3</xdr:row>
      <xdr:rowOff>0</xdr:rowOff>
    </xdr:from>
    <xdr:to>
      <xdr:col>13</xdr:col>
      <xdr:colOff>1114145</xdr:colOff>
      <xdr:row>21</xdr:row>
      <xdr:rowOff>89647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77C639-D7AA-4472-1B55-DE81E722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485776</xdr:colOff>
      <xdr:row>16</xdr:row>
      <xdr:rowOff>66675</xdr:rowOff>
    </xdr:from>
    <xdr:to>
      <xdr:col>18</xdr:col>
      <xdr:colOff>66676</xdr:colOff>
      <xdr:row>31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95FAF-B660-9615-6C66-E21C728BC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16</xdr:row>
      <xdr:rowOff>57149</xdr:rowOff>
    </xdr:from>
    <xdr:to>
      <xdr:col>10</xdr:col>
      <xdr:colOff>390525</xdr:colOff>
      <xdr:row>31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AFE4A8-5D9A-B2F1-C7B8-6EA319293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Rickman" refreshedDate="45968.511370023145" createdVersion="8" refreshedVersion="8" minRefreshableVersion="3" recordCount="101" xr:uid="{051E440F-90CE-4D79-8199-200F0C1CBCA8}">
  <cacheSource type="worksheet">
    <worksheetSource ref="K5:P1055" sheet="WA"/>
  </cacheSource>
  <cacheFields count="6">
    <cacheField name="Year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</sharedItems>
    </cacheField>
    <cacheField name="Custom_" numFmtId="0">
      <sharedItems containsBlank="1" containsMixedTypes="1" containsNumber="1" minValue="10495648" maxValue="26313895.198113486"/>
    </cacheField>
    <cacheField name="Traditional (Taxable)_" numFmtId="0">
      <sharedItems containsBlank="1" containsMixedTypes="1" containsNumber="1" minValue="10511483.200000001" maxValue="27119395.867656779"/>
    </cacheField>
    <cacheField name="Traditional (PPLI)_" numFmtId="0">
      <sharedItems containsBlank="1" containsMixedTypes="1" containsNumber="1" minValue="10527318.4" maxValue="27948285.332057267"/>
    </cacheField>
    <cacheField name="Alternatives Enhanced (Taxable)_" numFmtId="0">
      <sharedItems containsBlank="1" containsMixedTypes="1" containsNumber="1" minValue="10543153.6" maxValue="28801205.99387436"/>
    </cacheField>
    <cacheField name="Alternatives Enhanced (PPLI)_" numFmtId="0">
      <sharedItems containsBlank="1" containsMixedTypes="1" containsNumber="1" minValue="10558988.800000001" maxValue="29678816.894493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Rickman" refreshedDate="45968.51137025463" createdVersion="8" refreshedVersion="8" minRefreshableVersion="3" recordCount="100" xr:uid="{835EF439-87A9-46DB-9F0C-5F835297621B}">
  <cacheSource type="worksheet">
    <worksheetSource ref="K5:P105" sheet="WA"/>
  </cacheSource>
  <cacheFields count="6">
    <cacheField name="Year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</sharedItems>
    </cacheField>
    <cacheField name="Custom_" numFmtId="44">
      <sharedItems containsMixedTypes="1" containsNumber="1" minValue="10495648" maxValue="26313895.198113486"/>
    </cacheField>
    <cacheField name="Traditional (Taxable)_" numFmtId="44">
      <sharedItems containsMixedTypes="1" containsNumber="1" minValue="10511483.200000001" maxValue="27119395.867656779"/>
    </cacheField>
    <cacheField name="Traditional (PPLI)_" numFmtId="44">
      <sharedItems containsMixedTypes="1" containsNumber="1" minValue="10527318.4" maxValue="27948285.332057267"/>
    </cacheField>
    <cacheField name="Alternatives Enhanced (Taxable)_" numFmtId="44">
      <sharedItems containsMixedTypes="1" containsNumber="1" minValue="10543153.6" maxValue="28801205.99387436"/>
    </cacheField>
    <cacheField name="Alternatives Enhanced (PPLI)_" numFmtId="44">
      <sharedItems containsMixedTypes="1" containsNumber="1" minValue="10558988.800000001" maxValue="29678816.894493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10495648"/>
    <n v="10511483.200000001"/>
    <n v="10527318.4"/>
    <n v="10543153.6"/>
    <n v="10558988.800000001"/>
  </r>
  <r>
    <x v="1"/>
    <n v="11015862.6939904"/>
    <n v="11049127.906388225"/>
    <n v="11082443.269497856"/>
    <n v="11115808.783319294"/>
    <n v="11149224.447852544"/>
  </r>
  <r>
    <x v="2"/>
    <n v="11561861.725245494"/>
    <n v="11614272.236265101"/>
    <n v="11666840.894794095"/>
    <n v="11719567.939076442"/>
    <n v="11772453.60735612"/>
  </r>
  <r>
    <x v="3"/>
    <n v="12134923.089284942"/>
    <n v="12208322.749172704"/>
    <n v="12282054.882163836"/>
    <n v="12356120.490731837"/>
    <n v="12430520.578859286"/>
  </r>
  <r>
    <x v="4"/>
    <n v="12736388.125220731"/>
    <n v="12832757.94781067"/>
    <n v="12929710.235081319"/>
    <n v="13027247.623389313"/>
    <n v="13125372.757034471"/>
  </r>
  <r>
    <x v="5"/>
    <n v="13367664.655369671"/>
    <n v="13489131.957807833"/>
    <n v="13611517.646443991"/>
    <n v="13734827.267862847"/>
    <n v="13859066.393735209"/>
  </r>
  <r>
    <x v="6"/>
    <n v="14030230.280480137"/>
    <n v="14179078.395708015"/>
    <n v="14329278.017133454"/>
    <n v="14480839.355454633"/>
    <n v="14633772.682990646"/>
  </r>
  <r>
    <x v="7"/>
    <n v="14725635.838286078"/>
    <n v="14904314.434796777"/>
    <n v="15084887.212848453"/>
    <n v="15267371.358148318"/>
    <n v="15451784.186144417"/>
  </r>
  <r>
    <x v="8"/>
    <n v="15455509.033483559"/>
    <n v="15666645.078888381"/>
    <n v="15880341.071774425"/>
    <n v="16096624.129719831"/>
    <n v="16315521.616151601"/>
  </r>
  <r>
    <x v="9"/>
    <n v="16221558.247626364"/>
    <n v="16467967.65470979"/>
    <n v="16717740.676316664"/>
    <n v="16970918.064110249"/>
    <n v="17227541.001110267"/>
  </r>
  <r>
    <x v="10"/>
    <n v="17025576.537858315"/>
    <n v="17310276.534062535"/>
    <n v="17599297.902821686"/>
    <n v="17892699.5882929"/>
    <n v="18190541.248226408"/>
  </r>
  <r>
    <x v="11"/>
    <n v="17869445.833841953"/>
    <n v="18195668.097515255"/>
    <n v="18527341.263945617"/>
    <n v="18864548.007802881"/>
    <n v="19207372.130596064"/>
  </r>
  <r>
    <x v="12"/>
    <n v="18755141.342707161"/>
    <n v="19126345.951980758"/>
    <n v="19504322.059101395"/>
    <n v="19889182.724083975"/>
    <n v="20281042.720439598"/>
  </r>
  <r>
    <x v="13"/>
    <n v="19684736.172330171"/>
    <n v="20104626.415163375"/>
    <n v="20532820.849230401"/>
    <n v="20969470.843848374"/>
    <n v="21414730.293744326"/>
  </r>
  <r>
    <x v="14"/>
    <n v="20660406.18376448"/>
    <n v="21132944.280526605"/>
    <n v="21615554.273000684"/>
    <n v="22108435.201741502"/>
    <n v="22611789.732666705"/>
  </r>
  <r>
    <x v="15"/>
    <n v="21684435.084181529"/>
    <n v="22213858.877129149"/>
    <n v="22755382.222435873"/>
    <n v="23309262.818760764"/>
    <n v="23875763.453518271"/>
  </r>
  <r>
    <x v="16"/>
    <n v="22759219.772241969"/>
    <n v="23350060.439411391"/>
    <n v="23955315.396928206"/>
    <n v="24575313.820096366"/>
    <n v="25210391.889714874"/>
  </r>
  <r>
    <x v="17"/>
    <n v="23887275.948409185"/>
    <n v="24544376.802785747"/>
    <n v="25218523.255588561"/>
    <n v="25910130.837347873"/>
    <n v="26619624.560711019"/>
  </r>
  <r>
    <x v="18"/>
    <n v="25071244.003336895"/>
    <n v="25799780.44169521"/>
    <n v="26548342.388938539"/>
    <n v="27317448.921425521"/>
    <n v="28107631.759675257"/>
  </r>
  <r>
    <x v="19"/>
    <n v="26313895.198113486"/>
    <n v="27119395.867656779"/>
    <n v="27948285.332057267"/>
    <n v="28801205.99387436"/>
    <n v="29678816.894493531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10495648"/>
    <n v="10511483.200000001"/>
    <n v="10527318.4"/>
    <n v="10543153.6"/>
    <n v="10558988.800000001"/>
  </r>
  <r>
    <x v="1"/>
    <n v="11015862.6939904"/>
    <n v="11049127.906388225"/>
    <n v="11082443.269497856"/>
    <n v="11115808.783319294"/>
    <n v="11149224.447852544"/>
  </r>
  <r>
    <x v="2"/>
    <n v="11561861.725245494"/>
    <n v="11614272.236265101"/>
    <n v="11666840.894794095"/>
    <n v="11719567.939076442"/>
    <n v="11772453.60735612"/>
  </r>
  <r>
    <x v="3"/>
    <n v="12134923.089284942"/>
    <n v="12208322.749172704"/>
    <n v="12282054.882163836"/>
    <n v="12356120.490731837"/>
    <n v="12430520.578859286"/>
  </r>
  <r>
    <x v="4"/>
    <n v="12736388.125220731"/>
    <n v="12832757.94781067"/>
    <n v="12929710.235081319"/>
    <n v="13027247.623389313"/>
    <n v="13125372.757034471"/>
  </r>
  <r>
    <x v="5"/>
    <n v="13367664.655369671"/>
    <n v="13489131.957807833"/>
    <n v="13611517.646443991"/>
    <n v="13734827.267862847"/>
    <n v="13859066.393735209"/>
  </r>
  <r>
    <x v="6"/>
    <n v="14030230.280480137"/>
    <n v="14179078.395708015"/>
    <n v="14329278.017133454"/>
    <n v="14480839.355454633"/>
    <n v="14633772.682990646"/>
  </r>
  <r>
    <x v="7"/>
    <n v="14725635.838286078"/>
    <n v="14904314.434796777"/>
    <n v="15084887.212848453"/>
    <n v="15267371.358148318"/>
    <n v="15451784.186144417"/>
  </r>
  <r>
    <x v="8"/>
    <n v="15455509.033483559"/>
    <n v="15666645.078888381"/>
    <n v="15880341.071774425"/>
    <n v="16096624.129719831"/>
    <n v="16315521.616151601"/>
  </r>
  <r>
    <x v="9"/>
    <n v="16221558.247626364"/>
    <n v="16467967.65470979"/>
    <n v="16717740.676316664"/>
    <n v="16970918.064110249"/>
    <n v="17227541.001110267"/>
  </r>
  <r>
    <x v="10"/>
    <n v="17025576.537858315"/>
    <n v="17310276.534062535"/>
    <n v="17599297.902821686"/>
    <n v="17892699.5882929"/>
    <n v="18190541.248226408"/>
  </r>
  <r>
    <x v="11"/>
    <n v="17869445.833841953"/>
    <n v="18195668.097515255"/>
    <n v="18527341.263945617"/>
    <n v="18864548.007802881"/>
    <n v="19207372.130596064"/>
  </r>
  <r>
    <x v="12"/>
    <n v="18755141.342707161"/>
    <n v="19126345.951980758"/>
    <n v="19504322.059101395"/>
    <n v="19889182.724083975"/>
    <n v="20281042.720439598"/>
  </r>
  <r>
    <x v="13"/>
    <n v="19684736.172330171"/>
    <n v="20104626.415163375"/>
    <n v="20532820.849230401"/>
    <n v="20969470.843848374"/>
    <n v="21414730.293744326"/>
  </r>
  <r>
    <x v="14"/>
    <n v="20660406.18376448"/>
    <n v="21132944.280526605"/>
    <n v="21615554.273000684"/>
    <n v="22108435.201741502"/>
    <n v="22611789.732666705"/>
  </r>
  <r>
    <x v="15"/>
    <n v="21684435.084181529"/>
    <n v="22213858.877129149"/>
    <n v="22755382.222435873"/>
    <n v="23309262.818760764"/>
    <n v="23875763.453518271"/>
  </r>
  <r>
    <x v="16"/>
    <n v="22759219.772241969"/>
    <n v="23350060.439411391"/>
    <n v="23955315.396928206"/>
    <n v="24575313.820096366"/>
    <n v="25210391.889714874"/>
  </r>
  <r>
    <x v="17"/>
    <n v="23887275.948409185"/>
    <n v="24544376.802785747"/>
    <n v="25218523.255588561"/>
    <n v="25910130.837347873"/>
    <n v="26619624.560711019"/>
  </r>
  <r>
    <x v="18"/>
    <n v="25071244.003336895"/>
    <n v="25799780.44169521"/>
    <n v="26548342.388938539"/>
    <n v="27317448.921425521"/>
    <n v="28107631.759675257"/>
  </r>
  <r>
    <x v="19"/>
    <n v="26313895.198113486"/>
    <n v="27119395.867656779"/>
    <n v="27948285.332057267"/>
    <n v="28801205.99387436"/>
    <n v="29678816.894493531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A7B78-183C-4C1B-BDE5-CBEB90F4F9EB}" name="PivotTable2" cacheId="0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25">
  <location ref="A6:F27" firstHeaderRow="0" firstDataRow="1" firstDataCol="1"/>
  <pivotFields count="6">
    <pivotField axis="axisRow" showAll="0" measureFilter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urrent Client Portfolio" fld="1" baseField="0" baseItem="0"/>
    <dataField name="10% of Current Portfolio inside PPLI" fld="2" baseField="0" baseItem="0"/>
    <dataField name="20% of Current Portfolio inside PPLI" fld="3" baseField="0" baseItem="0"/>
    <dataField name="30% of Current Portfolio inside PPLI" fld="4" baseField="0" baseItem="0"/>
    <dataField name="40% of Current Portfolio inside PPLI" fld="5" baseField="0" baseItem="0"/>
  </dataFields>
  <formats count="1">
    <format dxfId="20">
      <pivotArea outline="0" collapsedLevelsAreSubtotals="1" fieldPosition="0"/>
    </format>
  </formats>
  <chartFormats count="5">
    <chartFormat chart="1" format="2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0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0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0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BDD27-A403-4918-9542-9A2DCD153207}" name="PivotTable1" cacheId="1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10">
  <location ref="I6:N27" firstHeaderRow="0" firstDataRow="1" firstDataCol="1"/>
  <pivotFields count="6">
    <pivotField axis="axisRow" showAll="0" measureFilter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urrent Client Portfolio" fld="1" baseField="0" baseItem="0"/>
    <dataField name="10% of Current Portfolio inside PPLI" fld="2" baseField="0" baseItem="0"/>
    <dataField name="20% of Current Portfolio inside PPLI" fld="3" baseField="0" baseItem="0"/>
    <dataField name="30% of Current Portfolio inside PPLI" fld="4" baseField="0" baseItem="0"/>
    <dataField name="40% of Current Portfolio inside PPLI" fld="5" baseField="0" baseItem="0"/>
  </dataFields>
  <formats count="1">
    <format dxfId="21">
      <pivotArea outline="0" collapsedLevelsAreSubtotals="1" fieldPosition="0"/>
    </format>
  </formats>
  <chartFormats count="10">
    <chartFormat chart="1" format="2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0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0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0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0007BA-1533-4779-A91E-C262A0DB83B7}" name="Add_Contributions" displayName="Add_Contributions" ref="C74:D81" totalsRowShown="0" headerRowDxfId="39" dataDxfId="37" headerRowBorderDxfId="38" tableBorderDxfId="36" headerRowCellStyle="Accent1" dataCellStyle="Note">
  <autoFilter ref="C74:D81" xr:uid="{A00007BA-1533-4779-A91E-C262A0DB83B7}">
    <filterColumn colId="0" hiddenButton="1"/>
    <filterColumn colId="1" hiddenButton="1"/>
  </autoFilter>
  <tableColumns count="2">
    <tableColumn id="1" xr3:uid="{92377896-85AF-41F1-BB6F-C201EA810306}" name="Year" dataDxfId="35" dataCellStyle="Note"/>
    <tableColumn id="2" xr3:uid="{B0848157-CCFC-4A07-851E-4926382E150C}" name="Amount ($)" dataDxfId="34" dataCellStyle="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16C79-08C4-4AFC-9BBE-42D85604606A}" name="Table1" displayName="Table1" ref="C4:I10" totalsRowShown="0" headerRowDxfId="33">
  <autoFilter ref="C4:I10" xr:uid="{5AA16C79-08C4-4AFC-9BBE-42D85604606A}"/>
  <tableColumns count="7">
    <tableColumn id="1" xr3:uid="{740F042D-6647-45DC-BA90-EAB819512037}" name="Carrier" dataDxfId="32"/>
    <tableColumn id="2" xr3:uid="{4AF2553A-527B-4327-8A1D-303DC0E5325B}" name="Rating" dataDxfId="31"/>
    <tableColumn id="3" xr3:uid="{591A669F-D058-4B88-A563-F67C1DCB632A}" name="Policy Minimum" dataDxfId="30" dataCellStyle="Currency"/>
    <tableColumn id="4" xr3:uid="{D1E0D9E3-23E6-4458-A4E0-DD24F4B8E885}" name="Fund Name" dataDxfId="29"/>
    <tableColumn id="5" xr3:uid="{CB4A72DD-32F5-4330-BBCF-BE902585D7DE}" name="Fund Type" dataDxfId="28"/>
    <tableColumn id="6" xr3:uid="{42CC1EEC-B0AB-4483-BB29-735C12304947}" name="Learn More" dataDxfId="27"/>
    <tableColumn id="7" xr3:uid="{FE31FBE8-DE4B-4755-B3BC-D95AF0EC5639}" name="Select Policy" dataDxfId="2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034956-FC28-42B3-B5CE-AD0790671F1F}" name="Table13" displayName="Table13" ref="C4:D9" totalsRowShown="0" headerRowDxfId="25">
  <autoFilter ref="C4:D9" xr:uid="{5AA16C79-08C4-4AFC-9BBE-42D85604606A}"/>
  <tableColumns count="2">
    <tableColumn id="1" xr3:uid="{41DDB1F8-330D-4B76-928A-2102061B0A57}" name="Type" dataDxfId="24"/>
    <tableColumn id="6" xr3:uid="{18BC165B-831A-4B99-949B-5914B7216EAA}" name="Learn More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C5FD4E-F4CA-451A-8CDB-5F7F90C12FFE}" name="Table136" displayName="Table136" ref="C4:D9" totalsRowShown="0" headerRowDxfId="23">
  <autoFilter ref="C4:D9" xr:uid="{5AA16C79-08C4-4AFC-9BBE-42D85604606A}"/>
  <tableColumns count="2">
    <tableColumn id="1" xr3:uid="{59DCE393-8B72-4E2B-B512-D3611A665C83}" name="Type" dataDxfId="22"/>
    <tableColumn id="6" xr3:uid="{1C310AEC-B4A7-429C-9817-99E7EF00648C}" name="Connec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C129-08FE-4854-B16C-9FAFB9C77036}">
  <sheetPr>
    <tabColor rgb="FFFFC000"/>
  </sheetPr>
  <dimension ref="A1"/>
  <sheetViews>
    <sheetView showGridLines="0" tabSelected="1" zoomScale="70" zoomScaleNormal="70" workbookViewId="0">
      <selection activeCell="AE20" sqref="AE20"/>
    </sheetView>
  </sheetViews>
  <sheetFormatPr defaultRowHeight="14.25" x14ac:dyDescent="0.45"/>
  <cols>
    <col min="1" max="1" width="3.33203125" customWidth="1"/>
  </cols>
  <sheetData>
    <row r="1" ht="13.5" customHeight="1" x14ac:dyDescent="0.4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FE3B-06B1-4AC5-814A-46709451D061}">
  <dimension ref="B1:J25"/>
  <sheetViews>
    <sheetView showGridLines="0" workbookViewId="0">
      <selection activeCell="B2" sqref="B2"/>
    </sheetView>
  </sheetViews>
  <sheetFormatPr defaultRowHeight="14.25" x14ac:dyDescent="0.45"/>
  <cols>
    <col min="1" max="1" width="1.33203125" style="34" customWidth="1"/>
    <col min="2" max="16384" width="9.06640625" style="34"/>
  </cols>
  <sheetData>
    <row r="1" spans="2:10" ht="7.5" customHeight="1" thickBot="1" x14ac:dyDescent="0.5"/>
    <row r="2" spans="2:10" x14ac:dyDescent="0.45">
      <c r="B2" s="43"/>
      <c r="C2" s="42"/>
      <c r="D2" s="42"/>
      <c r="E2" s="42"/>
      <c r="F2" s="42"/>
      <c r="G2" s="42"/>
      <c r="H2" s="41"/>
    </row>
    <row r="3" spans="2:10" x14ac:dyDescent="0.45">
      <c r="B3" s="40"/>
      <c r="C3" s="39"/>
      <c r="D3" s="39"/>
      <c r="E3" s="39"/>
      <c r="F3" s="39"/>
      <c r="G3" s="39"/>
      <c r="H3" s="38"/>
    </row>
    <row r="4" spans="2:10" x14ac:dyDescent="0.45">
      <c r="B4" s="40"/>
      <c r="C4" s="107" t="s">
        <v>170</v>
      </c>
      <c r="D4" s="107"/>
      <c r="E4" s="107"/>
      <c r="F4" s="107"/>
      <c r="G4" s="107"/>
      <c r="H4" s="38"/>
    </row>
    <row r="5" spans="2:10" x14ac:dyDescent="0.45">
      <c r="B5" s="40"/>
      <c r="C5" s="107"/>
      <c r="D5" s="107"/>
      <c r="E5" s="107"/>
      <c r="F5" s="107"/>
      <c r="G5" s="107"/>
      <c r="H5" s="38"/>
      <c r="J5" s="104" t="s">
        <v>171</v>
      </c>
    </row>
    <row r="6" spans="2:10" x14ac:dyDescent="0.45">
      <c r="B6" s="40"/>
      <c r="C6" s="39"/>
      <c r="D6" s="39"/>
      <c r="E6" s="39"/>
      <c r="F6" s="39"/>
      <c r="G6" s="39"/>
      <c r="H6" s="38"/>
    </row>
    <row r="7" spans="2:10" x14ac:dyDescent="0.45">
      <c r="B7" s="40"/>
      <c r="C7" s="108" t="s">
        <v>82</v>
      </c>
      <c r="D7" s="108"/>
      <c r="E7" s="108"/>
      <c r="F7" s="108"/>
      <c r="G7" s="108"/>
      <c r="H7" s="38"/>
    </row>
    <row r="8" spans="2:10" x14ac:dyDescent="0.45">
      <c r="B8" s="40"/>
      <c r="C8" s="109"/>
      <c r="D8" s="110"/>
      <c r="E8" s="110"/>
      <c r="F8" s="110"/>
      <c r="G8" s="111"/>
      <c r="H8" s="38"/>
    </row>
    <row r="9" spans="2:10" x14ac:dyDescent="0.45">
      <c r="B9" s="40"/>
      <c r="C9" s="39"/>
      <c r="D9" s="39"/>
      <c r="E9" s="39"/>
      <c r="F9" s="39"/>
      <c r="G9" s="39"/>
      <c r="H9" s="38"/>
    </row>
    <row r="10" spans="2:10" x14ac:dyDescent="0.45">
      <c r="B10" s="40"/>
      <c r="C10" s="108" t="s">
        <v>81</v>
      </c>
      <c r="D10" s="108"/>
      <c r="E10" s="108"/>
      <c r="F10" s="108"/>
      <c r="G10" s="108"/>
      <c r="H10" s="38"/>
    </row>
    <row r="11" spans="2:10" x14ac:dyDescent="0.45">
      <c r="B11" s="40"/>
      <c r="C11" s="109"/>
      <c r="D11" s="110"/>
      <c r="E11" s="110"/>
      <c r="F11" s="110"/>
      <c r="G11" s="111"/>
      <c r="H11" s="38"/>
    </row>
    <row r="12" spans="2:10" x14ac:dyDescent="0.45">
      <c r="B12" s="40"/>
      <c r="C12" s="39"/>
      <c r="D12" s="39"/>
      <c r="E12" s="39"/>
      <c r="F12" s="39"/>
      <c r="G12" s="39"/>
      <c r="H12" s="38"/>
    </row>
    <row r="13" spans="2:10" x14ac:dyDescent="0.45">
      <c r="B13" s="40"/>
      <c r="C13" s="39"/>
      <c r="D13" s="39"/>
      <c r="E13" s="39"/>
      <c r="F13" s="39"/>
      <c r="G13" s="39"/>
      <c r="H13" s="38"/>
    </row>
    <row r="14" spans="2:10" ht="14.65" thickBot="1" x14ac:dyDescent="0.5">
      <c r="B14" s="40"/>
      <c r="C14" s="39"/>
      <c r="D14" s="39"/>
      <c r="E14" s="39"/>
      <c r="F14" s="39"/>
      <c r="G14" s="39"/>
      <c r="H14" s="38"/>
    </row>
    <row r="15" spans="2:10" ht="15" thickTop="1" thickBot="1" x14ac:dyDescent="0.5">
      <c r="B15" s="40"/>
      <c r="C15" s="106" t="s">
        <v>80</v>
      </c>
      <c r="D15" s="106"/>
      <c r="E15" s="106"/>
      <c r="F15" s="106"/>
      <c r="G15" s="106"/>
      <c r="H15" s="38"/>
    </row>
    <row r="16" spans="2:10" ht="15" thickTop="1" thickBot="1" x14ac:dyDescent="0.5">
      <c r="B16" s="40"/>
      <c r="C16" s="106"/>
      <c r="D16" s="106"/>
      <c r="E16" s="106"/>
      <c r="F16" s="106"/>
      <c r="G16" s="106"/>
      <c r="H16" s="38"/>
    </row>
    <row r="17" spans="2:8" ht="14.65" thickTop="1" x14ac:dyDescent="0.45">
      <c r="B17" s="40"/>
      <c r="C17" s="39"/>
      <c r="D17" s="39"/>
      <c r="E17" s="39"/>
      <c r="F17" s="39"/>
      <c r="G17" s="39"/>
      <c r="H17" s="38"/>
    </row>
    <row r="18" spans="2:8" x14ac:dyDescent="0.45">
      <c r="B18" s="40"/>
      <c r="C18" s="39"/>
      <c r="D18" s="39"/>
      <c r="E18" s="39"/>
      <c r="F18" s="39"/>
      <c r="G18" s="39"/>
      <c r="H18" s="38"/>
    </row>
    <row r="19" spans="2:8" x14ac:dyDescent="0.45">
      <c r="B19" s="40"/>
      <c r="C19" s="39"/>
      <c r="D19" s="39"/>
      <c r="E19" s="39"/>
      <c r="F19" s="39"/>
      <c r="G19" s="39"/>
      <c r="H19" s="38"/>
    </row>
    <row r="20" spans="2:8" x14ac:dyDescent="0.45">
      <c r="B20" s="40"/>
      <c r="C20" s="39"/>
      <c r="D20" s="39"/>
      <c r="E20" s="39"/>
      <c r="F20" s="39"/>
      <c r="G20" s="39"/>
      <c r="H20" s="38"/>
    </row>
    <row r="21" spans="2:8" x14ac:dyDescent="0.45">
      <c r="B21" s="40"/>
      <c r="C21" s="39"/>
      <c r="D21" s="39"/>
      <c r="E21" s="39"/>
      <c r="F21" s="39"/>
      <c r="G21" s="39"/>
      <c r="H21" s="38"/>
    </row>
    <row r="22" spans="2:8" x14ac:dyDescent="0.45">
      <c r="B22" s="40"/>
      <c r="C22" s="39"/>
      <c r="D22" s="39"/>
      <c r="E22" s="39"/>
      <c r="F22" s="39"/>
      <c r="G22" s="39"/>
      <c r="H22" s="38"/>
    </row>
    <row r="23" spans="2:8" x14ac:dyDescent="0.45">
      <c r="B23" s="40"/>
      <c r="C23" s="39"/>
      <c r="D23" s="39"/>
      <c r="E23" s="39"/>
      <c r="F23" s="39"/>
      <c r="G23" s="39"/>
      <c r="H23" s="38"/>
    </row>
    <row r="24" spans="2:8" x14ac:dyDescent="0.45">
      <c r="B24" s="40"/>
      <c r="C24" s="39"/>
      <c r="D24" s="39"/>
      <c r="E24" s="39"/>
      <c r="F24" s="39"/>
      <c r="G24" s="39"/>
      <c r="H24" s="38"/>
    </row>
    <row r="25" spans="2:8" ht="14.65" thickBot="1" x14ac:dyDescent="0.5">
      <c r="B25" s="37"/>
      <c r="C25" s="36"/>
      <c r="D25" s="36"/>
      <c r="E25" s="36"/>
      <c r="F25" s="36"/>
      <c r="G25" s="36"/>
      <c r="H25" s="35"/>
    </row>
  </sheetData>
  <mergeCells count="6">
    <mergeCell ref="C15:G16"/>
    <mergeCell ref="C4:G5"/>
    <mergeCell ref="C7:G7"/>
    <mergeCell ref="C10:G10"/>
    <mergeCell ref="C8:G8"/>
    <mergeCell ref="C11:G11"/>
  </mergeCells>
  <hyperlinks>
    <hyperlink ref="C15:G16" location="Suitability!A1" display="Log-In" xr:uid="{8579560B-B463-46B7-BDD4-67F078D746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CFC4-4E49-4916-8F41-7D298672562B}">
  <dimension ref="B1:I31"/>
  <sheetViews>
    <sheetView workbookViewId="0">
      <selection activeCell="D6" sqref="D6"/>
    </sheetView>
  </sheetViews>
  <sheetFormatPr defaultRowHeight="14.25" x14ac:dyDescent="0.45"/>
  <cols>
    <col min="1" max="1" width="1.59765625" style="34" customWidth="1"/>
    <col min="2" max="2" width="9.73046875" style="34" customWidth="1"/>
    <col min="3" max="3" width="24.59765625" style="34" bestFit="1" customWidth="1"/>
    <col min="4" max="4" width="19.1328125" style="34" bestFit="1" customWidth="1"/>
    <col min="5" max="5" width="9.73046875" style="34" customWidth="1"/>
    <col min="6" max="16384" width="9.06640625" style="34"/>
  </cols>
  <sheetData>
    <row r="1" spans="2:9" ht="9.75" customHeight="1" thickBot="1" x14ac:dyDescent="0.5"/>
    <row r="2" spans="2:9" x14ac:dyDescent="0.45">
      <c r="B2" s="43"/>
      <c r="C2" s="42"/>
      <c r="D2" s="42"/>
      <c r="E2" s="41"/>
    </row>
    <row r="3" spans="2:9" x14ac:dyDescent="0.45">
      <c r="B3" s="40"/>
      <c r="C3" s="39"/>
      <c r="D3" s="39"/>
      <c r="E3" s="38"/>
    </row>
    <row r="4" spans="2:9" x14ac:dyDescent="0.45">
      <c r="B4" s="40"/>
      <c r="C4" s="116" t="s">
        <v>93</v>
      </c>
      <c r="D4" s="116"/>
      <c r="E4" s="38"/>
      <c r="G4" s="104" t="s">
        <v>168</v>
      </c>
    </row>
    <row r="5" spans="2:9" x14ac:dyDescent="0.45">
      <c r="B5" s="40"/>
      <c r="C5" s="45" t="s">
        <v>92</v>
      </c>
      <c r="D5" s="49" t="s">
        <v>91</v>
      </c>
      <c r="E5" s="38"/>
      <c r="G5" s="104" t="s">
        <v>160</v>
      </c>
    </row>
    <row r="6" spans="2:9" x14ac:dyDescent="0.45">
      <c r="B6" s="40"/>
      <c r="C6" s="45" t="s">
        <v>90</v>
      </c>
      <c r="D6" s="48" t="b">
        <v>1</v>
      </c>
      <c r="E6" s="38"/>
      <c r="G6" s="104" t="s">
        <v>161</v>
      </c>
    </row>
    <row r="7" spans="2:9" x14ac:dyDescent="0.45">
      <c r="B7" s="40"/>
      <c r="C7" s="45" t="s">
        <v>89</v>
      </c>
      <c r="D7" s="48" t="b">
        <v>1</v>
      </c>
      <c r="E7" s="38"/>
    </row>
    <row r="8" spans="2:9" x14ac:dyDescent="0.45">
      <c r="B8" s="40"/>
      <c r="C8" s="45" t="s">
        <v>88</v>
      </c>
      <c r="D8" s="48" t="b">
        <v>1</v>
      </c>
      <c r="E8" s="38"/>
      <c r="H8" s="104" t="s">
        <v>167</v>
      </c>
    </row>
    <row r="9" spans="2:9" x14ac:dyDescent="0.45">
      <c r="B9" s="40"/>
      <c r="C9" s="39"/>
      <c r="D9" s="39"/>
      <c r="E9" s="38"/>
      <c r="I9" s="104" t="s">
        <v>162</v>
      </c>
    </row>
    <row r="10" spans="2:9" x14ac:dyDescent="0.45">
      <c r="B10" s="40"/>
      <c r="C10" s="116" t="s">
        <v>29</v>
      </c>
      <c r="D10" s="116"/>
      <c r="E10" s="38"/>
      <c r="I10" s="104" t="s">
        <v>163</v>
      </c>
    </row>
    <row r="11" spans="2:9" x14ac:dyDescent="0.45">
      <c r="B11" s="40"/>
      <c r="C11" s="45" t="s">
        <v>87</v>
      </c>
      <c r="D11" s="47">
        <v>10000000</v>
      </c>
      <c r="E11" s="38"/>
      <c r="I11" s="104" t="s">
        <v>164</v>
      </c>
    </row>
    <row r="12" spans="2:9" x14ac:dyDescent="0.45">
      <c r="B12" s="40"/>
      <c r="C12" s="45" t="s">
        <v>86</v>
      </c>
      <c r="D12" s="46">
        <v>20</v>
      </c>
      <c r="E12" s="38"/>
      <c r="I12" s="104" t="s">
        <v>165</v>
      </c>
    </row>
    <row r="13" spans="2:9" x14ac:dyDescent="0.45">
      <c r="B13" s="40"/>
      <c r="C13" s="39"/>
      <c r="D13" s="39"/>
      <c r="E13" s="38"/>
      <c r="I13" s="104" t="s">
        <v>166</v>
      </c>
    </row>
    <row r="14" spans="2:9" x14ac:dyDescent="0.45">
      <c r="B14" s="40"/>
      <c r="C14" s="116" t="s">
        <v>85</v>
      </c>
      <c r="D14" s="116"/>
      <c r="E14" s="38"/>
      <c r="I14" s="104"/>
    </row>
    <row r="15" spans="2:9" x14ac:dyDescent="0.45">
      <c r="B15" s="40"/>
      <c r="C15" s="45" t="s">
        <v>0</v>
      </c>
      <c r="D15" s="44">
        <v>0.48</v>
      </c>
      <c r="E15" s="38"/>
      <c r="I15" s="104"/>
    </row>
    <row r="16" spans="2:9" x14ac:dyDescent="0.45">
      <c r="B16" s="40"/>
      <c r="C16" s="45" t="s">
        <v>1</v>
      </c>
      <c r="D16" s="44">
        <v>0.32</v>
      </c>
      <c r="E16" s="38"/>
      <c r="I16" s="104"/>
    </row>
    <row r="17" spans="2:9" x14ac:dyDescent="0.45">
      <c r="B17" s="40"/>
      <c r="C17" s="45" t="s">
        <v>83</v>
      </c>
      <c r="D17" s="44">
        <v>0.2</v>
      </c>
      <c r="E17" s="38"/>
      <c r="I17" s="104"/>
    </row>
    <row r="18" spans="2:9" x14ac:dyDescent="0.45">
      <c r="B18" s="40"/>
      <c r="C18" s="39"/>
      <c r="D18" s="39"/>
      <c r="E18" s="38"/>
      <c r="I18" s="104"/>
    </row>
    <row r="19" spans="2:9" x14ac:dyDescent="0.45">
      <c r="B19" s="40"/>
      <c r="C19" s="116" t="s">
        <v>84</v>
      </c>
      <c r="D19" s="116"/>
      <c r="E19" s="38"/>
      <c r="I19" s="104"/>
    </row>
    <row r="20" spans="2:9" x14ac:dyDescent="0.45">
      <c r="B20" s="40"/>
      <c r="C20" s="45" t="s">
        <v>0</v>
      </c>
      <c r="D20" s="44">
        <v>0.08</v>
      </c>
      <c r="E20" s="38"/>
      <c r="I20" s="104"/>
    </row>
    <row r="21" spans="2:9" x14ac:dyDescent="0.45">
      <c r="B21" s="40"/>
      <c r="C21" s="45" t="s">
        <v>1</v>
      </c>
      <c r="D21" s="44">
        <v>0.05</v>
      </c>
      <c r="E21" s="38"/>
      <c r="I21" s="104"/>
    </row>
    <row r="22" spans="2:9" x14ac:dyDescent="0.45">
      <c r="B22" s="40"/>
      <c r="C22" s="45" t="s">
        <v>83</v>
      </c>
      <c r="D22" s="44">
        <v>0.08</v>
      </c>
      <c r="E22" s="38"/>
      <c r="I22" s="104"/>
    </row>
    <row r="23" spans="2:9" x14ac:dyDescent="0.45">
      <c r="B23" s="40"/>
      <c r="C23" s="39"/>
      <c r="D23" s="39"/>
      <c r="E23" s="38"/>
      <c r="I23" s="104"/>
    </row>
    <row r="24" spans="2:9" x14ac:dyDescent="0.45">
      <c r="B24" s="40"/>
      <c r="C24" s="39"/>
      <c r="D24" s="39"/>
      <c r="E24" s="38"/>
      <c r="I24" s="104"/>
    </row>
    <row r="25" spans="2:9" x14ac:dyDescent="0.45">
      <c r="B25" s="40"/>
      <c r="C25" s="112" t="str">
        <f>IF(D8=FALSE,"Not Suitable - Client Not Interested",IF(AND(D7=FALSE,D6=FALSE),"Not Suitable - Client Not An Accredited Investor/Qualified Purchaser","Client may be suitable"))</f>
        <v>Client may be suitable</v>
      </c>
      <c r="D25" s="113"/>
      <c r="E25" s="38"/>
      <c r="I25" s="104"/>
    </row>
    <row r="26" spans="2:9" x14ac:dyDescent="0.45">
      <c r="B26" s="40"/>
      <c r="C26" s="114"/>
      <c r="D26" s="115"/>
      <c r="E26" s="38"/>
    </row>
    <row r="27" spans="2:9" ht="14.65" thickBot="1" x14ac:dyDescent="0.5">
      <c r="B27" s="40"/>
      <c r="C27" s="39"/>
      <c r="D27" s="39"/>
      <c r="E27" s="38"/>
    </row>
    <row r="28" spans="2:9" ht="15" thickTop="1" thickBot="1" x14ac:dyDescent="0.5">
      <c r="B28" s="40"/>
      <c r="C28" s="106" t="str">
        <f>IF(C25="Client may be suitable","Explore Impact of Private Placement","")</f>
        <v>Explore Impact of Private Placement</v>
      </c>
      <c r="D28" s="106"/>
      <c r="E28" s="38"/>
    </row>
    <row r="29" spans="2:9" ht="15" thickTop="1" thickBot="1" x14ac:dyDescent="0.5">
      <c r="B29" s="40"/>
      <c r="C29" s="106"/>
      <c r="D29" s="106"/>
      <c r="E29" s="38"/>
    </row>
    <row r="30" spans="2:9" ht="14.65" thickTop="1" x14ac:dyDescent="0.45">
      <c r="B30" s="40"/>
      <c r="C30" s="39"/>
      <c r="D30" s="39"/>
      <c r="E30" s="38"/>
    </row>
    <row r="31" spans="2:9" ht="14.65" thickBot="1" x14ac:dyDescent="0.5">
      <c r="B31" s="37"/>
      <c r="C31" s="36"/>
      <c r="D31" s="36"/>
      <c r="E31" s="35"/>
    </row>
  </sheetData>
  <mergeCells count="6">
    <mergeCell ref="C25:D26"/>
    <mergeCell ref="C28:D29"/>
    <mergeCell ref="C4:D4"/>
    <mergeCell ref="C10:D10"/>
    <mergeCell ref="C14:D14"/>
    <mergeCell ref="C19:D19"/>
  </mergeCells>
  <conditionalFormatting sqref="C25:D26">
    <cfRule type="cellIs" dxfId="19" priority="1" operator="equal">
      <formula>"Not Suitable - Client Not An Accredited Investor/Qualified Purchaser"</formula>
    </cfRule>
    <cfRule type="cellIs" dxfId="18" priority="2" operator="equal">
      <formula>"Not Suitable - Client Not Interested"</formula>
    </cfRule>
    <cfRule type="cellIs" dxfId="17" priority="3" operator="equal">
      <formula>"Client may be suitable"</formula>
    </cfRule>
  </conditionalFormatting>
  <hyperlinks>
    <hyperlink ref="C28" location="Sheet4!A1" display="Sheet4!A1" xr:uid="{4EFCB99B-BF1A-46BC-8BB9-3E469E749488}"/>
    <hyperlink ref="C28:D29" location="'Return Simulator'!A1" display="'Return Simulator'!A1" xr:uid="{FE158DD9-486D-4726-A8E3-BC1669641CF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679-980E-4B2E-BEAD-66D36068076C}">
  <dimension ref="B2:AJ116"/>
  <sheetViews>
    <sheetView zoomScale="70" zoomScaleNormal="70" workbookViewId="0">
      <selection activeCell="W5" sqref="W5"/>
    </sheetView>
  </sheetViews>
  <sheetFormatPr defaultRowHeight="11.65" x14ac:dyDescent="0.35"/>
  <cols>
    <col min="1" max="1" width="2.265625" style="56" customWidth="1"/>
    <col min="2" max="2" width="2.59765625" style="56" customWidth="1"/>
    <col min="3" max="3" width="21.6640625" style="56" customWidth="1"/>
    <col min="4" max="4" width="17.46484375" style="56" customWidth="1"/>
    <col min="5" max="5" width="2.59765625" style="56" customWidth="1"/>
    <col min="6" max="6" width="19.53125" style="56" bestFit="1" customWidth="1"/>
    <col min="7" max="7" width="2.59765625" style="56" customWidth="1"/>
    <col min="8" max="9" width="15.73046875" style="56" customWidth="1"/>
    <col min="10" max="10" width="1.46484375" style="56" customWidth="1"/>
    <col min="11" max="12" width="15.73046875" style="56" customWidth="1"/>
    <col min="13" max="13" width="1.46484375" style="56" customWidth="1"/>
    <col min="14" max="14" width="20.33203125" style="56" bestFit="1" customWidth="1"/>
    <col min="15" max="15" width="15.73046875" style="56" customWidth="1"/>
    <col min="16" max="16" width="1.46484375" style="56" customWidth="1"/>
    <col min="17" max="17" width="20.33203125" style="56" bestFit="1" customWidth="1"/>
    <col min="18" max="18" width="15.73046875" style="56" customWidth="1"/>
    <col min="19" max="19" width="1.46484375" style="56" customWidth="1"/>
    <col min="20" max="21" width="15.73046875" style="56" customWidth="1"/>
    <col min="22" max="22" width="3.9296875" style="56" customWidth="1"/>
    <col min="23" max="24" width="15.73046875" style="56" customWidth="1"/>
    <col min="25" max="25" width="1.46484375" style="56" customWidth="1"/>
    <col min="26" max="27" width="15.73046875" style="56" customWidth="1"/>
    <col min="28" max="28" width="1.46484375" style="56" customWidth="1"/>
    <col min="29" max="30" width="15.73046875" style="56" customWidth="1"/>
    <col min="31" max="31" width="1.46484375" style="56" customWidth="1"/>
    <col min="32" max="33" width="15.73046875" style="56" customWidth="1"/>
    <col min="34" max="34" width="1.46484375" style="56" customWidth="1"/>
    <col min="35" max="36" width="15.73046875" style="56" customWidth="1"/>
    <col min="37" max="16384" width="9.06640625" style="56"/>
  </cols>
  <sheetData>
    <row r="2" spans="2:23" ht="15.85" customHeight="1" x14ac:dyDescent="0.45">
      <c r="B2" s="83" t="s">
        <v>137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2:23" ht="15.85" customHeight="1" x14ac:dyDescent="0.35">
      <c r="B3" s="82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W3" s="105" t="s">
        <v>172</v>
      </c>
    </row>
    <row r="4" spans="2:23" ht="15.85" customHeight="1" x14ac:dyDescent="0.45">
      <c r="B4" s="79"/>
      <c r="C4" s="130" t="s">
        <v>96</v>
      </c>
      <c r="D4" s="13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W4" s="105" t="s">
        <v>173</v>
      </c>
    </row>
    <row r="5" spans="2:23" ht="15.85" customHeight="1" x14ac:dyDescent="0.35">
      <c r="B5" s="79"/>
      <c r="C5" s="51" t="s">
        <v>43</v>
      </c>
      <c r="D5" s="17">
        <f>'1'!C22</f>
        <v>27153621.883681335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W5" s="105"/>
    </row>
    <row r="6" spans="2:23" ht="15.85" customHeight="1" x14ac:dyDescent="0.35">
      <c r="B6" s="79"/>
      <c r="C6" s="51" t="s">
        <v>58</v>
      </c>
      <c r="D6" s="18">
        <f>'1'!C29</f>
        <v>5.1214610322372733E-2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W6" s="105"/>
    </row>
    <row r="7" spans="2:23" ht="15.85" customHeight="1" x14ac:dyDescent="0.35">
      <c r="B7" s="79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W7" s="105"/>
    </row>
    <row r="8" spans="2:23" ht="15.85" customHeight="1" x14ac:dyDescent="0.35"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1"/>
      <c r="O8" s="80"/>
      <c r="P8" s="80"/>
      <c r="Q8" s="81"/>
      <c r="R8" s="80"/>
      <c r="S8" s="80"/>
      <c r="T8" s="80"/>
      <c r="U8" s="80"/>
      <c r="W8" s="105"/>
    </row>
    <row r="9" spans="2:23" ht="15.85" customHeight="1" x14ac:dyDescent="0.35">
      <c r="B9" s="79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W9" s="105"/>
    </row>
    <row r="10" spans="2:23" ht="15.85" customHeight="1" x14ac:dyDescent="0.45">
      <c r="B10" s="79"/>
      <c r="C10" s="131" t="s">
        <v>99</v>
      </c>
      <c r="D10" s="131"/>
      <c r="E10" s="80"/>
      <c r="F10" s="29" t="s">
        <v>103</v>
      </c>
      <c r="G10" s="80"/>
      <c r="H10" s="80"/>
      <c r="I10" s="80"/>
      <c r="J10" s="80"/>
      <c r="K10" s="80"/>
      <c r="L10" s="80"/>
      <c r="M10" s="80"/>
      <c r="N10" s="81"/>
      <c r="O10" s="80"/>
      <c r="P10" s="80"/>
      <c r="Q10" s="81"/>
      <c r="R10" s="80"/>
      <c r="S10" s="80"/>
      <c r="T10" s="80"/>
      <c r="U10" s="80"/>
      <c r="W10" s="105"/>
    </row>
    <row r="11" spans="2:23" ht="15.85" customHeight="1" x14ac:dyDescent="0.35">
      <c r="B11" s="79"/>
      <c r="C11" s="52" t="str">
        <f>C5</f>
        <v>Projected Value</v>
      </c>
      <c r="D11" s="19">
        <f>'2'!C22</f>
        <v>28098546.931423761</v>
      </c>
      <c r="E11" s="80"/>
      <c r="F11" s="78" t="str">
        <f>_xlfn.CONCAT("+ ",TEXT(D11-$D$5,"$#,##0.00"))</f>
        <v>+ $944,925.05</v>
      </c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W11" s="105"/>
    </row>
    <row r="12" spans="2:23" ht="15.85" customHeight="1" x14ac:dyDescent="0.35">
      <c r="B12" s="79"/>
      <c r="C12" s="52" t="str">
        <f>C6</f>
        <v>Net</v>
      </c>
      <c r="D12" s="20">
        <f>'2'!C29</f>
        <v>5.3014115999050926E-2</v>
      </c>
      <c r="E12" s="80"/>
      <c r="F12" s="78" t="str">
        <f>_xlfn.CONCAT("+ ",TEXT(D12-$D$6,"0.00%"))</f>
        <v>+ 0.18%</v>
      </c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W12" s="105"/>
    </row>
    <row r="13" spans="2:23" ht="15.85" customHeight="1" x14ac:dyDescent="0.35"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W13" s="105"/>
    </row>
    <row r="14" spans="2:23" ht="15.85" customHeight="1" x14ac:dyDescent="0.45">
      <c r="B14" s="79"/>
      <c r="C14" s="132" t="s">
        <v>97</v>
      </c>
      <c r="D14" s="132"/>
      <c r="E14" s="80"/>
      <c r="F14" s="29" t="s">
        <v>103</v>
      </c>
      <c r="G14" s="80"/>
      <c r="H14" s="80"/>
      <c r="I14" s="80"/>
      <c r="J14" s="80"/>
      <c r="K14" s="80"/>
      <c r="L14" s="80"/>
      <c r="M14" s="80"/>
      <c r="N14" s="81"/>
      <c r="O14" s="80"/>
      <c r="P14" s="80"/>
      <c r="Q14" s="81"/>
      <c r="R14" s="80"/>
      <c r="S14" s="80"/>
      <c r="T14" s="80"/>
      <c r="U14" s="80"/>
      <c r="W14" s="105"/>
    </row>
    <row r="15" spans="2:23" ht="15.85" customHeight="1" x14ac:dyDescent="0.35">
      <c r="B15" s="79"/>
      <c r="C15" s="53" t="str">
        <f>C5</f>
        <v>Projected Value</v>
      </c>
      <c r="D15" s="21">
        <f>'3'!C22</f>
        <v>29043471.979166195</v>
      </c>
      <c r="E15" s="80"/>
      <c r="F15" s="78" t="str">
        <f>_xlfn.CONCAT("+ ",TEXT(D15-$D$5,"$#,##0.00"))</f>
        <v>+ $1,889,850.10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W15" s="105"/>
    </row>
    <row r="16" spans="2:23" ht="15.85" customHeight="1" x14ac:dyDescent="0.35">
      <c r="B16" s="79"/>
      <c r="C16" s="53" t="str">
        <f>C12</f>
        <v>Net</v>
      </c>
      <c r="D16" s="22">
        <f>'3'!C29</f>
        <v>5.4757025074019694E-2</v>
      </c>
      <c r="E16" s="80"/>
      <c r="F16" s="78" t="str">
        <f>_xlfn.CONCAT("+ ",TEXT(D16-$D$6,"0.00%"))</f>
        <v>+ 0.35%</v>
      </c>
      <c r="G16" s="80"/>
      <c r="H16" s="80"/>
      <c r="I16" s="80"/>
      <c r="J16" s="80"/>
      <c r="K16" s="80"/>
      <c r="L16" s="80"/>
      <c r="M16" s="80"/>
      <c r="N16" s="81"/>
      <c r="O16" s="80"/>
      <c r="P16" s="80"/>
      <c r="Q16" s="81"/>
      <c r="R16" s="80"/>
      <c r="S16" s="80"/>
      <c r="T16" s="80"/>
      <c r="U16" s="80"/>
      <c r="W16" s="105"/>
    </row>
    <row r="17" spans="2:23" ht="15.85" customHeight="1" x14ac:dyDescent="0.35">
      <c r="B17" s="79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W17" s="105"/>
    </row>
    <row r="18" spans="2:23" ht="15.85" customHeight="1" x14ac:dyDescent="0.45">
      <c r="B18" s="79"/>
      <c r="C18" s="133" t="s">
        <v>101</v>
      </c>
      <c r="D18" s="133"/>
      <c r="E18" s="80"/>
      <c r="F18" s="29" t="s">
        <v>103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W18" s="105"/>
    </row>
    <row r="19" spans="2:23" ht="15.85" customHeight="1" x14ac:dyDescent="0.35">
      <c r="B19" s="79"/>
      <c r="C19" s="54" t="str">
        <f>C5</f>
        <v>Projected Value</v>
      </c>
      <c r="D19" s="23">
        <f>'4'!C22</f>
        <v>29988397.026908625</v>
      </c>
      <c r="E19" s="80"/>
      <c r="F19" s="78" t="str">
        <f>_xlfn.CONCAT("+ ",TEXT(D19-$D$5,"$#,##0.00"))</f>
        <v>+ $2,834,775.14</v>
      </c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W19" s="105"/>
    </row>
    <row r="20" spans="2:23" ht="15.85" customHeight="1" x14ac:dyDescent="0.35">
      <c r="B20" s="79"/>
      <c r="C20" s="54" t="str">
        <f>C16</f>
        <v>Net</v>
      </c>
      <c r="D20" s="24">
        <f>'4'!C29</f>
        <v>5.644687452568431E-2</v>
      </c>
      <c r="E20" s="80"/>
      <c r="F20" s="78" t="str">
        <f>_xlfn.CONCAT("+ ",TEXT(D20-$D$6,"0.00%"))</f>
        <v>+ 0.52%</v>
      </c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W20" s="105"/>
    </row>
    <row r="21" spans="2:23" ht="15.85" customHeight="1" x14ac:dyDescent="0.35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W21" s="105"/>
    </row>
    <row r="22" spans="2:23" ht="15.85" customHeight="1" x14ac:dyDescent="0.45">
      <c r="B22" s="79"/>
      <c r="C22" s="122" t="s">
        <v>102</v>
      </c>
      <c r="D22" s="122"/>
      <c r="E22" s="80"/>
      <c r="F22" s="29" t="s">
        <v>103</v>
      </c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W22" s="105"/>
    </row>
    <row r="23" spans="2:23" ht="15.85" customHeight="1" thickBot="1" x14ac:dyDescent="0.4">
      <c r="B23" s="79"/>
      <c r="C23" s="55" t="str">
        <f>C5</f>
        <v>Projected Value</v>
      </c>
      <c r="D23" s="25">
        <f>'5'!C22</f>
        <v>30933322.074651059</v>
      </c>
      <c r="E23" s="80"/>
      <c r="F23" s="78" t="str">
        <f>_xlfn.CONCAT("+ ",TEXT(D23-$D$5,"$#,##0.00"))</f>
        <v>+ $3,779,700.19</v>
      </c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W23" s="105"/>
    </row>
    <row r="24" spans="2:23" ht="15.85" customHeight="1" thickTop="1" thickBot="1" x14ac:dyDescent="0.4">
      <c r="B24" s="79"/>
      <c r="C24" s="55" t="str">
        <f>C20</f>
        <v>Net</v>
      </c>
      <c r="D24" s="26">
        <f>'5'!C29</f>
        <v>5.808687729262263E-2</v>
      </c>
      <c r="E24" s="80"/>
      <c r="F24" s="78" t="str">
        <f>_xlfn.CONCAT("+ ",TEXT(D24-$D$6,"0.00%"))</f>
        <v>+ 0.69%</v>
      </c>
      <c r="G24" s="80"/>
      <c r="H24" s="80"/>
      <c r="I24" s="80"/>
      <c r="J24" s="80"/>
      <c r="K24" s="80"/>
      <c r="L24" s="126" t="s">
        <v>159</v>
      </c>
      <c r="M24" s="126"/>
      <c r="N24" s="126"/>
      <c r="O24" s="126"/>
      <c r="P24" s="80"/>
      <c r="Q24" s="80"/>
      <c r="R24" s="80"/>
      <c r="S24" s="80"/>
      <c r="T24" s="80"/>
      <c r="U24" s="80"/>
      <c r="W24" s="105"/>
    </row>
    <row r="25" spans="2:23" ht="15.85" customHeight="1" thickTop="1" thickBot="1" x14ac:dyDescent="0.4"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126"/>
      <c r="M25" s="126"/>
      <c r="N25" s="126"/>
      <c r="O25" s="126"/>
      <c r="P25" s="80"/>
      <c r="Q25" s="80"/>
      <c r="R25" s="80"/>
      <c r="S25" s="80"/>
      <c r="T25" s="80"/>
      <c r="U25" s="80"/>
    </row>
    <row r="26" spans="2:23" ht="15.85" customHeight="1" thickTop="1" thickBot="1" x14ac:dyDescent="0.4">
      <c r="B26" s="79"/>
      <c r="C26" s="80"/>
      <c r="D26" s="80"/>
      <c r="E26" s="80"/>
      <c r="F26" s="80"/>
      <c r="G26" s="80"/>
      <c r="H26" s="80"/>
      <c r="I26" s="80"/>
      <c r="J26" s="80"/>
      <c r="K26" s="80"/>
      <c r="L26" s="126"/>
      <c r="M26" s="126"/>
      <c r="N26" s="126"/>
      <c r="O26" s="126"/>
      <c r="P26" s="80"/>
      <c r="Q26" s="80"/>
      <c r="R26" s="80"/>
      <c r="S26" s="80"/>
      <c r="T26" s="80"/>
      <c r="U26" s="80"/>
    </row>
    <row r="27" spans="2:23" ht="15.85" customHeight="1" thickTop="1" thickBot="1" x14ac:dyDescent="0.4"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</row>
    <row r="28" spans="2:23" ht="15.85" customHeight="1" thickTop="1" thickBot="1" x14ac:dyDescent="0.4"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126" t="s">
        <v>104</v>
      </c>
      <c r="M28" s="126"/>
      <c r="N28" s="126"/>
      <c r="O28" s="126"/>
      <c r="P28" s="80"/>
      <c r="Q28" s="80"/>
      <c r="R28" s="80"/>
      <c r="S28" s="80"/>
      <c r="T28" s="80"/>
      <c r="U28" s="80"/>
    </row>
    <row r="29" spans="2:23" ht="15.85" customHeight="1" thickTop="1" thickBot="1" x14ac:dyDescent="0.4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126"/>
      <c r="M29" s="126"/>
      <c r="N29" s="126"/>
      <c r="O29" s="126"/>
      <c r="P29" s="80"/>
      <c r="Q29" s="80"/>
      <c r="R29" s="80"/>
      <c r="S29" s="80"/>
      <c r="T29" s="80"/>
      <c r="U29" s="80"/>
    </row>
    <row r="30" spans="2:23" ht="15.85" customHeight="1" thickTop="1" thickBot="1" x14ac:dyDescent="0.4"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126"/>
      <c r="M30" s="126"/>
      <c r="N30" s="126"/>
      <c r="O30" s="126"/>
      <c r="P30" s="80"/>
      <c r="Q30" s="80"/>
      <c r="R30" s="80"/>
      <c r="S30" s="80"/>
      <c r="T30" s="80"/>
      <c r="U30" s="80"/>
    </row>
    <row r="31" spans="2:23" ht="15.85" customHeight="1" thickTop="1" thickBot="1" x14ac:dyDescent="0.4"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</row>
    <row r="32" spans="2:23" ht="15.85" customHeight="1" thickTop="1" thickBot="1" x14ac:dyDescent="0.4"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126" t="s">
        <v>105</v>
      </c>
      <c r="M32" s="126"/>
      <c r="N32" s="126"/>
      <c r="O32" s="126"/>
      <c r="P32" s="80"/>
      <c r="Q32" s="80"/>
      <c r="R32" s="80"/>
      <c r="S32" s="80"/>
      <c r="T32" s="80"/>
      <c r="U32" s="80"/>
    </row>
    <row r="33" spans="2:36" ht="15.85" customHeight="1" thickTop="1" thickBot="1" x14ac:dyDescent="0.4"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126"/>
      <c r="M33" s="126"/>
      <c r="N33" s="126"/>
      <c r="O33" s="126"/>
      <c r="P33" s="80"/>
      <c r="Q33" s="80"/>
      <c r="R33" s="80"/>
      <c r="S33" s="80"/>
      <c r="T33" s="80"/>
      <c r="U33" s="80"/>
    </row>
    <row r="34" spans="2:36" ht="15.85" customHeight="1" thickTop="1" thickBot="1" x14ac:dyDescent="0.4"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126"/>
      <c r="M34" s="126"/>
      <c r="N34" s="126"/>
      <c r="O34" s="126"/>
      <c r="P34" s="80"/>
      <c r="Q34" s="80"/>
      <c r="R34" s="80"/>
      <c r="S34" s="80"/>
      <c r="T34" s="80"/>
      <c r="U34" s="80"/>
    </row>
    <row r="35" spans="2:36" ht="15.85" customHeight="1" thickTop="1" x14ac:dyDescent="0.35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</row>
    <row r="36" spans="2:36" ht="15.85" customHeight="1" x14ac:dyDescent="0.35"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</row>
    <row r="37" spans="2:36" ht="15.85" customHeight="1" x14ac:dyDescent="0.35">
      <c r="B37" s="57"/>
    </row>
    <row r="38" spans="2:36" ht="15.85" customHeight="1" x14ac:dyDescent="0.35">
      <c r="B38" s="57"/>
    </row>
    <row r="39" spans="2:36" ht="15.85" customHeight="1" x14ac:dyDescent="0.35">
      <c r="B39" s="57"/>
    </row>
    <row r="40" spans="2:36" ht="15.85" customHeight="1" x14ac:dyDescent="0.35">
      <c r="B40" s="57"/>
    </row>
    <row r="41" spans="2:36" ht="15.85" customHeight="1" x14ac:dyDescent="0.35">
      <c r="B41" s="57"/>
    </row>
    <row r="42" spans="2:36" ht="15.85" customHeight="1" x14ac:dyDescent="0.35">
      <c r="B42" s="57"/>
    </row>
    <row r="43" spans="2:36" ht="15.85" hidden="1" customHeight="1" x14ac:dyDescent="0.35">
      <c r="B43" s="57"/>
    </row>
    <row r="44" spans="2:36" ht="15.85" hidden="1" customHeight="1" x14ac:dyDescent="0.35">
      <c r="B44" s="57"/>
    </row>
    <row r="45" spans="2:36" ht="15.85" hidden="1" customHeight="1" x14ac:dyDescent="0.35">
      <c r="B45" s="57"/>
    </row>
    <row r="46" spans="2:36" ht="15.85" hidden="1" customHeight="1" x14ac:dyDescent="0.35">
      <c r="C46" s="124" t="s">
        <v>29</v>
      </c>
      <c r="D46" s="125"/>
      <c r="H46" s="123" t="s">
        <v>76</v>
      </c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W46" s="123" t="s">
        <v>77</v>
      </c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</row>
    <row r="47" spans="2:36" ht="15.85" hidden="1" customHeight="1" x14ac:dyDescent="0.35">
      <c r="C47" s="58" t="s">
        <v>30</v>
      </c>
      <c r="D47" s="59">
        <f>Suitability!D11</f>
        <v>10000000</v>
      </c>
    </row>
    <row r="48" spans="2:36" ht="15.85" hidden="1" customHeight="1" x14ac:dyDescent="0.45">
      <c r="C48" s="58" t="s">
        <v>31</v>
      </c>
      <c r="D48" s="60">
        <f>Suitability!D12</f>
        <v>20</v>
      </c>
      <c r="W48" s="117" t="s">
        <v>45</v>
      </c>
      <c r="X48" s="117"/>
      <c r="Z48" s="118" t="s">
        <v>48</v>
      </c>
      <c r="AA48" s="118"/>
      <c r="AC48" s="119" t="s">
        <v>49</v>
      </c>
      <c r="AD48" s="119"/>
      <c r="AF48" s="120" t="s">
        <v>46</v>
      </c>
      <c r="AG48" s="120"/>
      <c r="AI48" s="121" t="s">
        <v>47</v>
      </c>
      <c r="AJ48" s="121"/>
    </row>
    <row r="49" spans="3:36" ht="15.85" hidden="1" customHeight="1" x14ac:dyDescent="0.35">
      <c r="C49" s="61"/>
      <c r="F49" s="57"/>
      <c r="G49" s="62"/>
      <c r="V49" s="62"/>
      <c r="W49" s="58" t="s">
        <v>43</v>
      </c>
      <c r="X49" s="63">
        <f>'1'!D22</f>
        <v>26313895.198113486</v>
      </c>
      <c r="Z49" s="58" t="str">
        <f>W49</f>
        <v>Projected Value</v>
      </c>
      <c r="AA49" s="64">
        <f>'2'!D22</f>
        <v>27119395.867656779</v>
      </c>
      <c r="AC49" s="58" t="str">
        <f>W49</f>
        <v>Projected Value</v>
      </c>
      <c r="AD49" s="65">
        <f>'3'!D22</f>
        <v>27948285.332057267</v>
      </c>
      <c r="AF49" s="58" t="str">
        <f>W49</f>
        <v>Projected Value</v>
      </c>
      <c r="AG49" s="66">
        <f>'4'!D22</f>
        <v>28801205.99387436</v>
      </c>
      <c r="AI49" s="58" t="str">
        <f>W49</f>
        <v>Projected Value</v>
      </c>
      <c r="AJ49" s="67">
        <f>'5'!D22</f>
        <v>29678816.894493531</v>
      </c>
    </row>
    <row r="50" spans="3:36" ht="15.85" hidden="1" customHeight="1" x14ac:dyDescent="0.35">
      <c r="C50" s="124" t="s">
        <v>32</v>
      </c>
      <c r="D50" s="125"/>
      <c r="F50" s="28" t="s">
        <v>79</v>
      </c>
      <c r="G50" s="62"/>
      <c r="V50" s="62"/>
    </row>
    <row r="51" spans="3:36" ht="15.85" hidden="1" customHeight="1" x14ac:dyDescent="0.45">
      <c r="C51" s="68" t="s">
        <v>0</v>
      </c>
      <c r="D51" s="69">
        <f>Suitability!D15</f>
        <v>0.48</v>
      </c>
      <c r="F51" s="127" t="str">
        <f>IF(SUM(D51:D53)=1,"Good","Must Equal 100%")</f>
        <v>Good</v>
      </c>
      <c r="G51" s="62"/>
      <c r="H51" s="117" t="s">
        <v>25</v>
      </c>
      <c r="I51" s="117"/>
      <c r="K51" s="118" t="str">
        <f>H51</f>
        <v>Total Return</v>
      </c>
      <c r="L51" s="118"/>
      <c r="N51" s="119" t="str">
        <f>K51</f>
        <v>Total Return</v>
      </c>
      <c r="O51" s="119"/>
      <c r="Q51" s="120" t="str">
        <f>N51</f>
        <v>Total Return</v>
      </c>
      <c r="R51" s="120"/>
      <c r="T51" s="121" t="str">
        <f>Q51</f>
        <v>Total Return</v>
      </c>
      <c r="U51" s="121"/>
      <c r="V51" s="62"/>
      <c r="W51" s="117" t="s">
        <v>25</v>
      </c>
      <c r="X51" s="117"/>
      <c r="Z51" s="118" t="str">
        <f>W51</f>
        <v>Total Return</v>
      </c>
      <c r="AA51" s="118"/>
      <c r="AC51" s="119" t="str">
        <f>Z51</f>
        <v>Total Return</v>
      </c>
      <c r="AD51" s="119"/>
      <c r="AF51" s="120" t="str">
        <f>AC51</f>
        <v>Total Return</v>
      </c>
      <c r="AG51" s="120"/>
      <c r="AI51" s="121" t="str">
        <f>AF51</f>
        <v>Total Return</v>
      </c>
      <c r="AJ51" s="121"/>
    </row>
    <row r="52" spans="3:36" ht="15.85" hidden="1" customHeight="1" x14ac:dyDescent="0.35">
      <c r="C52" s="58" t="s">
        <v>1</v>
      </c>
      <c r="D52" s="69">
        <f>Suitability!D16</f>
        <v>0.32</v>
      </c>
      <c r="F52" s="128"/>
      <c r="G52" s="62"/>
      <c r="H52" s="58" t="s">
        <v>57</v>
      </c>
      <c r="I52" s="70">
        <f>'1'!C24</f>
        <v>3.0185061234637454</v>
      </c>
      <c r="K52" s="58" t="str">
        <f>H52</f>
        <v>Gross</v>
      </c>
      <c r="L52" s="71">
        <f>'2'!C24</f>
        <v>3.0185061234637454</v>
      </c>
      <c r="N52" s="58" t="str">
        <f>K52</f>
        <v>Gross</v>
      </c>
      <c r="O52" s="72">
        <f>'3'!C24</f>
        <v>3.0185061234637462</v>
      </c>
      <c r="Q52" s="58" t="str">
        <f>N52</f>
        <v>Gross</v>
      </c>
      <c r="R52" s="73">
        <f>'4'!C24</f>
        <v>3.0185061234637436</v>
      </c>
      <c r="T52" s="58" t="str">
        <f>Q52</f>
        <v>Gross</v>
      </c>
      <c r="U52" s="74">
        <f>'5'!C24</f>
        <v>3.018506123463748</v>
      </c>
      <c r="V52" s="62"/>
      <c r="W52" s="58" t="s">
        <v>57</v>
      </c>
      <c r="X52" s="70">
        <f>'1'!D24</f>
        <v>2.8987196635413923</v>
      </c>
      <c r="Z52" s="58" t="str">
        <f>W52</f>
        <v>Gross</v>
      </c>
      <c r="AA52" s="71">
        <f>'2'!D24</f>
        <v>2.8987196635413923</v>
      </c>
      <c r="AC52" s="58" t="str">
        <f>Z52</f>
        <v>Gross</v>
      </c>
      <c r="AD52" s="72">
        <f>'3'!D24</f>
        <v>2.8987196635413923</v>
      </c>
      <c r="AF52" s="58" t="str">
        <f>AC52</f>
        <v>Gross</v>
      </c>
      <c r="AG52" s="73">
        <f>'4'!D24</f>
        <v>2.8987196635413923</v>
      </c>
      <c r="AI52" s="58" t="str">
        <f>AF52</f>
        <v>Gross</v>
      </c>
      <c r="AJ52" s="74">
        <f>'5'!D24</f>
        <v>2.8987196635413923</v>
      </c>
    </row>
    <row r="53" spans="3:36" ht="15.85" hidden="1" customHeight="1" x14ac:dyDescent="0.35">
      <c r="C53" s="58" t="s">
        <v>2</v>
      </c>
      <c r="D53" s="69">
        <f>Suitability!D17</f>
        <v>0.2</v>
      </c>
      <c r="F53" s="129"/>
      <c r="G53" s="62"/>
      <c r="H53" s="58" t="s">
        <v>58</v>
      </c>
      <c r="I53" s="70">
        <f>'1'!C25</f>
        <v>1.7153621883681338</v>
      </c>
      <c r="K53" s="58" t="str">
        <f>H53</f>
        <v>Net</v>
      </c>
      <c r="L53" s="71">
        <f>'2'!C25</f>
        <v>1.8098546931423747</v>
      </c>
      <c r="N53" s="58" t="str">
        <f>K53</f>
        <v>Net</v>
      </c>
      <c r="O53" s="72">
        <f>'3'!C25</f>
        <v>1.9043471979166191</v>
      </c>
      <c r="Q53" s="58" t="str">
        <f>N53</f>
        <v>Net</v>
      </c>
      <c r="R53" s="73">
        <f>'4'!C25</f>
        <v>1.9988397026908626</v>
      </c>
      <c r="T53" s="58" t="str">
        <f>Q53</f>
        <v>Net</v>
      </c>
      <c r="U53" s="74">
        <f>'5'!C25</f>
        <v>2.0933322074651053</v>
      </c>
      <c r="V53" s="62"/>
      <c r="W53" s="58" t="s">
        <v>58</v>
      </c>
      <c r="X53" s="70">
        <f>'1'!D25</f>
        <v>1.6313895198113504</v>
      </c>
      <c r="Z53" s="58" t="str">
        <f>W53</f>
        <v>Net</v>
      </c>
      <c r="AA53" s="71">
        <f>'2'!D25</f>
        <v>1.7119395867656779</v>
      </c>
      <c r="AC53" s="58" t="str">
        <f>Z53</f>
        <v>Net</v>
      </c>
      <c r="AD53" s="72">
        <f>'3'!D25</f>
        <v>1.794828533205727</v>
      </c>
      <c r="AF53" s="58" t="str">
        <f>AC53</f>
        <v>Net</v>
      </c>
      <c r="AG53" s="73">
        <f>'4'!D25</f>
        <v>1.8801205993874355</v>
      </c>
      <c r="AI53" s="58" t="str">
        <f>AF53</f>
        <v>Net</v>
      </c>
      <c r="AJ53" s="74">
        <f>'5'!D25</f>
        <v>1.9678816894493543</v>
      </c>
    </row>
    <row r="54" spans="3:36" ht="15.85" hidden="1" customHeight="1" x14ac:dyDescent="0.35">
      <c r="F54" s="57"/>
      <c r="G54" s="62"/>
      <c r="H54" s="58" t="s">
        <v>22</v>
      </c>
      <c r="I54" s="70">
        <f>'1'!C26</f>
        <v>-1.3031439350956115</v>
      </c>
      <c r="K54" s="58" t="str">
        <f>H54</f>
        <v>Drag</v>
      </c>
      <c r="L54" s="71">
        <f>'2'!C26</f>
        <v>-1.2086514303213707</v>
      </c>
      <c r="N54" s="58" t="str">
        <f>K54</f>
        <v>Drag</v>
      </c>
      <c r="O54" s="72">
        <f>'3'!C26</f>
        <v>-1.1141589255471271</v>
      </c>
      <c r="Q54" s="58" t="str">
        <f>N54</f>
        <v>Drag</v>
      </c>
      <c r="R54" s="73">
        <f>'4'!C26</f>
        <v>-1.0196664207728809</v>
      </c>
      <c r="T54" s="58" t="str">
        <f>Q54</f>
        <v>Drag</v>
      </c>
      <c r="U54" s="74">
        <f>'5'!C26</f>
        <v>-0.92517391599864274</v>
      </c>
      <c r="V54" s="62"/>
      <c r="W54" s="58" t="s">
        <v>22</v>
      </c>
      <c r="X54" s="70">
        <f>'1'!D26</f>
        <v>-1.2673301437300419</v>
      </c>
      <c r="Z54" s="58" t="str">
        <f>W54</f>
        <v>Drag</v>
      </c>
      <c r="AA54" s="71">
        <f>'2'!D26</f>
        <v>-1.1867800767757144</v>
      </c>
      <c r="AC54" s="58" t="str">
        <f>Z54</f>
        <v>Drag</v>
      </c>
      <c r="AD54" s="72">
        <f>'3'!D26</f>
        <v>-1.1038911303356653</v>
      </c>
      <c r="AF54" s="58" t="str">
        <f>AC54</f>
        <v>Drag</v>
      </c>
      <c r="AG54" s="73">
        <f>'4'!D26</f>
        <v>-1.0185990641539568</v>
      </c>
      <c r="AI54" s="58" t="str">
        <f>AF54</f>
        <v>Drag</v>
      </c>
      <c r="AJ54" s="74">
        <f>'5'!D26</f>
        <v>-0.93083797409203806</v>
      </c>
    </row>
    <row r="55" spans="3:36" ht="15.85" hidden="1" customHeight="1" x14ac:dyDescent="0.35">
      <c r="C55" s="124" t="s">
        <v>34</v>
      </c>
      <c r="D55" s="125"/>
      <c r="F55" s="57"/>
      <c r="G55" s="62"/>
      <c r="V55" s="62"/>
    </row>
    <row r="56" spans="3:36" ht="15.85" hidden="1" customHeight="1" x14ac:dyDescent="0.45">
      <c r="C56" s="68" t="s">
        <v>0</v>
      </c>
      <c r="D56" s="69">
        <f>Suitability!D20</f>
        <v>0.08</v>
      </c>
      <c r="F56" s="57"/>
      <c r="G56" s="62"/>
      <c r="H56" s="117" t="s">
        <v>44</v>
      </c>
      <c r="I56" s="117"/>
      <c r="K56" s="118" t="str">
        <f>H56</f>
        <v>Annualized Return</v>
      </c>
      <c r="L56" s="118"/>
      <c r="N56" s="119" t="str">
        <f>K56</f>
        <v>Annualized Return</v>
      </c>
      <c r="O56" s="119"/>
      <c r="Q56" s="120" t="str">
        <f>N56</f>
        <v>Annualized Return</v>
      </c>
      <c r="R56" s="120"/>
      <c r="T56" s="121" t="str">
        <f>Q56</f>
        <v>Annualized Return</v>
      </c>
      <c r="U56" s="121"/>
      <c r="V56" s="62"/>
      <c r="W56" s="117" t="s">
        <v>44</v>
      </c>
      <c r="X56" s="117"/>
      <c r="Z56" s="118" t="str">
        <f>W56</f>
        <v>Annualized Return</v>
      </c>
      <c r="AA56" s="118"/>
      <c r="AC56" s="119" t="str">
        <f>Z56</f>
        <v>Annualized Return</v>
      </c>
      <c r="AD56" s="119"/>
      <c r="AF56" s="120" t="str">
        <f>AC56</f>
        <v>Annualized Return</v>
      </c>
      <c r="AG56" s="120"/>
      <c r="AI56" s="121" t="str">
        <f>AF56</f>
        <v>Annualized Return</v>
      </c>
      <c r="AJ56" s="121"/>
    </row>
    <row r="57" spans="3:36" ht="15.85" hidden="1" customHeight="1" x14ac:dyDescent="0.35">
      <c r="C57" s="58" t="s">
        <v>1</v>
      </c>
      <c r="D57" s="69">
        <f>Suitability!D21</f>
        <v>0.05</v>
      </c>
      <c r="F57" s="57"/>
      <c r="G57" s="62"/>
      <c r="H57" s="58" t="s">
        <v>57</v>
      </c>
      <c r="I57" s="70">
        <f>'1'!C28</f>
        <v>7.2020848968773032E-2</v>
      </c>
      <c r="K57" s="58" t="str">
        <f>H57</f>
        <v>Gross</v>
      </c>
      <c r="L57" s="71">
        <f>'2'!C28</f>
        <v>7.2020848968773032E-2</v>
      </c>
      <c r="N57" s="58" t="str">
        <f>K57</f>
        <v>Gross</v>
      </c>
      <c r="O57" s="72">
        <f>'3'!C28</f>
        <v>7.2020848968773032E-2</v>
      </c>
      <c r="Q57" s="58" t="str">
        <f>N57</f>
        <v>Gross</v>
      </c>
      <c r="R57" s="73">
        <f>'4'!C28</f>
        <v>7.2020848968773032E-2</v>
      </c>
      <c r="T57" s="58" t="str">
        <f>Q57</f>
        <v>Gross</v>
      </c>
      <c r="U57" s="74">
        <f>'5'!C28</f>
        <v>7.2020848968773032E-2</v>
      </c>
      <c r="V57" s="62"/>
      <c r="W57" s="58" t="s">
        <v>57</v>
      </c>
      <c r="X57" s="70">
        <f>'1'!D28</f>
        <v>7.0400000000000018E-2</v>
      </c>
      <c r="Z57" s="58" t="str">
        <f>W57</f>
        <v>Gross</v>
      </c>
      <c r="AA57" s="71">
        <f>'2'!D28</f>
        <v>7.0400000000000018E-2</v>
      </c>
      <c r="AC57" s="58" t="str">
        <f>Z57</f>
        <v>Gross</v>
      </c>
      <c r="AD57" s="72">
        <f>'3'!D28</f>
        <v>7.0400000000000018E-2</v>
      </c>
      <c r="AF57" s="58" t="str">
        <f>AC57</f>
        <v>Gross</v>
      </c>
      <c r="AG57" s="73">
        <f>'4'!D28</f>
        <v>7.0400000000000018E-2</v>
      </c>
      <c r="AI57" s="58" t="str">
        <f>AF57</f>
        <v>Gross</v>
      </c>
      <c r="AJ57" s="74">
        <f>'5'!D28</f>
        <v>7.0400000000000018E-2</v>
      </c>
    </row>
    <row r="58" spans="3:36" ht="15.85" hidden="1" customHeight="1" x14ac:dyDescent="0.35">
      <c r="C58" s="58" t="s">
        <v>2</v>
      </c>
      <c r="D58" s="69">
        <f>Suitability!D22</f>
        <v>0.08</v>
      </c>
      <c r="F58" s="57"/>
      <c r="G58" s="62"/>
      <c r="V58" s="62"/>
      <c r="W58" s="58" t="s">
        <v>58</v>
      </c>
      <c r="X58" s="70">
        <f>'1'!D29</f>
        <v>4.9564799999999964E-2</v>
      </c>
      <c r="Z58" s="58" t="str">
        <f>W58</f>
        <v>Net</v>
      </c>
      <c r="AA58" s="71">
        <f>'2'!D29</f>
        <v>5.1148320000000025E-2</v>
      </c>
      <c r="AC58" s="58" t="str">
        <f>Z58</f>
        <v>Net</v>
      </c>
      <c r="AD58" s="72">
        <f>'3'!D29</f>
        <v>5.2731840000000085E-2</v>
      </c>
      <c r="AF58" s="58" t="str">
        <f>AC58</f>
        <v>Net</v>
      </c>
      <c r="AG58" s="73">
        <f>'4'!D29</f>
        <v>5.4315359999999924E-2</v>
      </c>
      <c r="AI58" s="58" t="str">
        <f>AF58</f>
        <v>Net</v>
      </c>
      <c r="AJ58" s="74">
        <f>'5'!D29</f>
        <v>5.5898879999999984E-2</v>
      </c>
    </row>
    <row r="59" spans="3:36" ht="15.85" hidden="1" customHeight="1" x14ac:dyDescent="0.35">
      <c r="F59" s="57"/>
      <c r="G59" s="62"/>
      <c r="H59" s="58" t="s">
        <v>22</v>
      </c>
      <c r="I59" s="70">
        <f>'1'!C30</f>
        <v>-2.0806238646400299E-2</v>
      </c>
      <c r="K59" s="58" t="str">
        <f>H59</f>
        <v>Drag</v>
      </c>
      <c r="L59" s="71">
        <f>'2'!C30</f>
        <v>-1.9006732969722107E-2</v>
      </c>
      <c r="N59" s="58" t="str">
        <f>K59</f>
        <v>Drag</v>
      </c>
      <c r="O59" s="72">
        <f>'3'!C30</f>
        <v>-1.7263823894753338E-2</v>
      </c>
      <c r="Q59" s="58" t="str">
        <f>N59</f>
        <v>Drag</v>
      </c>
      <c r="R59" s="73">
        <f>'4'!C30</f>
        <v>-1.5573974443088723E-2</v>
      </c>
      <c r="T59" s="58" t="str">
        <f>Q59</f>
        <v>Drag</v>
      </c>
      <c r="U59" s="74">
        <f>'5'!C30</f>
        <v>-1.3933971676150403E-2</v>
      </c>
      <c r="V59" s="62"/>
      <c r="W59" s="58" t="s">
        <v>22</v>
      </c>
      <c r="X59" s="70">
        <f>'1'!D30</f>
        <v>-2.0835200000000054E-2</v>
      </c>
      <c r="Z59" s="58" t="str">
        <f>W59</f>
        <v>Drag</v>
      </c>
      <c r="AA59" s="71">
        <f>'2'!D30</f>
        <v>-1.9251679999999993E-2</v>
      </c>
      <c r="AC59" s="58" t="str">
        <f>Z59</f>
        <v>Drag</v>
      </c>
      <c r="AD59" s="72">
        <f>'3'!D30</f>
        <v>-1.7668159999999933E-2</v>
      </c>
      <c r="AF59" s="58" t="str">
        <f>AC59</f>
        <v>Drag</v>
      </c>
      <c r="AG59" s="73">
        <f>'4'!D30</f>
        <v>-1.6084640000000094E-2</v>
      </c>
      <c r="AI59" s="58" t="str">
        <f>AF59</f>
        <v>Drag</v>
      </c>
      <c r="AJ59" s="74">
        <f>'5'!D30</f>
        <v>-1.4501120000000034E-2</v>
      </c>
    </row>
    <row r="60" spans="3:36" ht="15.85" hidden="1" customHeight="1" x14ac:dyDescent="0.35">
      <c r="C60" s="124" t="s">
        <v>35</v>
      </c>
      <c r="D60" s="125"/>
      <c r="F60" s="57"/>
      <c r="G60" s="62"/>
      <c r="H60" s="62"/>
      <c r="I60" s="62"/>
      <c r="J60" s="62"/>
      <c r="K60" s="62"/>
      <c r="L60" s="62"/>
      <c r="M60" s="62"/>
      <c r="N60" s="62"/>
      <c r="O60" s="62"/>
      <c r="P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 spans="3:36" ht="15.85" hidden="1" customHeight="1" x14ac:dyDescent="0.35">
      <c r="C61" s="68" t="s">
        <v>39</v>
      </c>
      <c r="D61" s="69">
        <v>0.37</v>
      </c>
      <c r="F61" s="57"/>
      <c r="G61" s="62"/>
      <c r="H61" s="62"/>
      <c r="I61" s="62"/>
      <c r="J61" s="62"/>
      <c r="K61" s="62"/>
      <c r="L61" s="62"/>
      <c r="M61" s="62"/>
      <c r="N61" s="62"/>
      <c r="O61" s="62"/>
      <c r="P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 spans="3:36" ht="15.85" hidden="1" customHeight="1" x14ac:dyDescent="0.35">
      <c r="C62" s="58" t="s">
        <v>40</v>
      </c>
      <c r="D62" s="69">
        <v>0.2</v>
      </c>
      <c r="F62" s="57"/>
      <c r="G62" s="62"/>
      <c r="H62" s="62"/>
      <c r="I62" s="62"/>
      <c r="J62" s="62"/>
      <c r="K62" s="62"/>
      <c r="L62" s="62"/>
      <c r="M62" s="62"/>
      <c r="N62" s="62"/>
      <c r="O62" s="62"/>
      <c r="P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 spans="3:36" ht="15.85" hidden="1" customHeight="1" x14ac:dyDescent="0.35">
      <c r="C63" s="58" t="s">
        <v>41</v>
      </c>
      <c r="D63" s="69">
        <v>3.7999999999999999E-2</v>
      </c>
      <c r="F63" s="57"/>
      <c r="G63" s="62"/>
      <c r="H63" s="62"/>
      <c r="I63" s="62"/>
      <c r="J63" s="62"/>
      <c r="K63" s="62"/>
      <c r="L63" s="62"/>
      <c r="M63" s="62"/>
      <c r="N63" s="62"/>
      <c r="O63" s="62"/>
      <c r="P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 spans="3:36" ht="15.85" hidden="1" customHeight="1" x14ac:dyDescent="0.35">
      <c r="G64" s="62"/>
      <c r="H64" s="62"/>
      <c r="I64" s="62"/>
      <c r="J64" s="62"/>
      <c r="K64" s="62"/>
      <c r="L64" s="62"/>
      <c r="M64" s="62"/>
      <c r="N64" s="62"/>
      <c r="O64" s="62"/>
      <c r="P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pans="3:31" ht="15.85" hidden="1" customHeight="1" x14ac:dyDescent="0.35">
      <c r="C65" s="124" t="s">
        <v>33</v>
      </c>
      <c r="D65" s="125"/>
      <c r="G65" s="62"/>
      <c r="H65" s="62"/>
      <c r="I65" s="62"/>
      <c r="J65" s="62"/>
      <c r="K65" s="62"/>
      <c r="L65" s="62"/>
      <c r="M65" s="62"/>
      <c r="N65" s="62"/>
      <c r="O65" s="62"/>
      <c r="P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 spans="3:31" ht="15.85" hidden="1" customHeight="1" x14ac:dyDescent="0.35">
      <c r="C66" s="68" t="s">
        <v>0</v>
      </c>
      <c r="D66" s="69">
        <v>0</v>
      </c>
      <c r="G66" s="62"/>
      <c r="H66" s="62"/>
      <c r="I66" s="62"/>
      <c r="J66" s="62"/>
      <c r="K66" s="62"/>
      <c r="L66" s="62"/>
      <c r="M66" s="62"/>
      <c r="N66" s="62"/>
      <c r="O66" s="62"/>
      <c r="P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 spans="3:31" ht="15.85" hidden="1" customHeight="1" x14ac:dyDescent="0.35">
      <c r="C67" s="58" t="s">
        <v>1</v>
      </c>
      <c r="D67" s="69">
        <v>0</v>
      </c>
      <c r="G67" s="62"/>
      <c r="H67" s="62"/>
      <c r="I67" s="62"/>
      <c r="J67" s="62"/>
      <c r="K67" s="62"/>
      <c r="L67" s="62"/>
      <c r="M67" s="62"/>
      <c r="N67" s="62"/>
      <c r="O67" s="62"/>
      <c r="P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 spans="3:31" ht="15.85" hidden="1" customHeight="1" x14ac:dyDescent="0.35">
      <c r="C68" s="58" t="s">
        <v>2</v>
      </c>
      <c r="D68" s="69">
        <v>0</v>
      </c>
      <c r="G68" s="62"/>
      <c r="H68" s="62"/>
      <c r="I68" s="62"/>
      <c r="J68" s="62"/>
      <c r="K68" s="62"/>
      <c r="L68" s="62"/>
      <c r="M68" s="62"/>
      <c r="N68" s="62"/>
      <c r="O68" s="62"/>
      <c r="P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 spans="3:31" ht="15.85" hidden="1" customHeight="1" x14ac:dyDescent="0.35">
      <c r="G69" s="62"/>
      <c r="H69" s="62"/>
      <c r="I69" s="62"/>
      <c r="J69" s="62"/>
      <c r="K69" s="62"/>
      <c r="L69" s="62"/>
      <c r="M69" s="62"/>
      <c r="N69" s="62"/>
      <c r="O69" s="62"/>
      <c r="P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 spans="3:31" ht="15.85" hidden="1" customHeight="1" x14ac:dyDescent="0.35">
      <c r="C70" s="124" t="s">
        <v>36</v>
      </c>
      <c r="D70" s="125"/>
      <c r="G70" s="62"/>
      <c r="H70" s="62"/>
      <c r="I70" s="62"/>
      <c r="J70" s="62"/>
      <c r="K70" s="62"/>
      <c r="L70" s="62"/>
      <c r="M70" s="62"/>
      <c r="N70" s="62"/>
      <c r="O70" s="62"/>
      <c r="P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 spans="3:31" ht="15.85" hidden="1" customHeight="1" x14ac:dyDescent="0.35">
      <c r="C71" s="68" t="s">
        <v>75</v>
      </c>
      <c r="D71" s="69">
        <v>5.0000000000000001E-3</v>
      </c>
      <c r="G71" s="62"/>
      <c r="H71" s="62"/>
      <c r="I71" s="62"/>
      <c r="J71" s="62"/>
      <c r="K71" s="62"/>
      <c r="L71" s="62"/>
      <c r="M71" s="62"/>
      <c r="N71" s="62"/>
      <c r="O71" s="62"/>
      <c r="P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 spans="3:31" ht="15.85" hidden="1" customHeight="1" x14ac:dyDescent="0.35">
      <c r="G72" s="62"/>
      <c r="H72" s="62"/>
      <c r="I72" s="62"/>
      <c r="J72" s="62"/>
      <c r="K72" s="62"/>
      <c r="L72" s="62"/>
      <c r="M72" s="62"/>
      <c r="N72" s="62"/>
      <c r="O72" s="62"/>
      <c r="P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 spans="3:31" ht="15.85" hidden="1" customHeight="1" x14ac:dyDescent="0.35">
      <c r="C73" s="124" t="s">
        <v>37</v>
      </c>
      <c r="D73" s="125"/>
      <c r="G73" s="62"/>
      <c r="H73" s="62"/>
      <c r="I73" s="62"/>
      <c r="J73" s="62"/>
      <c r="K73" s="62"/>
      <c r="L73" s="62"/>
      <c r="M73" s="62"/>
      <c r="N73" s="62"/>
      <c r="O73" s="62"/>
      <c r="P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 spans="3:31" ht="15.85" hidden="1" customHeight="1" x14ac:dyDescent="0.35">
      <c r="C74" s="75" t="s">
        <v>27</v>
      </c>
      <c r="D74" s="75" t="s">
        <v>38</v>
      </c>
      <c r="G74" s="62"/>
      <c r="H74" s="62"/>
      <c r="I74" s="62"/>
      <c r="J74" s="62"/>
      <c r="K74" s="62"/>
      <c r="L74" s="62"/>
      <c r="M74" s="62"/>
      <c r="N74" s="62"/>
      <c r="O74" s="62"/>
      <c r="P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 spans="3:31" ht="15.85" hidden="1" customHeight="1" x14ac:dyDescent="0.35">
      <c r="C75" s="76"/>
      <c r="D75" s="77"/>
      <c r="G75" s="62"/>
      <c r="H75" s="62"/>
      <c r="I75" s="62"/>
      <c r="J75" s="62"/>
      <c r="K75" s="62"/>
      <c r="L75" s="62"/>
      <c r="M75" s="62"/>
      <c r="N75" s="62"/>
      <c r="O75" s="62"/>
      <c r="P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 spans="3:31" ht="15.85" hidden="1" customHeight="1" x14ac:dyDescent="0.35">
      <c r="C76" s="76"/>
      <c r="D76" s="77"/>
      <c r="G76" s="62"/>
      <c r="H76" s="62"/>
      <c r="I76" s="62"/>
      <c r="J76" s="62"/>
      <c r="K76" s="62"/>
      <c r="L76" s="62"/>
      <c r="M76" s="62"/>
      <c r="N76" s="62"/>
      <c r="O76" s="62"/>
      <c r="P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 spans="3:31" ht="15.85" hidden="1" customHeight="1" x14ac:dyDescent="0.35">
      <c r="C77" s="76"/>
      <c r="D77" s="77"/>
    </row>
    <row r="78" spans="3:31" ht="15.85" hidden="1" customHeight="1" x14ac:dyDescent="0.35">
      <c r="C78" s="76"/>
      <c r="D78" s="77"/>
    </row>
    <row r="79" spans="3:31" ht="15.85" hidden="1" customHeight="1" x14ac:dyDescent="0.35">
      <c r="C79" s="76"/>
      <c r="D79" s="77"/>
    </row>
    <row r="80" spans="3:31" ht="15.85" hidden="1" customHeight="1" x14ac:dyDescent="0.35">
      <c r="C80" s="76"/>
      <c r="D80" s="77"/>
    </row>
    <row r="81" spans="3:36" hidden="1" x14ac:dyDescent="0.35">
      <c r="C81" s="76"/>
      <c r="D81" s="77"/>
    </row>
    <row r="82" spans="3:36" hidden="1" x14ac:dyDescent="0.35"/>
    <row r="83" spans="3:36" hidden="1" x14ac:dyDescent="0.35"/>
    <row r="84" spans="3:36" hidden="1" x14ac:dyDescent="0.35"/>
    <row r="85" spans="3:36" hidden="1" x14ac:dyDescent="0.35"/>
    <row r="86" spans="3:36" hidden="1" x14ac:dyDescent="0.35"/>
    <row r="87" spans="3:36" hidden="1" x14ac:dyDescent="0.35"/>
    <row r="88" spans="3:36" hidden="1" x14ac:dyDescent="0.35"/>
    <row r="89" spans="3:36" hidden="1" x14ac:dyDescent="0.35"/>
    <row r="90" spans="3:36" hidden="1" x14ac:dyDescent="0.35">
      <c r="N90" s="140" t="s">
        <v>74</v>
      </c>
      <c r="O90" s="143" t="s">
        <v>73</v>
      </c>
      <c r="P90" s="144"/>
      <c r="Q90" s="143" t="s">
        <v>66</v>
      </c>
      <c r="R90" s="144"/>
      <c r="S90" s="149" t="s">
        <v>43</v>
      </c>
      <c r="T90" s="150"/>
      <c r="U90" s="151"/>
      <c r="AC90" s="140" t="s">
        <v>74</v>
      </c>
      <c r="AD90" s="143" t="s">
        <v>73</v>
      </c>
      <c r="AE90" s="144"/>
      <c r="AF90" s="143" t="s">
        <v>66</v>
      </c>
      <c r="AG90" s="144"/>
      <c r="AH90" s="149" t="s">
        <v>43</v>
      </c>
      <c r="AI90" s="150"/>
      <c r="AJ90" s="151"/>
    </row>
    <row r="91" spans="3:36" hidden="1" x14ac:dyDescent="0.35">
      <c r="N91" s="141"/>
      <c r="O91" s="145"/>
      <c r="P91" s="146"/>
      <c r="Q91" s="145"/>
      <c r="R91" s="146"/>
      <c r="S91" s="152"/>
      <c r="T91" s="153"/>
      <c r="U91" s="154"/>
      <c r="AC91" s="141"/>
      <c r="AD91" s="145"/>
      <c r="AE91" s="146"/>
      <c r="AF91" s="145"/>
      <c r="AG91" s="146"/>
      <c r="AH91" s="152"/>
      <c r="AI91" s="153"/>
      <c r="AJ91" s="154"/>
    </row>
    <row r="92" spans="3:36" hidden="1" x14ac:dyDescent="0.35">
      <c r="N92" s="142"/>
      <c r="O92" s="147"/>
      <c r="P92" s="148"/>
      <c r="Q92" s="147"/>
      <c r="R92" s="148"/>
      <c r="S92" s="155"/>
      <c r="T92" s="156"/>
      <c r="U92" s="157"/>
      <c r="AC92" s="142"/>
      <c r="AD92" s="147"/>
      <c r="AE92" s="148"/>
      <c r="AF92" s="147"/>
      <c r="AG92" s="148"/>
      <c r="AH92" s="155"/>
      <c r="AI92" s="156"/>
      <c r="AJ92" s="157"/>
    </row>
    <row r="93" spans="3:36" ht="11.65" hidden="1" customHeight="1" x14ac:dyDescent="0.35">
      <c r="N93" s="138" t="str">
        <f>Rank!M2</f>
        <v>1st</v>
      </c>
      <c r="O93" s="134" t="str">
        <f>Rank!I2</f>
        <v>40% of Current Portfolio inside PPLI</v>
      </c>
      <c r="P93" s="135"/>
      <c r="Q93" s="166">
        <f>Rank!K2</f>
        <v>5.808687729262263E-2</v>
      </c>
      <c r="R93" s="164" t="str">
        <f>_xlfn.CONCAT("+ ",TEXT(Q93-$Q$105,"0.00%"))</f>
        <v>+ 0.69%</v>
      </c>
      <c r="S93" s="160">
        <f>Rank!J2</f>
        <v>30933322.074651059</v>
      </c>
      <c r="T93" s="161"/>
      <c r="U93" s="158" t="str">
        <f>_xlfn.CONCAT("+ ",TEXT(S93-$S$105,"$#,##0.00"))</f>
        <v>+ $3,779,700.19</v>
      </c>
      <c r="AC93" s="168" t="str">
        <f>Rank!M10</f>
        <v>1st</v>
      </c>
      <c r="AD93" s="169" t="str">
        <f>Rank!I10</f>
        <v>40% of Current Portfolio inside PPLI</v>
      </c>
      <c r="AE93" s="170"/>
      <c r="AF93" s="171">
        <f>Rank!K10</f>
        <v>5.5898879999999984E-2</v>
      </c>
      <c r="AG93" s="172" t="str">
        <f>_xlfn.CONCAT("+ ",TEXT(AF93-$AF$105,"0.00%"))</f>
        <v>+ 0.63%</v>
      </c>
      <c r="AH93" s="173">
        <f>Rank!J10</f>
        <v>29678816.894493531</v>
      </c>
      <c r="AI93" s="174"/>
      <c r="AJ93" s="175" t="str">
        <f>_xlfn.CONCAT("+ ",TEXT(AH93-$AH$105,"$#,##0.00"))</f>
        <v>+ $3,364,921.70</v>
      </c>
    </row>
    <row r="94" spans="3:36" ht="11.65" hidden="1" customHeight="1" x14ac:dyDescent="0.35">
      <c r="N94" s="138"/>
      <c r="O94" s="134"/>
      <c r="P94" s="135"/>
      <c r="Q94" s="166"/>
      <c r="R94" s="164"/>
      <c r="S94" s="160"/>
      <c r="T94" s="161"/>
      <c r="U94" s="158"/>
      <c r="AC94" s="138"/>
      <c r="AD94" s="134"/>
      <c r="AE94" s="135"/>
      <c r="AF94" s="166"/>
      <c r="AG94" s="164"/>
      <c r="AH94" s="160"/>
      <c r="AI94" s="161"/>
      <c r="AJ94" s="158"/>
    </row>
    <row r="95" spans="3:36" ht="11.65" hidden="1" customHeight="1" x14ac:dyDescent="0.35">
      <c r="N95" s="138"/>
      <c r="O95" s="134"/>
      <c r="P95" s="135"/>
      <c r="Q95" s="166"/>
      <c r="R95" s="164"/>
      <c r="S95" s="160"/>
      <c r="T95" s="161"/>
      <c r="U95" s="158"/>
      <c r="AC95" s="138"/>
      <c r="AD95" s="134"/>
      <c r="AE95" s="135"/>
      <c r="AF95" s="166"/>
      <c r="AG95" s="164"/>
      <c r="AH95" s="160"/>
      <c r="AI95" s="161"/>
      <c r="AJ95" s="158"/>
    </row>
    <row r="96" spans="3:36" ht="11.65" hidden="1" customHeight="1" x14ac:dyDescent="0.35">
      <c r="N96" s="138" t="str">
        <f>Rank!M3</f>
        <v>2nd</v>
      </c>
      <c r="O96" s="134" t="str">
        <f>Rank!I3</f>
        <v>30% of Current Portfolio inside PPLI</v>
      </c>
      <c r="P96" s="135"/>
      <c r="Q96" s="166">
        <f>Rank!K3</f>
        <v>5.644687452568431E-2</v>
      </c>
      <c r="R96" s="164" t="str">
        <f>_xlfn.CONCAT("+ ",TEXT(Q96-$Q$105,"0.00%"))</f>
        <v>+ 0.52%</v>
      </c>
      <c r="S96" s="160">
        <f>Rank!J3</f>
        <v>29988397.026908625</v>
      </c>
      <c r="T96" s="161"/>
      <c r="U96" s="158" t="str">
        <f>_xlfn.CONCAT("+ ",TEXT(S96-$S$105,"$#,##0.00"))</f>
        <v>+ $2,834,775.14</v>
      </c>
      <c r="AC96" s="138" t="str">
        <f>Rank!M11</f>
        <v>2nd</v>
      </c>
      <c r="AD96" s="134" t="str">
        <f>Rank!I11</f>
        <v>30% of Current Portfolio inside PPLI</v>
      </c>
      <c r="AE96" s="135"/>
      <c r="AF96" s="166">
        <f>Rank!K11</f>
        <v>5.4315359999999924E-2</v>
      </c>
      <c r="AG96" s="164" t="str">
        <f>_xlfn.CONCAT("+ ",TEXT(AF96-$AF$105,"0.00%"))</f>
        <v>+ 0.48%</v>
      </c>
      <c r="AH96" s="160">
        <f>Rank!J11</f>
        <v>28801205.99387436</v>
      </c>
      <c r="AI96" s="161"/>
      <c r="AJ96" s="158" t="str">
        <f>_xlfn.CONCAT("+ ",TEXT(AH96-$AH$105,"$#,##0.00"))</f>
        <v>+ $2,487,310.80</v>
      </c>
    </row>
    <row r="97" spans="14:36" ht="11.65" hidden="1" customHeight="1" x14ac:dyDescent="0.35">
      <c r="N97" s="138"/>
      <c r="O97" s="134"/>
      <c r="P97" s="135"/>
      <c r="Q97" s="166"/>
      <c r="R97" s="164"/>
      <c r="S97" s="160"/>
      <c r="T97" s="161"/>
      <c r="U97" s="158"/>
      <c r="AC97" s="138"/>
      <c r="AD97" s="134"/>
      <c r="AE97" s="135"/>
      <c r="AF97" s="166"/>
      <c r="AG97" s="164"/>
      <c r="AH97" s="160"/>
      <c r="AI97" s="161"/>
      <c r="AJ97" s="158"/>
    </row>
    <row r="98" spans="14:36" ht="11.65" hidden="1" customHeight="1" x14ac:dyDescent="0.35">
      <c r="N98" s="138"/>
      <c r="O98" s="134"/>
      <c r="P98" s="135"/>
      <c r="Q98" s="166"/>
      <c r="R98" s="164"/>
      <c r="S98" s="160"/>
      <c r="T98" s="161"/>
      <c r="U98" s="158"/>
      <c r="AC98" s="138"/>
      <c r="AD98" s="134"/>
      <c r="AE98" s="135"/>
      <c r="AF98" s="166"/>
      <c r="AG98" s="164"/>
      <c r="AH98" s="160"/>
      <c r="AI98" s="161"/>
      <c r="AJ98" s="158"/>
    </row>
    <row r="99" spans="14:36" ht="11.65" hidden="1" customHeight="1" x14ac:dyDescent="0.35">
      <c r="N99" s="138" t="str">
        <f>Rank!M4</f>
        <v>3rd</v>
      </c>
      <c r="O99" s="134" t="str">
        <f>Rank!I4</f>
        <v>20% of Current Portfolio inside PPLI</v>
      </c>
      <c r="P99" s="135"/>
      <c r="Q99" s="166">
        <f>Rank!K4</f>
        <v>5.4757025074019694E-2</v>
      </c>
      <c r="R99" s="164" t="str">
        <f>_xlfn.CONCAT("+ ",TEXT(Q99-$Q$105,"0.00%"))</f>
        <v>+ 0.35%</v>
      </c>
      <c r="S99" s="160">
        <f>Rank!J4</f>
        <v>29043471.979166195</v>
      </c>
      <c r="T99" s="161"/>
      <c r="U99" s="158" t="str">
        <f>_xlfn.CONCAT("+ ",TEXT(S99-$S$105,"$#,##0.00"))</f>
        <v>+ $1,889,850.10</v>
      </c>
      <c r="AC99" s="138" t="str">
        <f>Rank!M12</f>
        <v>3rd</v>
      </c>
      <c r="AD99" s="134" t="str">
        <f>Rank!I12</f>
        <v>20% of Current Portfolio inside PPLI</v>
      </c>
      <c r="AE99" s="135"/>
      <c r="AF99" s="166">
        <f>Rank!K12</f>
        <v>5.2731840000000085E-2</v>
      </c>
      <c r="AG99" s="164" t="str">
        <f>_xlfn.CONCAT("+ ",TEXT(AF99-$AF$105,"0.00%"))</f>
        <v>+ 0.32%</v>
      </c>
      <c r="AH99" s="160">
        <f>Rank!J12</f>
        <v>27948285.332057267</v>
      </c>
      <c r="AI99" s="161"/>
      <c r="AJ99" s="158" t="str">
        <f>_xlfn.CONCAT("+ ",TEXT(AH99-$AH$105,"$#,##0.00"))</f>
        <v>+ $1,634,390.13</v>
      </c>
    </row>
    <row r="100" spans="14:36" ht="11.65" hidden="1" customHeight="1" x14ac:dyDescent="0.35">
      <c r="N100" s="138"/>
      <c r="O100" s="134"/>
      <c r="P100" s="135"/>
      <c r="Q100" s="166"/>
      <c r="R100" s="164"/>
      <c r="S100" s="160"/>
      <c r="T100" s="161"/>
      <c r="U100" s="158"/>
      <c r="AC100" s="138"/>
      <c r="AD100" s="134"/>
      <c r="AE100" s="135"/>
      <c r="AF100" s="166"/>
      <c r="AG100" s="164"/>
      <c r="AH100" s="160"/>
      <c r="AI100" s="161"/>
      <c r="AJ100" s="158"/>
    </row>
    <row r="101" spans="14:36" ht="11.65" hidden="1" customHeight="1" x14ac:dyDescent="0.35">
      <c r="N101" s="138"/>
      <c r="O101" s="134"/>
      <c r="P101" s="135"/>
      <c r="Q101" s="166"/>
      <c r="R101" s="164"/>
      <c r="S101" s="160"/>
      <c r="T101" s="161"/>
      <c r="U101" s="158"/>
      <c r="AC101" s="138"/>
      <c r="AD101" s="134"/>
      <c r="AE101" s="135"/>
      <c r="AF101" s="166"/>
      <c r="AG101" s="164"/>
      <c r="AH101" s="160"/>
      <c r="AI101" s="161"/>
      <c r="AJ101" s="158"/>
    </row>
    <row r="102" spans="14:36" ht="11.65" hidden="1" customHeight="1" x14ac:dyDescent="0.35">
      <c r="N102" s="138" t="str">
        <f>Rank!M5</f>
        <v>4th</v>
      </c>
      <c r="O102" s="134" t="str">
        <f>Rank!I5</f>
        <v>10% of Current Portfolio inside PPLI</v>
      </c>
      <c r="P102" s="135"/>
      <c r="Q102" s="166">
        <f>Rank!K5</f>
        <v>5.3014115999050926E-2</v>
      </c>
      <c r="R102" s="164" t="str">
        <f>_xlfn.CONCAT("+ ",TEXT(Q102-$Q$105,"0.00%"))</f>
        <v>+ 0.18%</v>
      </c>
      <c r="S102" s="160">
        <f>Rank!J5</f>
        <v>28098546.931423761</v>
      </c>
      <c r="T102" s="161"/>
      <c r="U102" s="158" t="str">
        <f>_xlfn.CONCAT("+ ",TEXT(S102-$S$105,"$#,##0.00"))</f>
        <v>+ $944,925.05</v>
      </c>
      <c r="AC102" s="138" t="str">
        <f>Rank!M13</f>
        <v>4th</v>
      </c>
      <c r="AD102" s="134" t="str">
        <f>Rank!I13</f>
        <v>10% of Current Portfolio inside PPLI</v>
      </c>
      <c r="AE102" s="135"/>
      <c r="AF102" s="166">
        <f>Rank!K13</f>
        <v>5.1148320000000025E-2</v>
      </c>
      <c r="AG102" s="164" t="str">
        <f>_xlfn.CONCAT("+ ",TEXT(AF102-$AF$105,"0.00%"))</f>
        <v>+ 0.16%</v>
      </c>
      <c r="AH102" s="160">
        <f>Rank!J13</f>
        <v>27119395.867656779</v>
      </c>
      <c r="AI102" s="161"/>
      <c r="AJ102" s="158" t="str">
        <f>_xlfn.CONCAT("+ ",TEXT(AH102-$AH$105,"$#,##0.00"))</f>
        <v>+ $805,500.67</v>
      </c>
    </row>
    <row r="103" spans="14:36" ht="11.65" hidden="1" customHeight="1" x14ac:dyDescent="0.35">
      <c r="N103" s="138"/>
      <c r="O103" s="134"/>
      <c r="P103" s="135"/>
      <c r="Q103" s="166"/>
      <c r="R103" s="164"/>
      <c r="S103" s="160"/>
      <c r="T103" s="161"/>
      <c r="U103" s="158"/>
      <c r="AC103" s="138"/>
      <c r="AD103" s="134"/>
      <c r="AE103" s="135"/>
      <c r="AF103" s="166"/>
      <c r="AG103" s="164"/>
      <c r="AH103" s="160"/>
      <c r="AI103" s="161"/>
      <c r="AJ103" s="158"/>
    </row>
    <row r="104" spans="14:36" ht="11.65" hidden="1" customHeight="1" x14ac:dyDescent="0.35">
      <c r="N104" s="138"/>
      <c r="O104" s="134"/>
      <c r="P104" s="135"/>
      <c r="Q104" s="166"/>
      <c r="R104" s="164"/>
      <c r="S104" s="160"/>
      <c r="T104" s="161"/>
      <c r="U104" s="158"/>
      <c r="AC104" s="138"/>
      <c r="AD104" s="134"/>
      <c r="AE104" s="135"/>
      <c r="AF104" s="166"/>
      <c r="AG104" s="164"/>
      <c r="AH104" s="160"/>
      <c r="AI104" s="161"/>
      <c r="AJ104" s="158"/>
    </row>
    <row r="105" spans="14:36" ht="11.65" hidden="1" customHeight="1" x14ac:dyDescent="0.35">
      <c r="N105" s="138" t="str">
        <f>Rank!M6</f>
        <v>5th</v>
      </c>
      <c r="O105" s="134" t="str">
        <f>Rank!I6</f>
        <v>Current Client Portfolio</v>
      </c>
      <c r="P105" s="135"/>
      <c r="Q105" s="166">
        <f>Rank!K6</f>
        <v>5.1214610322372733E-2</v>
      </c>
      <c r="R105" s="164" t="str">
        <f>_xlfn.CONCAT("+ ",TEXT(Q105-$Q$105,"0.00%"))</f>
        <v>+ 0.00%</v>
      </c>
      <c r="S105" s="160">
        <f>Rank!J6</f>
        <v>27153621.883681335</v>
      </c>
      <c r="T105" s="161"/>
      <c r="U105" s="158" t="str">
        <f>_xlfn.CONCAT("+ ",TEXT(S105-$S$105,"$#,##0.00"))</f>
        <v>+ $0.00</v>
      </c>
      <c r="AC105" s="138" t="str">
        <f>Rank!M14</f>
        <v>5th</v>
      </c>
      <c r="AD105" s="134" t="str">
        <f>Rank!I14</f>
        <v>Current Client Portfolio</v>
      </c>
      <c r="AE105" s="135"/>
      <c r="AF105" s="166">
        <f>Rank!K14</f>
        <v>4.9564799999999964E-2</v>
      </c>
      <c r="AG105" s="164" t="str">
        <f>_xlfn.CONCAT("+ ",TEXT(AF105-$AF$105,"0.00%"))</f>
        <v>+ 0.00%</v>
      </c>
      <c r="AH105" s="160">
        <f>Rank!J14</f>
        <v>26313895.198113486</v>
      </c>
      <c r="AI105" s="161"/>
      <c r="AJ105" s="158" t="str">
        <f>_xlfn.CONCAT("+ ",TEXT(AH105-$AH$105,"$#,##0.00"))</f>
        <v>+ $0.00</v>
      </c>
    </row>
    <row r="106" spans="14:36" ht="11.65" hidden="1" customHeight="1" x14ac:dyDescent="0.35">
      <c r="N106" s="138"/>
      <c r="O106" s="134"/>
      <c r="P106" s="135"/>
      <c r="Q106" s="166"/>
      <c r="R106" s="164"/>
      <c r="S106" s="160"/>
      <c r="T106" s="161"/>
      <c r="U106" s="158"/>
      <c r="AC106" s="138"/>
      <c r="AD106" s="134"/>
      <c r="AE106" s="135"/>
      <c r="AF106" s="166"/>
      <c r="AG106" s="164"/>
      <c r="AH106" s="160"/>
      <c r="AI106" s="161"/>
      <c r="AJ106" s="158"/>
    </row>
    <row r="107" spans="14:36" ht="11.65" hidden="1" customHeight="1" x14ac:dyDescent="0.35">
      <c r="N107" s="139"/>
      <c r="O107" s="136"/>
      <c r="P107" s="137"/>
      <c r="Q107" s="167"/>
      <c r="R107" s="165"/>
      <c r="S107" s="162"/>
      <c r="T107" s="163"/>
      <c r="U107" s="159"/>
      <c r="AC107" s="139"/>
      <c r="AD107" s="136"/>
      <c r="AE107" s="137"/>
      <c r="AF107" s="167"/>
      <c r="AG107" s="165"/>
      <c r="AH107" s="162"/>
      <c r="AI107" s="163"/>
      <c r="AJ107" s="159"/>
    </row>
    <row r="108" spans="14:36" hidden="1" x14ac:dyDescent="0.35"/>
    <row r="109" spans="14:36" hidden="1" x14ac:dyDescent="0.35"/>
    <row r="110" spans="14:36" hidden="1" x14ac:dyDescent="0.35"/>
    <row r="111" spans="14:36" hidden="1" x14ac:dyDescent="0.35"/>
    <row r="112" spans="14:36" hidden="1" x14ac:dyDescent="0.35"/>
    <row r="113" hidden="1" x14ac:dyDescent="0.35"/>
    <row r="114" hidden="1" x14ac:dyDescent="0.35"/>
    <row r="115" hidden="1" x14ac:dyDescent="0.35"/>
    <row r="116" hidden="1" x14ac:dyDescent="0.35"/>
  </sheetData>
  <sheetProtection selectLockedCells="1"/>
  <mergeCells count="111">
    <mergeCell ref="AC99:AC101"/>
    <mergeCell ref="AD99:AE101"/>
    <mergeCell ref="AF99:AF101"/>
    <mergeCell ref="AG99:AG101"/>
    <mergeCell ref="AH99:AI101"/>
    <mergeCell ref="AJ99:AJ101"/>
    <mergeCell ref="AC96:AC98"/>
    <mergeCell ref="AD96:AE98"/>
    <mergeCell ref="AF96:AF98"/>
    <mergeCell ref="AG96:AG98"/>
    <mergeCell ref="AJ102:AJ104"/>
    <mergeCell ref="AC105:AC107"/>
    <mergeCell ref="AD105:AE107"/>
    <mergeCell ref="AF105:AF107"/>
    <mergeCell ref="AG105:AG107"/>
    <mergeCell ref="AH105:AI107"/>
    <mergeCell ref="AJ105:AJ107"/>
    <mergeCell ref="AC102:AC104"/>
    <mergeCell ref="AD102:AE104"/>
    <mergeCell ref="AF102:AF104"/>
    <mergeCell ref="AG102:AG104"/>
    <mergeCell ref="AH102:AI104"/>
    <mergeCell ref="W51:X51"/>
    <mergeCell ref="Z51:AA51"/>
    <mergeCell ref="AC51:AD51"/>
    <mergeCell ref="AF51:AG51"/>
    <mergeCell ref="AI51:AJ51"/>
    <mergeCell ref="AH96:AI98"/>
    <mergeCell ref="AC90:AC92"/>
    <mergeCell ref="AD90:AE92"/>
    <mergeCell ref="AF90:AG92"/>
    <mergeCell ref="AH90:AJ92"/>
    <mergeCell ref="AC93:AC95"/>
    <mergeCell ref="AD93:AE95"/>
    <mergeCell ref="AF93:AF95"/>
    <mergeCell ref="AG93:AG95"/>
    <mergeCell ref="AH93:AI95"/>
    <mergeCell ref="AJ93:AJ95"/>
    <mergeCell ref="AJ96:AJ98"/>
    <mergeCell ref="W46:AJ46"/>
    <mergeCell ref="W48:X48"/>
    <mergeCell ref="Z48:AA48"/>
    <mergeCell ref="AC48:AD48"/>
    <mergeCell ref="AF48:AG48"/>
    <mergeCell ref="AI48:AJ48"/>
    <mergeCell ref="O96:P98"/>
    <mergeCell ref="O99:P101"/>
    <mergeCell ref="O102:P104"/>
    <mergeCell ref="R99:R101"/>
    <mergeCell ref="Q99:Q101"/>
    <mergeCell ref="R96:R98"/>
    <mergeCell ref="S93:T95"/>
    <mergeCell ref="Q96:Q98"/>
    <mergeCell ref="Q93:Q95"/>
    <mergeCell ref="R93:R95"/>
    <mergeCell ref="N51:O51"/>
    <mergeCell ref="Q51:R51"/>
    <mergeCell ref="T51:U51"/>
    <mergeCell ref="W56:X56"/>
    <mergeCell ref="Z56:AA56"/>
    <mergeCell ref="AC56:AD56"/>
    <mergeCell ref="AF56:AG56"/>
    <mergeCell ref="AI56:AJ56"/>
    <mergeCell ref="O105:P107"/>
    <mergeCell ref="N105:N107"/>
    <mergeCell ref="N102:N104"/>
    <mergeCell ref="N99:N101"/>
    <mergeCell ref="N96:N98"/>
    <mergeCell ref="N90:N92"/>
    <mergeCell ref="O90:P92"/>
    <mergeCell ref="Q90:R92"/>
    <mergeCell ref="S90:U92"/>
    <mergeCell ref="U93:U95"/>
    <mergeCell ref="O93:P95"/>
    <mergeCell ref="N93:N95"/>
    <mergeCell ref="U96:U98"/>
    <mergeCell ref="U99:U101"/>
    <mergeCell ref="U102:U104"/>
    <mergeCell ref="U105:U107"/>
    <mergeCell ref="S105:T107"/>
    <mergeCell ref="S102:T104"/>
    <mergeCell ref="S99:T101"/>
    <mergeCell ref="S96:T98"/>
    <mergeCell ref="R105:R107"/>
    <mergeCell ref="Q105:Q107"/>
    <mergeCell ref="R102:R104"/>
    <mergeCell ref="Q102:Q104"/>
    <mergeCell ref="C4:D4"/>
    <mergeCell ref="C10:D10"/>
    <mergeCell ref="C14:D14"/>
    <mergeCell ref="C18:D18"/>
    <mergeCell ref="C50:D50"/>
    <mergeCell ref="C65:D65"/>
    <mergeCell ref="C60:D60"/>
    <mergeCell ref="C55:D55"/>
    <mergeCell ref="C70:D70"/>
    <mergeCell ref="H56:I56"/>
    <mergeCell ref="K56:L56"/>
    <mergeCell ref="N56:O56"/>
    <mergeCell ref="Q56:R56"/>
    <mergeCell ref="T56:U56"/>
    <mergeCell ref="C22:D22"/>
    <mergeCell ref="H46:U46"/>
    <mergeCell ref="C46:D46"/>
    <mergeCell ref="C73:D73"/>
    <mergeCell ref="H51:I51"/>
    <mergeCell ref="K51:L51"/>
    <mergeCell ref="L32:O34"/>
    <mergeCell ref="L28:O30"/>
    <mergeCell ref="L24:O26"/>
    <mergeCell ref="F51:F53"/>
  </mergeCells>
  <conditionalFormatting sqref="F51:F53">
    <cfRule type="cellIs" dxfId="16" priority="1" operator="equal">
      <formula>"Must Equal 100%"</formula>
    </cfRule>
    <cfRule type="cellIs" dxfId="15" priority="2" operator="equal">
      <formula>"Good"</formula>
    </cfRule>
  </conditionalFormatting>
  <conditionalFormatting sqref="N93:U107 AC93:AJ107">
    <cfRule type="expression" dxfId="14" priority="54">
      <formula>$O93=$C$22</formula>
    </cfRule>
    <cfRule type="expression" dxfId="13" priority="55">
      <formula>$O93=$C$18</formula>
    </cfRule>
    <cfRule type="expression" dxfId="12" priority="56">
      <formula>$O93=$C$14</formula>
    </cfRule>
    <cfRule type="expression" dxfId="11" priority="57">
      <formula>$O93=$C$10</formula>
    </cfRule>
    <cfRule type="expression" dxfId="10" priority="58">
      <formula>$O93=$C$4</formula>
    </cfRule>
  </conditionalFormatting>
  <hyperlinks>
    <hyperlink ref="B2" location="Suitability!A1" display="Back to Suitability" xr:uid="{A16389A2-0991-4A06-AEA2-A6AD88A945C1}"/>
    <hyperlink ref="L24:O26" location="'Carrier Portal'!A1" display="Explore PPLI Carriers" xr:uid="{52F296E1-01C2-4FE6-B47F-A3B11FE417E8}"/>
    <hyperlink ref="L28:O30" location="'Education Portal'!A1" display="Explore Education Portal" xr:uid="{31447360-E6D9-4FFF-AC7B-E6FD66AFEA3D}"/>
    <hyperlink ref="L32:O34" location="'Service Providers'!A1" display="Explore Other Service Providers" xr:uid="{F04CEB6B-56B0-4577-B109-E9B8CEE4DE18}"/>
  </hyperlink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8D17-4027-4718-BC9F-AA1D84874C67}">
  <dimension ref="B1:J16"/>
  <sheetViews>
    <sheetView workbookViewId="0">
      <selection activeCell="G19" sqref="G19"/>
    </sheetView>
  </sheetViews>
  <sheetFormatPr defaultRowHeight="14.25" x14ac:dyDescent="0.45"/>
  <cols>
    <col min="1" max="1" width="2.265625" style="34" customWidth="1"/>
    <col min="2" max="2" width="4.9296875" style="34" customWidth="1"/>
    <col min="3" max="9" width="20.53125" style="34" customWidth="1"/>
    <col min="10" max="10" width="4.9296875" style="34" customWidth="1"/>
    <col min="11" max="16384" width="9.06640625" style="34"/>
  </cols>
  <sheetData>
    <row r="1" spans="2:10" ht="10.5" customHeight="1" x14ac:dyDescent="0.45"/>
    <row r="2" spans="2:10" ht="10.5" customHeight="1" x14ac:dyDescent="0.45">
      <c r="B2" s="86" t="s">
        <v>137</v>
      </c>
      <c r="C2" s="39"/>
      <c r="D2" s="39"/>
      <c r="E2" s="39"/>
      <c r="F2" s="39"/>
      <c r="G2" s="39"/>
      <c r="H2" s="39"/>
      <c r="I2" s="39"/>
      <c r="J2" s="39"/>
    </row>
    <row r="3" spans="2:10" ht="10.5" customHeight="1" x14ac:dyDescent="0.45">
      <c r="B3" s="39"/>
      <c r="C3" s="39"/>
      <c r="D3" s="39"/>
      <c r="E3" s="39"/>
      <c r="F3" s="39"/>
      <c r="G3" s="39"/>
      <c r="H3" s="39"/>
      <c r="I3" s="39"/>
      <c r="J3" s="39"/>
    </row>
    <row r="4" spans="2:10" x14ac:dyDescent="0.45">
      <c r="B4" s="39"/>
      <c r="C4" s="1" t="s">
        <v>106</v>
      </c>
      <c r="D4" s="1" t="s">
        <v>107</v>
      </c>
      <c r="E4" s="1" t="s">
        <v>108</v>
      </c>
      <c r="F4" s="1" t="s">
        <v>109</v>
      </c>
      <c r="G4" s="1" t="s">
        <v>110</v>
      </c>
      <c r="H4" s="1" t="s">
        <v>125</v>
      </c>
      <c r="I4" s="1" t="s">
        <v>138</v>
      </c>
      <c r="J4" s="39"/>
    </row>
    <row r="5" spans="2:10" x14ac:dyDescent="0.45">
      <c r="B5" s="39"/>
      <c r="C5" s="1" t="s">
        <v>114</v>
      </c>
      <c r="D5" s="1">
        <v>5</v>
      </c>
      <c r="E5" s="85">
        <v>1000000</v>
      </c>
      <c r="F5" s="1" t="s">
        <v>111</v>
      </c>
      <c r="G5" s="1" t="s">
        <v>120</v>
      </c>
      <c r="H5" s="84" t="s">
        <v>126</v>
      </c>
      <c r="I5" s="87" t="b">
        <v>0</v>
      </c>
      <c r="J5" s="39"/>
    </row>
    <row r="6" spans="2:10" x14ac:dyDescent="0.45">
      <c r="B6" s="39"/>
      <c r="C6" s="1" t="s">
        <v>114</v>
      </c>
      <c r="D6" s="1">
        <v>5</v>
      </c>
      <c r="E6" s="85">
        <v>1000000</v>
      </c>
      <c r="F6" s="1" t="s">
        <v>112</v>
      </c>
      <c r="G6" s="1" t="s">
        <v>121</v>
      </c>
      <c r="H6" s="84" t="s">
        <v>126</v>
      </c>
      <c r="I6" s="87" t="b">
        <v>0</v>
      </c>
      <c r="J6" s="39"/>
    </row>
    <row r="7" spans="2:10" x14ac:dyDescent="0.45">
      <c r="B7" s="39"/>
      <c r="C7" s="1" t="s">
        <v>115</v>
      </c>
      <c r="D7" s="1">
        <v>3.5</v>
      </c>
      <c r="E7" s="85">
        <v>500000</v>
      </c>
      <c r="F7" s="1" t="s">
        <v>113</v>
      </c>
      <c r="G7" s="1" t="s">
        <v>122</v>
      </c>
      <c r="H7" s="84" t="s">
        <v>126</v>
      </c>
      <c r="I7" s="87" t="b">
        <v>0</v>
      </c>
      <c r="J7" s="39"/>
    </row>
    <row r="8" spans="2:10" x14ac:dyDescent="0.45">
      <c r="B8" s="39"/>
      <c r="C8" s="1" t="s">
        <v>116</v>
      </c>
      <c r="D8" s="1">
        <v>4.5</v>
      </c>
      <c r="E8" s="85">
        <v>2000000</v>
      </c>
      <c r="F8" s="1" t="s">
        <v>117</v>
      </c>
      <c r="G8" s="1" t="s">
        <v>123</v>
      </c>
      <c r="H8" s="84" t="s">
        <v>126</v>
      </c>
      <c r="I8" s="87" t="b">
        <v>0</v>
      </c>
      <c r="J8" s="39"/>
    </row>
    <row r="9" spans="2:10" x14ac:dyDescent="0.45">
      <c r="B9" s="39"/>
      <c r="C9" s="1" t="s">
        <v>116</v>
      </c>
      <c r="D9" s="1">
        <v>4.5</v>
      </c>
      <c r="E9" s="85">
        <v>2000000</v>
      </c>
      <c r="F9" s="1" t="s">
        <v>118</v>
      </c>
      <c r="G9" s="1" t="s">
        <v>121</v>
      </c>
      <c r="H9" s="84" t="s">
        <v>126</v>
      </c>
      <c r="I9" s="87" t="b">
        <v>0</v>
      </c>
      <c r="J9" s="39"/>
    </row>
    <row r="10" spans="2:10" x14ac:dyDescent="0.45">
      <c r="B10" s="39"/>
      <c r="C10" s="1" t="s">
        <v>116</v>
      </c>
      <c r="D10" s="1">
        <v>4.5</v>
      </c>
      <c r="E10" s="85">
        <v>2000000</v>
      </c>
      <c r="F10" s="1" t="s">
        <v>119</v>
      </c>
      <c r="G10" s="1" t="s">
        <v>124</v>
      </c>
      <c r="H10" s="84" t="s">
        <v>126</v>
      </c>
      <c r="I10" s="87" t="b">
        <v>0</v>
      </c>
      <c r="J10" s="39"/>
    </row>
    <row r="11" spans="2:10" ht="14.65" thickBot="1" x14ac:dyDescent="0.5">
      <c r="B11" s="39"/>
      <c r="C11" s="39"/>
      <c r="D11" s="39"/>
      <c r="E11" s="39"/>
      <c r="F11" s="39"/>
      <c r="G11" s="39"/>
      <c r="H11" s="39"/>
      <c r="I11" s="39"/>
      <c r="J11" s="39"/>
    </row>
    <row r="12" spans="2:10" ht="15" thickTop="1" thickBot="1" x14ac:dyDescent="0.5">
      <c r="B12" s="39"/>
      <c r="C12" s="39"/>
      <c r="D12" s="39"/>
      <c r="E12" s="126" t="s">
        <v>139</v>
      </c>
      <c r="F12" s="126"/>
      <c r="G12" s="126"/>
      <c r="H12" s="39"/>
      <c r="I12" s="39"/>
      <c r="J12" s="39"/>
    </row>
    <row r="13" spans="2:10" ht="15" thickTop="1" thickBot="1" x14ac:dyDescent="0.5">
      <c r="B13" s="39"/>
      <c r="C13" s="39"/>
      <c r="D13" s="39"/>
      <c r="E13" s="126"/>
      <c r="F13" s="126"/>
      <c r="G13" s="126"/>
      <c r="H13" s="39"/>
      <c r="I13" s="39"/>
      <c r="J13" s="39"/>
    </row>
    <row r="14" spans="2:10" ht="15" thickTop="1" thickBot="1" x14ac:dyDescent="0.5">
      <c r="B14" s="39"/>
      <c r="C14" s="39"/>
      <c r="D14" s="39"/>
      <c r="E14" s="126"/>
      <c r="F14" s="126"/>
      <c r="G14" s="126"/>
      <c r="H14" s="39"/>
      <c r="I14" s="39"/>
      <c r="J14" s="39"/>
    </row>
    <row r="15" spans="2:10" ht="14.65" thickTop="1" x14ac:dyDescent="0.45">
      <c r="B15" s="39"/>
      <c r="C15" s="39"/>
      <c r="D15" s="39"/>
      <c r="E15" s="39"/>
      <c r="F15" s="39"/>
      <c r="G15" s="39"/>
      <c r="H15" s="39"/>
      <c r="I15" s="39"/>
      <c r="J15" s="39"/>
    </row>
    <row r="16" spans="2:10" x14ac:dyDescent="0.45">
      <c r="B16" s="39"/>
      <c r="C16" s="39"/>
      <c r="D16" s="39"/>
      <c r="E16" s="39"/>
      <c r="F16" s="39"/>
      <c r="G16" s="39"/>
      <c r="H16" s="39"/>
      <c r="I16" s="39"/>
      <c r="J16" s="39"/>
    </row>
  </sheetData>
  <mergeCells count="1">
    <mergeCell ref="E12:G14"/>
  </mergeCells>
  <hyperlinks>
    <hyperlink ref="B2" location="'Return Simulator'!A1" display="Back" xr:uid="{CD717986-72EA-41A6-BDFE-494EB8368823}"/>
    <hyperlink ref="E12:G14" location="'Policy Execution'!A1" display="Begin Policy Execution" xr:uid="{6F7F6578-8969-4A77-AB96-857338D84A88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F378-C472-4C9D-A078-7776C2A8AFB0}">
  <dimension ref="B1:N10"/>
  <sheetViews>
    <sheetView workbookViewId="0">
      <selection activeCell="G3" sqref="G3:N7"/>
    </sheetView>
  </sheetViews>
  <sheetFormatPr defaultRowHeight="14.25" x14ac:dyDescent="0.45"/>
  <cols>
    <col min="1" max="1" width="2.265625" style="34" customWidth="1"/>
    <col min="2" max="2" width="5.86328125" style="34" customWidth="1"/>
    <col min="3" max="3" width="88.265625" style="34" customWidth="1"/>
    <col min="4" max="4" width="18.9296875" style="34" customWidth="1"/>
    <col min="5" max="5" width="5.86328125" style="34" customWidth="1"/>
    <col min="6" max="16384" width="9.06640625" style="34"/>
  </cols>
  <sheetData>
    <row r="1" spans="2:14" ht="10.5" customHeight="1" x14ac:dyDescent="0.45"/>
    <row r="2" spans="2:14" ht="10.5" customHeight="1" x14ac:dyDescent="0.45">
      <c r="B2" s="86" t="s">
        <v>137</v>
      </c>
      <c r="C2" s="39"/>
      <c r="D2" s="39"/>
      <c r="E2" s="39"/>
    </row>
    <row r="3" spans="2:14" ht="10.5" customHeight="1" x14ac:dyDescent="0.45">
      <c r="B3" s="39"/>
      <c r="C3" s="39"/>
      <c r="D3" s="39"/>
      <c r="E3" s="39"/>
      <c r="G3" s="176" t="s">
        <v>174</v>
      </c>
      <c r="H3" s="176"/>
      <c r="I3" s="176"/>
      <c r="J3" s="176"/>
      <c r="K3" s="176"/>
      <c r="L3" s="176"/>
      <c r="M3" s="176"/>
      <c r="N3" s="176"/>
    </row>
    <row r="4" spans="2:14" x14ac:dyDescent="0.45">
      <c r="B4" s="39"/>
      <c r="C4" s="1" t="s">
        <v>127</v>
      </c>
      <c r="D4" s="1" t="s">
        <v>125</v>
      </c>
      <c r="E4" s="39"/>
      <c r="G4" s="176"/>
      <c r="H4" s="176"/>
      <c r="I4" s="176"/>
      <c r="J4" s="176"/>
      <c r="K4" s="176"/>
      <c r="L4" s="176"/>
      <c r="M4" s="176"/>
      <c r="N4" s="176"/>
    </row>
    <row r="5" spans="2:14" x14ac:dyDescent="0.45">
      <c r="B5" s="39"/>
      <c r="C5" s="1" t="s">
        <v>128</v>
      </c>
      <c r="D5" s="84" t="s">
        <v>126</v>
      </c>
      <c r="E5" s="39"/>
      <c r="G5" s="176"/>
      <c r="H5" s="176"/>
      <c r="I5" s="176"/>
      <c r="J5" s="176"/>
      <c r="K5" s="176"/>
      <c r="L5" s="176"/>
      <c r="M5" s="176"/>
      <c r="N5" s="176"/>
    </row>
    <row r="6" spans="2:14" x14ac:dyDescent="0.45">
      <c r="B6" s="39"/>
      <c r="C6" s="1" t="s">
        <v>129</v>
      </c>
      <c r="D6" s="84" t="s">
        <v>126</v>
      </c>
      <c r="E6" s="39"/>
      <c r="G6" s="176"/>
      <c r="H6" s="176"/>
      <c r="I6" s="176"/>
      <c r="J6" s="176"/>
      <c r="K6" s="176"/>
      <c r="L6" s="176"/>
      <c r="M6" s="176"/>
      <c r="N6" s="176"/>
    </row>
    <row r="7" spans="2:14" x14ac:dyDescent="0.45">
      <c r="B7" s="39"/>
      <c r="C7" s="1" t="s">
        <v>130</v>
      </c>
      <c r="D7" s="84" t="s">
        <v>126</v>
      </c>
      <c r="E7" s="39"/>
      <c r="G7" s="176"/>
      <c r="H7" s="176"/>
      <c r="I7" s="176"/>
      <c r="J7" s="176"/>
      <c r="K7" s="176"/>
      <c r="L7" s="176"/>
      <c r="M7" s="176"/>
      <c r="N7" s="176"/>
    </row>
    <row r="8" spans="2:14" x14ac:dyDescent="0.45">
      <c r="B8" s="39"/>
      <c r="C8" s="1" t="s">
        <v>131</v>
      </c>
      <c r="D8" s="84" t="s">
        <v>126</v>
      </c>
      <c r="E8" s="39"/>
    </row>
    <row r="9" spans="2:14" x14ac:dyDescent="0.45">
      <c r="B9" s="39"/>
      <c r="C9" s="1" t="s">
        <v>132</v>
      </c>
      <c r="D9" s="84" t="s">
        <v>126</v>
      </c>
      <c r="E9" s="39"/>
    </row>
    <row r="10" spans="2:14" x14ac:dyDescent="0.45">
      <c r="B10" s="39"/>
      <c r="C10" s="39"/>
      <c r="D10" s="39"/>
      <c r="E10" s="39"/>
    </row>
  </sheetData>
  <mergeCells count="1">
    <mergeCell ref="G3:N7"/>
  </mergeCells>
  <hyperlinks>
    <hyperlink ref="B2" location="'Return Simulator'!A1" display="Back" xr:uid="{42A75975-DD17-4599-9182-676B3443BE4B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8ECF-DD21-4928-B829-2644D437ECE3}">
  <dimension ref="B1:N10"/>
  <sheetViews>
    <sheetView workbookViewId="0">
      <selection activeCell="G10" sqref="G10"/>
    </sheetView>
  </sheetViews>
  <sheetFormatPr defaultRowHeight="14.25" x14ac:dyDescent="0.45"/>
  <cols>
    <col min="1" max="1" width="2.265625" style="34" customWidth="1"/>
    <col min="2" max="2" width="6" style="34" customWidth="1"/>
    <col min="3" max="3" width="88.265625" style="34" customWidth="1"/>
    <col min="4" max="4" width="18.9296875" style="34" customWidth="1"/>
    <col min="5" max="5" width="6" style="34" customWidth="1"/>
    <col min="6" max="16384" width="9.06640625" style="34"/>
  </cols>
  <sheetData>
    <row r="1" spans="2:14" ht="10.5" customHeight="1" x14ac:dyDescent="0.45"/>
    <row r="2" spans="2:14" ht="11.25" customHeight="1" x14ac:dyDescent="0.45">
      <c r="B2" s="86" t="s">
        <v>137</v>
      </c>
      <c r="C2" s="39"/>
      <c r="D2" s="39"/>
      <c r="E2" s="39"/>
    </row>
    <row r="3" spans="2:14" ht="10.5" customHeight="1" x14ac:dyDescent="0.45">
      <c r="B3" s="39"/>
      <c r="C3" s="39"/>
      <c r="D3" s="39"/>
      <c r="E3" s="39"/>
      <c r="G3" s="176" t="s">
        <v>175</v>
      </c>
      <c r="H3" s="176"/>
      <c r="I3" s="176"/>
      <c r="J3" s="176"/>
      <c r="K3" s="176"/>
      <c r="L3" s="176"/>
      <c r="M3" s="176"/>
      <c r="N3" s="176"/>
    </row>
    <row r="4" spans="2:14" x14ac:dyDescent="0.45">
      <c r="B4" s="39"/>
      <c r="C4" s="1" t="s">
        <v>127</v>
      </c>
      <c r="D4" s="1" t="s">
        <v>133</v>
      </c>
      <c r="E4" s="39"/>
      <c r="G4" s="176"/>
      <c r="H4" s="176"/>
      <c r="I4" s="176"/>
      <c r="J4" s="176"/>
      <c r="K4" s="176"/>
      <c r="L4" s="176"/>
      <c r="M4" s="176"/>
      <c r="N4" s="176"/>
    </row>
    <row r="5" spans="2:14" x14ac:dyDescent="0.45">
      <c r="B5" s="39"/>
      <c r="C5" s="1" t="s">
        <v>136</v>
      </c>
      <c r="D5" s="84" t="s">
        <v>126</v>
      </c>
      <c r="E5" s="39"/>
      <c r="G5" s="176"/>
      <c r="H5" s="176"/>
      <c r="I5" s="176"/>
      <c r="J5" s="176"/>
      <c r="K5" s="176"/>
      <c r="L5" s="176"/>
      <c r="M5" s="176"/>
      <c r="N5" s="176"/>
    </row>
    <row r="6" spans="2:14" x14ac:dyDescent="0.45">
      <c r="B6" s="39"/>
      <c r="C6" s="1" t="s">
        <v>134</v>
      </c>
      <c r="D6" s="84" t="s">
        <v>126</v>
      </c>
      <c r="E6" s="39"/>
      <c r="G6" s="176"/>
      <c r="H6" s="176"/>
      <c r="I6" s="176"/>
      <c r="J6" s="176"/>
      <c r="K6" s="176"/>
      <c r="L6" s="176"/>
      <c r="M6" s="176"/>
      <c r="N6" s="176"/>
    </row>
    <row r="7" spans="2:14" x14ac:dyDescent="0.45">
      <c r="B7" s="39"/>
      <c r="C7" s="1" t="s">
        <v>135</v>
      </c>
      <c r="D7" s="84" t="s">
        <v>126</v>
      </c>
      <c r="E7" s="39"/>
      <c r="G7" s="176"/>
      <c r="H7" s="176"/>
      <c r="I7" s="176"/>
      <c r="J7" s="176"/>
      <c r="K7" s="176"/>
      <c r="L7" s="176"/>
      <c r="M7" s="176"/>
      <c r="N7" s="176"/>
    </row>
    <row r="8" spans="2:14" hidden="1" x14ac:dyDescent="0.45">
      <c r="B8" s="39"/>
      <c r="C8" s="1" t="s">
        <v>131</v>
      </c>
      <c r="D8" s="84" t="s">
        <v>126</v>
      </c>
      <c r="E8" s="39"/>
    </row>
    <row r="9" spans="2:14" hidden="1" x14ac:dyDescent="0.45">
      <c r="B9" s="39"/>
      <c r="C9" s="1" t="s">
        <v>132</v>
      </c>
      <c r="D9" s="84" t="s">
        <v>126</v>
      </c>
      <c r="E9" s="39"/>
    </row>
    <row r="10" spans="2:14" x14ac:dyDescent="0.45">
      <c r="B10" s="39"/>
      <c r="C10" s="39"/>
      <c r="D10" s="39"/>
      <c r="E10" s="39"/>
    </row>
  </sheetData>
  <mergeCells count="1">
    <mergeCell ref="G3:N7"/>
  </mergeCells>
  <hyperlinks>
    <hyperlink ref="B2" location="'Return Simulator'!A1" display="Back" xr:uid="{20DA5036-BCF1-44C2-B3FF-01ABC4A9B0F9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9DDE-000A-40F3-A9CC-1355F90135A0}">
  <dimension ref="B1:D14"/>
  <sheetViews>
    <sheetView workbookViewId="0">
      <selection activeCell="C14" sqref="C14"/>
    </sheetView>
  </sheetViews>
  <sheetFormatPr defaultRowHeight="14.25" x14ac:dyDescent="0.45"/>
  <cols>
    <col min="1" max="2" width="2.53125" style="34" customWidth="1"/>
    <col min="3" max="3" width="128.86328125" style="34" bestFit="1" customWidth="1"/>
    <col min="4" max="16384" width="9.06640625" style="34"/>
  </cols>
  <sheetData>
    <row r="1" spans="2:4" ht="12" customHeight="1" x14ac:dyDescent="0.45"/>
    <row r="2" spans="2:4" ht="12" customHeight="1" x14ac:dyDescent="0.45">
      <c r="B2" s="39"/>
      <c r="C2" s="39"/>
      <c r="D2" s="39"/>
    </row>
    <row r="3" spans="2:4" ht="17.649999999999999" x14ac:dyDescent="0.45">
      <c r="B3" s="39"/>
      <c r="C3" s="89" t="s">
        <v>140</v>
      </c>
      <c r="D3" s="39"/>
    </row>
    <row r="4" spans="2:4" x14ac:dyDescent="0.45">
      <c r="B4" s="39"/>
      <c r="C4" s="90" t="s">
        <v>141</v>
      </c>
      <c r="D4" s="39"/>
    </row>
    <row r="5" spans="2:4" x14ac:dyDescent="0.45">
      <c r="B5" s="39"/>
      <c r="C5" s="90" t="s">
        <v>142</v>
      </c>
      <c r="D5" s="39"/>
    </row>
    <row r="6" spans="2:4" x14ac:dyDescent="0.45">
      <c r="B6" s="39"/>
      <c r="C6" s="90" t="s">
        <v>143</v>
      </c>
      <c r="D6" s="39"/>
    </row>
    <row r="7" spans="2:4" x14ac:dyDescent="0.45">
      <c r="B7" s="39"/>
      <c r="C7" s="90" t="s">
        <v>144</v>
      </c>
      <c r="D7" s="39"/>
    </row>
    <row r="8" spans="2:4" x14ac:dyDescent="0.45">
      <c r="B8" s="39"/>
      <c r="C8" s="90" t="s">
        <v>145</v>
      </c>
      <c r="D8" s="39"/>
    </row>
    <row r="9" spans="2:4" x14ac:dyDescent="0.45">
      <c r="B9" s="39"/>
      <c r="C9" s="90" t="s">
        <v>146</v>
      </c>
      <c r="D9" s="39"/>
    </row>
    <row r="10" spans="2:4" x14ac:dyDescent="0.45">
      <c r="B10" s="39"/>
      <c r="C10" s="91"/>
      <c r="D10" s="39"/>
    </row>
    <row r="11" spans="2:4" x14ac:dyDescent="0.45">
      <c r="B11" s="39"/>
      <c r="C11" s="39"/>
      <c r="D11" s="39"/>
    </row>
    <row r="12" spans="2:4" x14ac:dyDescent="0.45">
      <c r="C12" s="88"/>
    </row>
    <row r="13" spans="2:4" x14ac:dyDescent="0.45">
      <c r="C13" s="104" t="s">
        <v>176</v>
      </c>
    </row>
    <row r="14" spans="2:4" x14ac:dyDescent="0.45">
      <c r="C14" s="8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E081-60B3-428C-888D-D73A970F203A}">
  <dimension ref="B1:X32"/>
  <sheetViews>
    <sheetView workbookViewId="0">
      <selection activeCell="U4" sqref="U4"/>
    </sheetView>
  </sheetViews>
  <sheetFormatPr defaultRowHeight="14.25" x14ac:dyDescent="0.45"/>
  <cols>
    <col min="1" max="2" width="2.9296875" style="34" customWidth="1"/>
    <col min="3" max="3" width="1.265625" style="34" customWidth="1"/>
    <col min="4" max="4" width="1.796875" style="34" customWidth="1"/>
    <col min="5" max="5" width="15" style="34" customWidth="1"/>
    <col min="6" max="23" width="9.06640625" style="34"/>
    <col min="24" max="24" width="14.59765625" style="34" bestFit="1" customWidth="1"/>
    <col min="25" max="16384" width="9.06640625" style="34"/>
  </cols>
  <sheetData>
    <row r="1" spans="2:24" ht="11.35" customHeight="1" thickBot="1" x14ac:dyDescent="0.5"/>
    <row r="2" spans="2:24" ht="11.35" customHeight="1" thickBot="1" x14ac:dyDescent="0.5"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1"/>
    </row>
    <row r="3" spans="2:24" ht="14.65" thickBot="1" x14ac:dyDescent="0.5">
      <c r="B3" s="40"/>
      <c r="C3" s="39"/>
      <c r="D3" s="39"/>
      <c r="E3" s="192" t="s">
        <v>147</v>
      </c>
      <c r="F3" s="193"/>
      <c r="G3" s="183">
        <v>25000000</v>
      </c>
      <c r="H3" s="184"/>
      <c r="I3" s="185"/>
      <c r="J3" s="39"/>
      <c r="K3" s="198" t="s">
        <v>152</v>
      </c>
      <c r="L3" s="199"/>
      <c r="M3" s="199"/>
      <c r="N3" s="199"/>
      <c r="O3" s="199"/>
      <c r="P3" s="199"/>
      <c r="Q3" s="199"/>
      <c r="R3" s="200"/>
      <c r="S3" s="38"/>
      <c r="U3" s="104" t="s">
        <v>169</v>
      </c>
    </row>
    <row r="4" spans="2:24" ht="14.65" thickBot="1" x14ac:dyDescent="0.5">
      <c r="B4" s="40"/>
      <c r="C4" s="39"/>
      <c r="D4" s="39"/>
      <c r="E4" s="194"/>
      <c r="F4" s="195"/>
      <c r="G4" s="186"/>
      <c r="H4" s="187"/>
      <c r="I4" s="188"/>
      <c r="J4" s="39"/>
      <c r="K4" s="39"/>
      <c r="L4" s="39"/>
      <c r="M4" s="39"/>
      <c r="N4" s="39"/>
      <c r="O4" s="39"/>
      <c r="P4" s="39"/>
      <c r="Q4" s="39"/>
      <c r="R4" s="39"/>
      <c r="S4" s="38"/>
    </row>
    <row r="5" spans="2:24" ht="15" thickTop="1" thickBot="1" x14ac:dyDescent="0.5">
      <c r="B5" s="40"/>
      <c r="C5" s="39"/>
      <c r="D5" s="39"/>
      <c r="E5" s="196"/>
      <c r="F5" s="197"/>
      <c r="G5" s="189"/>
      <c r="H5" s="190"/>
      <c r="I5" s="191"/>
      <c r="J5" s="39"/>
      <c r="K5" s="201" t="s">
        <v>153</v>
      </c>
      <c r="L5" s="201"/>
      <c r="M5" s="201"/>
      <c r="N5" s="201"/>
      <c r="O5" s="201"/>
      <c r="P5" s="201"/>
      <c r="Q5" s="201"/>
      <c r="R5" s="201"/>
      <c r="S5" s="38"/>
    </row>
    <row r="6" spans="2:24" ht="14.65" thickBot="1" x14ac:dyDescent="0.5">
      <c r="B6" s="40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8"/>
    </row>
    <row r="7" spans="2:24" ht="15" thickTop="1" thickBot="1" x14ac:dyDescent="0.5">
      <c r="B7" s="40"/>
      <c r="C7" s="39"/>
      <c r="D7" s="39"/>
      <c r="E7" s="192" t="s">
        <v>151</v>
      </c>
      <c r="F7" s="193"/>
      <c r="G7" s="95"/>
      <c r="H7" s="96"/>
      <c r="I7" s="97"/>
      <c r="J7" s="39"/>
      <c r="K7" s="201" t="s">
        <v>154</v>
      </c>
      <c r="L7" s="201"/>
      <c r="M7" s="201"/>
      <c r="N7" s="201"/>
      <c r="O7" s="201"/>
      <c r="P7" s="201"/>
      <c r="Q7" s="201"/>
      <c r="R7" s="201"/>
      <c r="S7" s="38"/>
    </row>
    <row r="8" spans="2:24" ht="15" thickTop="1" thickBot="1" x14ac:dyDescent="0.5">
      <c r="B8" s="40"/>
      <c r="C8" s="39"/>
      <c r="D8" s="39"/>
      <c r="E8" s="194"/>
      <c r="F8" s="195"/>
      <c r="G8" s="98"/>
      <c r="H8" s="99"/>
      <c r="I8" s="100"/>
      <c r="J8" s="39"/>
      <c r="K8" s="39"/>
      <c r="L8" s="39"/>
      <c r="M8" s="92"/>
      <c r="N8" s="39"/>
      <c r="O8" s="39"/>
      <c r="P8" s="39"/>
      <c r="Q8" s="39"/>
      <c r="R8" s="39"/>
      <c r="S8" s="38"/>
    </row>
    <row r="9" spans="2:24" ht="15" thickTop="1" thickBot="1" x14ac:dyDescent="0.5">
      <c r="B9" s="40"/>
      <c r="C9" s="39"/>
      <c r="D9" s="39"/>
      <c r="E9" s="194"/>
      <c r="F9" s="195"/>
      <c r="G9" s="98"/>
      <c r="H9" s="99"/>
      <c r="I9" s="100"/>
      <c r="J9" s="39"/>
      <c r="K9" s="201" t="s">
        <v>156</v>
      </c>
      <c r="L9" s="201"/>
      <c r="M9" s="201"/>
      <c r="N9" s="201"/>
      <c r="O9" s="201"/>
      <c r="P9" s="201"/>
      <c r="Q9" s="201"/>
      <c r="R9" s="201"/>
      <c r="S9" s="38"/>
    </row>
    <row r="10" spans="2:24" ht="15" thickTop="1" thickBot="1" x14ac:dyDescent="0.5">
      <c r="B10" s="40"/>
      <c r="C10" s="39"/>
      <c r="D10" s="39"/>
      <c r="E10" s="194"/>
      <c r="F10" s="195"/>
      <c r="G10" s="98"/>
      <c r="H10" s="99"/>
      <c r="I10" s="100"/>
      <c r="J10" s="39"/>
      <c r="K10" s="39"/>
      <c r="L10" s="39"/>
      <c r="M10" s="39"/>
      <c r="N10" s="39"/>
      <c r="O10" s="39"/>
      <c r="P10" s="39"/>
      <c r="Q10" s="39"/>
      <c r="R10" s="39"/>
      <c r="S10" s="38"/>
    </row>
    <row r="11" spans="2:24" ht="15" thickTop="1" thickBot="1" x14ac:dyDescent="0.5">
      <c r="B11" s="40"/>
      <c r="C11" s="39"/>
      <c r="D11" s="39"/>
      <c r="E11" s="194"/>
      <c r="F11" s="195"/>
      <c r="G11" s="98"/>
      <c r="H11" s="99"/>
      <c r="I11" s="100"/>
      <c r="J11" s="39"/>
      <c r="K11" s="201" t="s">
        <v>157</v>
      </c>
      <c r="L11" s="201"/>
      <c r="M11" s="201"/>
      <c r="N11" s="201"/>
      <c r="O11" s="201"/>
      <c r="P11" s="201"/>
      <c r="Q11" s="201"/>
      <c r="R11" s="201"/>
      <c r="S11" s="38"/>
      <c r="W11" s="34" t="s">
        <v>148</v>
      </c>
      <c r="X11" s="93">
        <f>25%*$G$3</f>
        <v>6250000</v>
      </c>
    </row>
    <row r="12" spans="2:24" ht="15" thickTop="1" thickBot="1" x14ac:dyDescent="0.5">
      <c r="B12" s="40"/>
      <c r="C12" s="39"/>
      <c r="D12" s="39"/>
      <c r="E12" s="194"/>
      <c r="F12" s="195"/>
      <c r="G12" s="98"/>
      <c r="H12" s="99"/>
      <c r="I12" s="100"/>
      <c r="J12" s="39"/>
      <c r="K12" s="39"/>
      <c r="L12" s="39"/>
      <c r="M12" s="39"/>
      <c r="N12" s="39"/>
      <c r="O12" s="39"/>
      <c r="P12" s="39"/>
      <c r="Q12" s="39"/>
      <c r="R12" s="39"/>
      <c r="S12" s="38"/>
      <c r="W12" s="34" t="s">
        <v>149</v>
      </c>
      <c r="X12" s="93">
        <f>30%*$G$3</f>
        <v>7500000</v>
      </c>
    </row>
    <row r="13" spans="2:24" ht="15" thickTop="1" thickBot="1" x14ac:dyDescent="0.5">
      <c r="B13" s="40"/>
      <c r="C13" s="39"/>
      <c r="D13" s="39"/>
      <c r="E13" s="194"/>
      <c r="F13" s="195"/>
      <c r="G13" s="98"/>
      <c r="H13" s="99"/>
      <c r="I13" s="100"/>
      <c r="J13" s="39"/>
      <c r="K13" s="201" t="s">
        <v>158</v>
      </c>
      <c r="L13" s="201"/>
      <c r="M13" s="201"/>
      <c r="N13" s="201"/>
      <c r="O13" s="201"/>
      <c r="P13" s="201"/>
      <c r="Q13" s="201"/>
      <c r="R13" s="201"/>
      <c r="S13" s="38"/>
      <c r="W13" s="34" t="s">
        <v>150</v>
      </c>
      <c r="X13" s="93">
        <f>45%*$G$3</f>
        <v>11250000</v>
      </c>
    </row>
    <row r="14" spans="2:24" ht="15" thickTop="1" thickBot="1" x14ac:dyDescent="0.5">
      <c r="B14" s="40"/>
      <c r="C14" s="39"/>
      <c r="D14" s="39"/>
      <c r="E14" s="194"/>
      <c r="F14" s="195"/>
      <c r="G14" s="98"/>
      <c r="H14" s="99"/>
      <c r="I14" s="100"/>
      <c r="J14" s="39"/>
      <c r="K14" s="39"/>
      <c r="L14" s="39"/>
      <c r="M14" s="39"/>
      <c r="N14" s="39"/>
      <c r="O14" s="39"/>
      <c r="P14" s="39"/>
      <c r="Q14" s="39"/>
      <c r="R14" s="39"/>
      <c r="S14" s="38"/>
    </row>
    <row r="15" spans="2:24" ht="14.65" thickBot="1" x14ac:dyDescent="0.5">
      <c r="B15" s="40"/>
      <c r="C15" s="39"/>
      <c r="D15" s="39"/>
      <c r="E15" s="196"/>
      <c r="F15" s="197"/>
      <c r="G15" s="101"/>
      <c r="H15" s="102"/>
      <c r="I15" s="103"/>
      <c r="J15" s="39"/>
      <c r="K15" s="39"/>
      <c r="L15" s="39"/>
      <c r="M15" s="39"/>
      <c r="N15" s="39"/>
      <c r="O15" s="177" t="s">
        <v>155</v>
      </c>
      <c r="P15" s="178"/>
      <c r="Q15" s="178"/>
      <c r="R15" s="179"/>
      <c r="S15" s="38"/>
    </row>
    <row r="16" spans="2:24" ht="14.65" thickBot="1" x14ac:dyDescent="0.5">
      <c r="B16" s="40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180"/>
      <c r="P16" s="181"/>
      <c r="Q16" s="181"/>
      <c r="R16" s="182"/>
      <c r="S16" s="38"/>
    </row>
    <row r="17" spans="2:24" x14ac:dyDescent="0.45">
      <c r="B17" s="40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8"/>
      <c r="W17" s="34">
        <v>1</v>
      </c>
      <c r="X17" s="94">
        <v>10000000</v>
      </c>
    </row>
    <row r="18" spans="2:24" x14ac:dyDescent="0.45">
      <c r="B18" s="40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8"/>
      <c r="W18" s="34">
        <v>5</v>
      </c>
      <c r="X18" s="94">
        <f>X17*1.4</f>
        <v>14000000</v>
      </c>
    </row>
    <row r="19" spans="2:24" x14ac:dyDescent="0.45">
      <c r="B19" s="4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8"/>
      <c r="W19" s="34">
        <v>10</v>
      </c>
      <c r="X19" s="94">
        <f t="shared" ref="X19" si="0">X18*1.4</f>
        <v>19600000</v>
      </c>
    </row>
    <row r="20" spans="2:24" x14ac:dyDescent="0.45">
      <c r="B20" s="40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8"/>
      <c r="W20" s="34">
        <v>15</v>
      </c>
      <c r="X20" s="94">
        <v>25000000</v>
      </c>
    </row>
    <row r="21" spans="2:24" x14ac:dyDescent="0.45">
      <c r="B21" s="40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8"/>
    </row>
    <row r="22" spans="2:24" x14ac:dyDescent="0.45">
      <c r="B22" s="40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8"/>
    </row>
    <row r="23" spans="2:24" x14ac:dyDescent="0.45">
      <c r="B23" s="40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8"/>
    </row>
    <row r="24" spans="2:24" x14ac:dyDescent="0.45">
      <c r="B24" s="40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8"/>
    </row>
    <row r="25" spans="2:24" x14ac:dyDescent="0.45">
      <c r="B25" s="40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8"/>
    </row>
    <row r="26" spans="2:24" x14ac:dyDescent="0.45">
      <c r="B26" s="40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8"/>
    </row>
    <row r="27" spans="2:24" x14ac:dyDescent="0.45">
      <c r="B27" s="40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8"/>
    </row>
    <row r="28" spans="2:24" x14ac:dyDescent="0.45">
      <c r="B28" s="40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8"/>
    </row>
    <row r="29" spans="2:24" x14ac:dyDescent="0.45">
      <c r="B29" s="4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8"/>
    </row>
    <row r="30" spans="2:24" x14ac:dyDescent="0.45">
      <c r="B30" s="4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8"/>
    </row>
    <row r="31" spans="2:24" x14ac:dyDescent="0.45">
      <c r="B31" s="40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8"/>
    </row>
    <row r="32" spans="2:24" ht="14.65" thickBot="1" x14ac:dyDescent="0.5">
      <c r="B32" s="3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5"/>
    </row>
  </sheetData>
  <mergeCells count="10">
    <mergeCell ref="O15:R16"/>
    <mergeCell ref="G3:I5"/>
    <mergeCell ref="E3:F5"/>
    <mergeCell ref="E7:F15"/>
    <mergeCell ref="K3:R3"/>
    <mergeCell ref="K13:R13"/>
    <mergeCell ref="K11:R11"/>
    <mergeCell ref="K9:R9"/>
    <mergeCell ref="K7:R7"/>
    <mergeCell ref="K5:R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D102-55FA-405D-9097-E86F8C27836D}">
  <sheetPr>
    <tabColor theme="0" tint="-0.499984740745262"/>
  </sheetPr>
  <dimension ref="A1"/>
  <sheetViews>
    <sheetView workbookViewId="0">
      <selection activeCell="D34" sqref="D34"/>
    </sheetView>
  </sheetViews>
  <sheetFormatPr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276A-3CC2-4145-8941-1E36465CC5E9}">
  <sheetPr>
    <tabColor theme="0" tint="-0.499984740745262"/>
  </sheetPr>
  <dimension ref="A1:N27"/>
  <sheetViews>
    <sheetView topLeftCell="F1" workbookViewId="0"/>
  </sheetViews>
  <sheetFormatPr defaultRowHeight="14.25" x14ac:dyDescent="0.45"/>
  <cols>
    <col min="1" max="1" width="12.59765625" bestFit="1" customWidth="1"/>
    <col min="2" max="2" width="21.1328125" bestFit="1" customWidth="1"/>
    <col min="3" max="6" width="31.265625" bestFit="1" customWidth="1"/>
    <col min="7" max="8" width="13.59765625" bestFit="1" customWidth="1"/>
    <col min="9" max="9" width="12.59765625" bestFit="1" customWidth="1"/>
    <col min="10" max="10" width="21.1328125" bestFit="1" customWidth="1"/>
    <col min="11" max="14" width="31.265625" bestFit="1" customWidth="1"/>
    <col min="15" max="45" width="13.59765625" bestFit="1" customWidth="1"/>
    <col min="46" max="51" width="14.59765625" bestFit="1" customWidth="1"/>
    <col min="52" max="52" width="21.796875" bestFit="1" customWidth="1"/>
    <col min="53" max="93" width="13.59765625" bestFit="1" customWidth="1"/>
    <col min="94" max="101" width="14.59765625" bestFit="1" customWidth="1"/>
    <col min="102" max="102" width="34.86328125" bestFit="1" customWidth="1"/>
    <col min="103" max="145" width="13.59765625" bestFit="1" customWidth="1"/>
    <col min="146" max="151" width="14.59765625" bestFit="1" customWidth="1"/>
    <col min="152" max="152" width="32.06640625" bestFit="1" customWidth="1"/>
    <col min="153" max="191" width="13.59765625" bestFit="1" customWidth="1"/>
    <col min="192" max="201" width="14.59765625" bestFit="1" customWidth="1"/>
    <col min="202" max="202" width="29.3984375" bestFit="1" customWidth="1"/>
    <col min="203" max="203" width="26.46484375" bestFit="1" customWidth="1"/>
    <col min="204" max="204" width="39.6640625" bestFit="1" customWidth="1"/>
    <col min="205" max="205" width="36.73046875" bestFit="1" customWidth="1"/>
  </cols>
  <sheetData>
    <row r="1" spans="1:14" x14ac:dyDescent="0.45">
      <c r="A1" t="s">
        <v>76</v>
      </c>
      <c r="I1" t="s">
        <v>77</v>
      </c>
    </row>
    <row r="3" spans="1:14" x14ac:dyDescent="0.45">
      <c r="D3" t="s">
        <v>96</v>
      </c>
      <c r="F3" t="s">
        <v>99</v>
      </c>
      <c r="H3" t="s">
        <v>97</v>
      </c>
      <c r="J3" t="s">
        <v>100</v>
      </c>
      <c r="L3" t="s">
        <v>98</v>
      </c>
    </row>
    <row r="6" spans="1:14" x14ac:dyDescent="0.45">
      <c r="A6" s="13" t="s">
        <v>50</v>
      </c>
      <c r="B6" t="s">
        <v>96</v>
      </c>
      <c r="C6" t="s">
        <v>99</v>
      </c>
      <c r="D6" t="s">
        <v>97</v>
      </c>
      <c r="E6" t="s">
        <v>101</v>
      </c>
      <c r="F6" t="s">
        <v>102</v>
      </c>
      <c r="I6" s="13" t="s">
        <v>50</v>
      </c>
      <c r="J6" t="s">
        <v>96</v>
      </c>
      <c r="K6" t="s">
        <v>99</v>
      </c>
      <c r="L6" t="s">
        <v>97</v>
      </c>
      <c r="M6" t="s">
        <v>101</v>
      </c>
      <c r="N6" t="s">
        <v>102</v>
      </c>
    </row>
    <row r="7" spans="1:14" x14ac:dyDescent="0.45">
      <c r="A7" s="14">
        <v>1</v>
      </c>
      <c r="B7" s="15">
        <v>10495648</v>
      </c>
      <c r="C7" s="15">
        <v>10511483.200000001</v>
      </c>
      <c r="D7" s="15">
        <v>10527318.4</v>
      </c>
      <c r="E7" s="15">
        <v>10543153.6</v>
      </c>
      <c r="F7" s="15">
        <v>10558988.800000001</v>
      </c>
      <c r="I7" s="14">
        <v>1</v>
      </c>
      <c r="J7" s="15">
        <v>10495648</v>
      </c>
      <c r="K7" s="15">
        <v>10511483.200000001</v>
      </c>
      <c r="L7" s="15">
        <v>10527318.4</v>
      </c>
      <c r="M7" s="15">
        <v>10543153.6</v>
      </c>
      <c r="N7" s="15">
        <v>10558988.800000001</v>
      </c>
    </row>
    <row r="8" spans="1:14" x14ac:dyDescent="0.45">
      <c r="A8" s="14">
        <v>2</v>
      </c>
      <c r="B8" s="15">
        <v>11015862.6939904</v>
      </c>
      <c r="C8" s="15">
        <v>11049127.906388225</v>
      </c>
      <c r="D8" s="15">
        <v>11082443.269497856</v>
      </c>
      <c r="E8" s="15">
        <v>11115808.783319294</v>
      </c>
      <c r="F8" s="15">
        <v>11149224.447852544</v>
      </c>
      <c r="I8" s="14">
        <v>2</v>
      </c>
      <c r="J8" s="15">
        <v>11015862.6939904</v>
      </c>
      <c r="K8" s="15">
        <v>11049127.906388225</v>
      </c>
      <c r="L8" s="15">
        <v>11082443.269497856</v>
      </c>
      <c r="M8" s="15">
        <v>11115808.783319294</v>
      </c>
      <c r="N8" s="15">
        <v>11149224.447852544</v>
      </c>
    </row>
    <row r="9" spans="1:14" x14ac:dyDescent="0.45">
      <c r="A9" s="14">
        <v>3</v>
      </c>
      <c r="B9" s="15">
        <v>11561861.725245494</v>
      </c>
      <c r="C9" s="15">
        <v>11614272.236265101</v>
      </c>
      <c r="D9" s="15">
        <v>11666840.894794095</v>
      </c>
      <c r="E9" s="15">
        <v>11719567.939076442</v>
      </c>
      <c r="F9" s="15">
        <v>11772453.60735612</v>
      </c>
      <c r="I9" s="14">
        <v>3</v>
      </c>
      <c r="J9" s="15">
        <v>11561861.725245494</v>
      </c>
      <c r="K9" s="15">
        <v>11614272.236265101</v>
      </c>
      <c r="L9" s="15">
        <v>11666840.894794095</v>
      </c>
      <c r="M9" s="15">
        <v>11719567.939076442</v>
      </c>
      <c r="N9" s="15">
        <v>11772453.60735612</v>
      </c>
    </row>
    <row r="10" spans="1:14" x14ac:dyDescent="0.45">
      <c r="A10" s="14">
        <v>4</v>
      </c>
      <c r="B10" s="15">
        <v>12134923.089284942</v>
      </c>
      <c r="C10" s="15">
        <v>12208322.749172704</v>
      </c>
      <c r="D10" s="15">
        <v>12282054.882163836</v>
      </c>
      <c r="E10" s="15">
        <v>12356120.490731837</v>
      </c>
      <c r="F10" s="15">
        <v>12430520.578859286</v>
      </c>
      <c r="I10" s="14">
        <v>4</v>
      </c>
      <c r="J10" s="15">
        <v>12134923.089284942</v>
      </c>
      <c r="K10" s="15">
        <v>12208322.749172704</v>
      </c>
      <c r="L10" s="15">
        <v>12282054.882163836</v>
      </c>
      <c r="M10" s="15">
        <v>12356120.490731837</v>
      </c>
      <c r="N10" s="15">
        <v>12430520.578859286</v>
      </c>
    </row>
    <row r="11" spans="1:14" x14ac:dyDescent="0.45">
      <c r="A11" s="14">
        <v>5</v>
      </c>
      <c r="B11" s="15">
        <v>12736388.125220731</v>
      </c>
      <c r="C11" s="15">
        <v>12832757.94781067</v>
      </c>
      <c r="D11" s="15">
        <v>12929710.235081319</v>
      </c>
      <c r="E11" s="15">
        <v>13027247.623389313</v>
      </c>
      <c r="F11" s="15">
        <v>13125372.757034471</v>
      </c>
      <c r="I11" s="14">
        <v>5</v>
      </c>
      <c r="J11" s="15">
        <v>12736388.125220731</v>
      </c>
      <c r="K11" s="15">
        <v>12832757.94781067</v>
      </c>
      <c r="L11" s="15">
        <v>12929710.235081319</v>
      </c>
      <c r="M11" s="15">
        <v>13027247.623389313</v>
      </c>
      <c r="N11" s="15">
        <v>13125372.757034471</v>
      </c>
    </row>
    <row r="12" spans="1:14" x14ac:dyDescent="0.45">
      <c r="A12" s="14">
        <v>6</v>
      </c>
      <c r="B12" s="15">
        <v>13367664.655369671</v>
      </c>
      <c r="C12" s="15">
        <v>13489131.957807833</v>
      </c>
      <c r="D12" s="15">
        <v>13611517.646443991</v>
      </c>
      <c r="E12" s="15">
        <v>13734827.267862847</v>
      </c>
      <c r="F12" s="15">
        <v>13859066.393735209</v>
      </c>
      <c r="I12" s="14">
        <v>6</v>
      </c>
      <c r="J12" s="15">
        <v>13367664.655369671</v>
      </c>
      <c r="K12" s="15">
        <v>13489131.957807833</v>
      </c>
      <c r="L12" s="15">
        <v>13611517.646443991</v>
      </c>
      <c r="M12" s="15">
        <v>13734827.267862847</v>
      </c>
      <c r="N12" s="15">
        <v>13859066.393735209</v>
      </c>
    </row>
    <row r="13" spans="1:14" x14ac:dyDescent="0.45">
      <c r="A13" s="14">
        <v>7</v>
      </c>
      <c r="B13" s="15">
        <v>14030230.280480137</v>
      </c>
      <c r="C13" s="15">
        <v>14179078.395708015</v>
      </c>
      <c r="D13" s="15">
        <v>14329278.017133454</v>
      </c>
      <c r="E13" s="15">
        <v>14480839.355454633</v>
      </c>
      <c r="F13" s="15">
        <v>14633772.682990646</v>
      </c>
      <c r="I13" s="14">
        <v>7</v>
      </c>
      <c r="J13" s="15">
        <v>14030230.280480137</v>
      </c>
      <c r="K13" s="15">
        <v>14179078.395708015</v>
      </c>
      <c r="L13" s="15">
        <v>14329278.017133454</v>
      </c>
      <c r="M13" s="15">
        <v>14480839.355454633</v>
      </c>
      <c r="N13" s="15">
        <v>14633772.682990646</v>
      </c>
    </row>
    <row r="14" spans="1:14" x14ac:dyDescent="0.45">
      <c r="A14" s="14">
        <v>8</v>
      </c>
      <c r="B14" s="15">
        <v>14725635.838286078</v>
      </c>
      <c r="C14" s="15">
        <v>14904314.434796777</v>
      </c>
      <c r="D14" s="15">
        <v>15084887.212848453</v>
      </c>
      <c r="E14" s="15">
        <v>15267371.358148318</v>
      </c>
      <c r="F14" s="15">
        <v>15451784.186144417</v>
      </c>
      <c r="I14" s="14">
        <v>8</v>
      </c>
      <c r="J14" s="15">
        <v>14725635.838286078</v>
      </c>
      <c r="K14" s="15">
        <v>14904314.434796777</v>
      </c>
      <c r="L14" s="15">
        <v>15084887.212848453</v>
      </c>
      <c r="M14" s="15">
        <v>15267371.358148318</v>
      </c>
      <c r="N14" s="15">
        <v>15451784.186144417</v>
      </c>
    </row>
    <row r="15" spans="1:14" x14ac:dyDescent="0.45">
      <c r="A15" s="14">
        <v>9</v>
      </c>
      <c r="B15" s="15">
        <v>15455509.033483559</v>
      </c>
      <c r="C15" s="15">
        <v>15666645.078888381</v>
      </c>
      <c r="D15" s="15">
        <v>15880341.071774425</v>
      </c>
      <c r="E15" s="15">
        <v>16096624.129719831</v>
      </c>
      <c r="F15" s="15">
        <v>16315521.616151601</v>
      </c>
      <c r="I15" s="14">
        <v>9</v>
      </c>
      <c r="J15" s="15">
        <v>15455509.033483559</v>
      </c>
      <c r="K15" s="15">
        <v>15666645.078888381</v>
      </c>
      <c r="L15" s="15">
        <v>15880341.071774425</v>
      </c>
      <c r="M15" s="15">
        <v>16096624.129719831</v>
      </c>
      <c r="N15" s="15">
        <v>16315521.616151601</v>
      </c>
    </row>
    <row r="16" spans="1:14" x14ac:dyDescent="0.45">
      <c r="A16" s="14">
        <v>10</v>
      </c>
      <c r="B16" s="15">
        <v>16221558.247626364</v>
      </c>
      <c r="C16" s="15">
        <v>16467967.65470979</v>
      </c>
      <c r="D16" s="15">
        <v>16717740.676316664</v>
      </c>
      <c r="E16" s="15">
        <v>16970918.064110249</v>
      </c>
      <c r="F16" s="15">
        <v>17227541.001110267</v>
      </c>
      <c r="I16" s="14">
        <v>10</v>
      </c>
      <c r="J16" s="15">
        <v>16221558.247626364</v>
      </c>
      <c r="K16" s="15">
        <v>16467967.65470979</v>
      </c>
      <c r="L16" s="15">
        <v>16717740.676316664</v>
      </c>
      <c r="M16" s="15">
        <v>16970918.064110249</v>
      </c>
      <c r="N16" s="15">
        <v>17227541.001110267</v>
      </c>
    </row>
    <row r="17" spans="1:14" x14ac:dyDescent="0.45">
      <c r="A17" s="14">
        <v>11</v>
      </c>
      <c r="B17" s="15">
        <v>17025576.537858315</v>
      </c>
      <c r="C17" s="15">
        <v>17310276.534062535</v>
      </c>
      <c r="D17" s="15">
        <v>17599297.902821686</v>
      </c>
      <c r="E17" s="15">
        <v>17892699.5882929</v>
      </c>
      <c r="F17" s="15">
        <v>18190541.248226408</v>
      </c>
      <c r="I17" s="14">
        <v>11</v>
      </c>
      <c r="J17" s="15">
        <v>17025576.537858315</v>
      </c>
      <c r="K17" s="15">
        <v>17310276.534062535</v>
      </c>
      <c r="L17" s="15">
        <v>17599297.902821686</v>
      </c>
      <c r="M17" s="15">
        <v>17892699.5882929</v>
      </c>
      <c r="N17" s="15">
        <v>18190541.248226408</v>
      </c>
    </row>
    <row r="18" spans="1:14" x14ac:dyDescent="0.45">
      <c r="A18" s="14">
        <v>12</v>
      </c>
      <c r="B18" s="15">
        <v>17869445.833841953</v>
      </c>
      <c r="C18" s="15">
        <v>18195668.097515255</v>
      </c>
      <c r="D18" s="15">
        <v>18527341.263945617</v>
      </c>
      <c r="E18" s="15">
        <v>18864548.007802881</v>
      </c>
      <c r="F18" s="15">
        <v>19207372.130596064</v>
      </c>
      <c r="I18" s="14">
        <v>12</v>
      </c>
      <c r="J18" s="15">
        <v>17869445.833841953</v>
      </c>
      <c r="K18" s="15">
        <v>18195668.097515255</v>
      </c>
      <c r="L18" s="15">
        <v>18527341.263945617</v>
      </c>
      <c r="M18" s="15">
        <v>18864548.007802881</v>
      </c>
      <c r="N18" s="15">
        <v>19207372.130596064</v>
      </c>
    </row>
    <row r="19" spans="1:14" x14ac:dyDescent="0.45">
      <c r="A19" s="14">
        <v>13</v>
      </c>
      <c r="B19" s="15">
        <v>18755141.342707161</v>
      </c>
      <c r="C19" s="15">
        <v>19126345.951980758</v>
      </c>
      <c r="D19" s="15">
        <v>19504322.059101395</v>
      </c>
      <c r="E19" s="15">
        <v>19889182.724083975</v>
      </c>
      <c r="F19" s="15">
        <v>20281042.720439598</v>
      </c>
      <c r="I19" s="14">
        <v>13</v>
      </c>
      <c r="J19" s="15">
        <v>18755141.342707161</v>
      </c>
      <c r="K19" s="15">
        <v>19126345.951980758</v>
      </c>
      <c r="L19" s="15">
        <v>19504322.059101395</v>
      </c>
      <c r="M19" s="15">
        <v>19889182.724083975</v>
      </c>
      <c r="N19" s="15">
        <v>20281042.720439598</v>
      </c>
    </row>
    <row r="20" spans="1:14" x14ac:dyDescent="0.45">
      <c r="A20" s="14">
        <v>14</v>
      </c>
      <c r="B20" s="15">
        <v>19684736.172330171</v>
      </c>
      <c r="C20" s="15">
        <v>20104626.415163375</v>
      </c>
      <c r="D20" s="15">
        <v>20532820.849230401</v>
      </c>
      <c r="E20" s="15">
        <v>20969470.843848374</v>
      </c>
      <c r="F20" s="15">
        <v>21414730.293744326</v>
      </c>
      <c r="I20" s="14">
        <v>14</v>
      </c>
      <c r="J20" s="15">
        <v>19684736.172330171</v>
      </c>
      <c r="K20" s="15">
        <v>20104626.415163375</v>
      </c>
      <c r="L20" s="15">
        <v>20532820.849230401</v>
      </c>
      <c r="M20" s="15">
        <v>20969470.843848374</v>
      </c>
      <c r="N20" s="15">
        <v>21414730.293744326</v>
      </c>
    </row>
    <row r="21" spans="1:14" x14ac:dyDescent="0.45">
      <c r="A21" s="14">
        <v>15</v>
      </c>
      <c r="B21" s="15">
        <v>20660406.18376448</v>
      </c>
      <c r="C21" s="15">
        <v>21132944.280526605</v>
      </c>
      <c r="D21" s="15">
        <v>21615554.273000684</v>
      </c>
      <c r="E21" s="15">
        <v>22108435.201741502</v>
      </c>
      <c r="F21" s="15">
        <v>22611789.732666705</v>
      </c>
      <c r="I21" s="14">
        <v>15</v>
      </c>
      <c r="J21" s="15">
        <v>20660406.18376448</v>
      </c>
      <c r="K21" s="15">
        <v>21132944.280526605</v>
      </c>
      <c r="L21" s="15">
        <v>21615554.273000684</v>
      </c>
      <c r="M21" s="15">
        <v>22108435.201741502</v>
      </c>
      <c r="N21" s="15">
        <v>22611789.732666705</v>
      </c>
    </row>
    <row r="22" spans="1:14" x14ac:dyDescent="0.45">
      <c r="A22" s="14">
        <v>16</v>
      </c>
      <c r="B22" s="15">
        <v>21684435.084181529</v>
      </c>
      <c r="C22" s="15">
        <v>22213858.877129149</v>
      </c>
      <c r="D22" s="15">
        <v>22755382.222435873</v>
      </c>
      <c r="E22" s="15">
        <v>23309262.818760764</v>
      </c>
      <c r="F22" s="15">
        <v>23875763.453518271</v>
      </c>
      <c r="I22" s="14">
        <v>16</v>
      </c>
      <c r="J22" s="15">
        <v>21684435.084181529</v>
      </c>
      <c r="K22" s="15">
        <v>22213858.877129149</v>
      </c>
      <c r="L22" s="15">
        <v>22755382.222435873</v>
      </c>
      <c r="M22" s="15">
        <v>23309262.818760764</v>
      </c>
      <c r="N22" s="15">
        <v>23875763.453518271</v>
      </c>
    </row>
    <row r="23" spans="1:14" x14ac:dyDescent="0.45">
      <c r="A23" s="14">
        <v>17</v>
      </c>
      <c r="B23" s="15">
        <v>22759219.772241969</v>
      </c>
      <c r="C23" s="15">
        <v>23350060.439411391</v>
      </c>
      <c r="D23" s="15">
        <v>23955315.396928206</v>
      </c>
      <c r="E23" s="15">
        <v>24575313.820096366</v>
      </c>
      <c r="F23" s="15">
        <v>25210391.889714874</v>
      </c>
      <c r="I23" s="14">
        <v>17</v>
      </c>
      <c r="J23" s="15">
        <v>22759219.772241969</v>
      </c>
      <c r="K23" s="15">
        <v>23350060.439411391</v>
      </c>
      <c r="L23" s="15">
        <v>23955315.396928206</v>
      </c>
      <c r="M23" s="15">
        <v>24575313.820096366</v>
      </c>
      <c r="N23" s="15">
        <v>25210391.889714874</v>
      </c>
    </row>
    <row r="24" spans="1:14" x14ac:dyDescent="0.45">
      <c r="A24" s="14">
        <v>18</v>
      </c>
      <c r="B24" s="15">
        <v>23887275.948409185</v>
      </c>
      <c r="C24" s="15">
        <v>24544376.802785747</v>
      </c>
      <c r="D24" s="15">
        <v>25218523.255588561</v>
      </c>
      <c r="E24" s="15">
        <v>25910130.837347873</v>
      </c>
      <c r="F24" s="15">
        <v>26619624.560711019</v>
      </c>
      <c r="I24" s="14">
        <v>18</v>
      </c>
      <c r="J24" s="15">
        <v>23887275.948409185</v>
      </c>
      <c r="K24" s="15">
        <v>24544376.802785747</v>
      </c>
      <c r="L24" s="15">
        <v>25218523.255588561</v>
      </c>
      <c r="M24" s="15">
        <v>25910130.837347873</v>
      </c>
      <c r="N24" s="15">
        <v>26619624.560711019</v>
      </c>
    </row>
    <row r="25" spans="1:14" x14ac:dyDescent="0.45">
      <c r="A25" s="14">
        <v>19</v>
      </c>
      <c r="B25" s="15">
        <v>25071244.003336895</v>
      </c>
      <c r="C25" s="15">
        <v>25799780.44169521</v>
      </c>
      <c r="D25" s="15">
        <v>26548342.388938539</v>
      </c>
      <c r="E25" s="15">
        <v>27317448.921425521</v>
      </c>
      <c r="F25" s="15">
        <v>28107631.759675257</v>
      </c>
      <c r="I25" s="14">
        <v>19</v>
      </c>
      <c r="J25" s="15">
        <v>25071244.003336895</v>
      </c>
      <c r="K25" s="15">
        <v>25799780.44169521</v>
      </c>
      <c r="L25" s="15">
        <v>26548342.388938539</v>
      </c>
      <c r="M25" s="15">
        <v>27317448.921425521</v>
      </c>
      <c r="N25" s="15">
        <v>28107631.759675257</v>
      </c>
    </row>
    <row r="26" spans="1:14" x14ac:dyDescent="0.45">
      <c r="A26" s="14">
        <v>20</v>
      </c>
      <c r="B26" s="15">
        <v>26313895.198113486</v>
      </c>
      <c r="C26" s="15">
        <v>27119395.867656779</v>
      </c>
      <c r="D26" s="15">
        <v>27948285.332057267</v>
      </c>
      <c r="E26" s="15">
        <v>28801205.99387436</v>
      </c>
      <c r="F26" s="15">
        <v>29678816.894493531</v>
      </c>
      <c r="I26" s="14">
        <v>20</v>
      </c>
      <c r="J26" s="15">
        <v>26313895.198113486</v>
      </c>
      <c r="K26" s="15">
        <v>27119395.867656779</v>
      </c>
      <c r="L26" s="15">
        <v>27948285.332057267</v>
      </c>
      <c r="M26" s="15">
        <v>28801205.99387436</v>
      </c>
      <c r="N26" s="15">
        <v>29678816.894493531</v>
      </c>
    </row>
    <row r="27" spans="1:14" x14ac:dyDescent="0.45">
      <c r="A27" s="14" t="s">
        <v>51</v>
      </c>
      <c r="B27" s="15">
        <v>345456657.76577252</v>
      </c>
      <c r="C27" s="15">
        <v>351820435.26947427</v>
      </c>
      <c r="D27" s="15">
        <v>358317317.25010228</v>
      </c>
      <c r="E27" s="15">
        <v>364950177.36908728</v>
      </c>
      <c r="F27" s="15">
        <v>371721950.75502062</v>
      </c>
      <c r="I27" s="14" t="s">
        <v>51</v>
      </c>
      <c r="J27" s="15">
        <v>345456657.76577252</v>
      </c>
      <c r="K27" s="15">
        <v>351820435.26947427</v>
      </c>
      <c r="L27" s="15">
        <v>358317317.25010228</v>
      </c>
      <c r="M27" s="15">
        <v>364950177.36908728</v>
      </c>
      <c r="N27" s="15">
        <v>371721950.75502062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24AC-89AC-4AA5-B6C7-E61C7A15E8E6}">
  <sheetPr>
    <tabColor theme="0" tint="-0.499984740745262"/>
  </sheetPr>
  <dimension ref="A1:P105"/>
  <sheetViews>
    <sheetView topLeftCell="C79" workbookViewId="0">
      <selection activeCell="D34" sqref="D34"/>
    </sheetView>
  </sheetViews>
  <sheetFormatPr defaultRowHeight="14.25" x14ac:dyDescent="0.45"/>
  <cols>
    <col min="1" max="1" width="5.3984375" bestFit="1" customWidth="1"/>
    <col min="2" max="2" width="14.59765625" bestFit="1" customWidth="1"/>
    <col min="3" max="3" width="19.1328125" bestFit="1" customWidth="1"/>
    <col min="4" max="4" width="16.19921875" bestFit="1" customWidth="1"/>
    <col min="5" max="5" width="28.59765625" bestFit="1" customWidth="1"/>
    <col min="6" max="6" width="25.53125" bestFit="1" customWidth="1"/>
    <col min="11" max="11" width="15.265625" bestFit="1" customWidth="1"/>
    <col min="12" max="12" width="14.59765625" bestFit="1" customWidth="1"/>
    <col min="13" max="13" width="19.1328125" bestFit="1" customWidth="1"/>
    <col min="14" max="14" width="16.19921875" bestFit="1" customWidth="1"/>
    <col min="15" max="15" width="28.59765625" bestFit="1" customWidth="1"/>
    <col min="16" max="16" width="25.53125" bestFit="1" customWidth="1"/>
  </cols>
  <sheetData>
    <row r="1" spans="1:16" x14ac:dyDescent="0.45">
      <c r="A1">
        <f>'Return Simulator'!D48</f>
        <v>20</v>
      </c>
      <c r="B1" t="s">
        <v>76</v>
      </c>
      <c r="K1">
        <f>A1</f>
        <v>20</v>
      </c>
      <c r="L1" t="s">
        <v>77</v>
      </c>
    </row>
    <row r="5" spans="1:16" x14ac:dyDescent="0.45">
      <c r="A5" s="5" t="s">
        <v>27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  <c r="K5" s="5" t="s">
        <v>27</v>
      </c>
      <c r="L5" s="5" t="s">
        <v>52</v>
      </c>
      <c r="M5" s="5" t="s">
        <v>53</v>
      </c>
      <c r="N5" s="5" t="s">
        <v>54</v>
      </c>
      <c r="O5" s="5" t="s">
        <v>55</v>
      </c>
      <c r="P5" s="5" t="s">
        <v>56</v>
      </c>
    </row>
    <row r="6" spans="1:16" x14ac:dyDescent="0.45">
      <c r="A6" s="1" cm="1">
        <f t="array" ref="A6:A25">_xlfn.SEQUENCE(A1,1,1,1)</f>
        <v>1</v>
      </c>
      <c r="B6" s="12">
        <f>IF(A6="","N/A",'1'!V10)</f>
        <v>10495648</v>
      </c>
      <c r="C6" s="12">
        <f>IF(A6="","N/A",'2'!V10)</f>
        <v>10511483.199999999</v>
      </c>
      <c r="D6" s="12">
        <f>IF(A6="","N/A",'3'!V10)</f>
        <v>10527318.399999999</v>
      </c>
      <c r="E6" s="12">
        <f>IF(A6="","N/A",'4'!V10)</f>
        <v>10543153.6</v>
      </c>
      <c r="F6" s="12">
        <f>IF(A6="","N/A",'5'!V10)</f>
        <v>10558988.800000001</v>
      </c>
      <c r="K6" s="1" cm="1">
        <f t="array" ref="K6:K25">_xlfn.SEQUENCE(K1,1,1,1)</f>
        <v>1</v>
      </c>
      <c r="L6" s="12">
        <f>IF(K6="","N/A",'1'!X10)</f>
        <v>10495648</v>
      </c>
      <c r="M6" s="12">
        <f>IF(K6="","N/A",'2'!X10)</f>
        <v>10511483.200000001</v>
      </c>
      <c r="N6" s="12">
        <f>IF(K6="","N/A",'3'!X10)</f>
        <v>10527318.4</v>
      </c>
      <c r="O6" s="12">
        <f>IF(K6="","N/A",'4'!X10)</f>
        <v>10543153.6</v>
      </c>
      <c r="P6" s="12">
        <f>IF(K6="","N/A",'5'!X10)</f>
        <v>10558988.800000001</v>
      </c>
    </row>
    <row r="7" spans="1:16" x14ac:dyDescent="0.45">
      <c r="A7" s="1">
        <v>2</v>
      </c>
      <c r="B7" s="12">
        <f>IF(A7="","N/A",'1'!V11)</f>
        <v>11017803.706879999</v>
      </c>
      <c r="C7" s="12">
        <f>IF(A7="","N/A",'2'!V11)</f>
        <v>11051296.336191999</v>
      </c>
      <c r="D7" s="12">
        <f>IF(A7="","N/A",'3'!V11)</f>
        <v>11084788.965504</v>
      </c>
      <c r="E7" s="12">
        <f>IF(A7="","N/A",'4'!V11)</f>
        <v>11118281.594815997</v>
      </c>
      <c r="F7" s="12">
        <f>IF(A7="","N/A",'5'!V11)</f>
        <v>11151774.224128</v>
      </c>
      <c r="K7" s="1">
        <v>2</v>
      </c>
      <c r="L7" s="12">
        <f>IF(K7="","N/A",'1'!X11)</f>
        <v>11015862.6939904</v>
      </c>
      <c r="M7" s="12">
        <f>IF(K7="","N/A",'2'!X11)</f>
        <v>11049127.906388225</v>
      </c>
      <c r="N7" s="12">
        <f>IF(K7="","N/A",'3'!X11)</f>
        <v>11082443.269497856</v>
      </c>
      <c r="O7" s="12">
        <f>IF(K7="","N/A",'4'!X11)</f>
        <v>11115808.783319294</v>
      </c>
      <c r="P7" s="12">
        <f>IF(K7="","N/A",'5'!X11)</f>
        <v>11149224.447852544</v>
      </c>
    </row>
    <row r="8" spans="1:16" x14ac:dyDescent="0.45">
      <c r="A8" s="1">
        <v>3</v>
      </c>
      <c r="B8" s="12">
        <f>IF(A8="","N/A",'1'!V12)</f>
        <v>11567955.213086925</v>
      </c>
      <c r="C8" s="12">
        <f>IF(A8="","N/A",'2'!V12)</f>
        <v>11621094.726778232</v>
      </c>
      <c r="D8" s="12">
        <f>IF(A8="","N/A",'3'!V12)</f>
        <v>11674234.24046954</v>
      </c>
      <c r="E8" s="12">
        <f>IF(A8="","N/A",'4'!V12)</f>
        <v>11727373.754160844</v>
      </c>
      <c r="F8" s="12">
        <f>IF(A8="","N/A",'5'!V12)</f>
        <v>11780513.267852154</v>
      </c>
      <c r="K8" s="1">
        <v>3</v>
      </c>
      <c r="L8" s="12">
        <f>IF(K8="","N/A",'1'!X12)</f>
        <v>11561861.725245494</v>
      </c>
      <c r="M8" s="12">
        <f>IF(K8="","N/A",'2'!X12)</f>
        <v>11614272.236265101</v>
      </c>
      <c r="N8" s="12">
        <f>IF(K8="","N/A",'3'!X12)</f>
        <v>11666840.894794095</v>
      </c>
      <c r="O8" s="12">
        <f>IF(K8="","N/A",'4'!X12)</f>
        <v>11719567.939076442</v>
      </c>
      <c r="P8" s="12">
        <f>IF(K8="","N/A",'5'!X12)</f>
        <v>11772453.60735612</v>
      </c>
    </row>
    <row r="9" spans="1:16" x14ac:dyDescent="0.45">
      <c r="A9" s="1">
        <v>4</v>
      </c>
      <c r="B9" s="12">
        <f>IF(A9="","N/A",'1'!V13)</f>
        <v>12147676.562018272</v>
      </c>
      <c r="C9" s="12">
        <f>IF(A9="","N/A",'2'!V13)</f>
        <v>12222633.873641444</v>
      </c>
      <c r="D9" s="12">
        <f>IF(A9="","N/A",'3'!V13)</f>
        <v>12297591.185264617</v>
      </c>
      <c r="E9" s="12">
        <f>IF(A9="","N/A",'4'!V13)</f>
        <v>12372548.496887786</v>
      </c>
      <c r="F9" s="12">
        <f>IF(A9="","N/A",'5'!V13)</f>
        <v>12447505.808510963</v>
      </c>
      <c r="K9" s="1">
        <v>4</v>
      </c>
      <c r="L9" s="12">
        <f>IF(K9="","N/A",'1'!X13)</f>
        <v>12134923.089284942</v>
      </c>
      <c r="M9" s="12">
        <f>IF(K9="","N/A",'2'!X13)</f>
        <v>12208322.749172704</v>
      </c>
      <c r="N9" s="12">
        <f>IF(K9="","N/A",'3'!X13)</f>
        <v>12282054.882163836</v>
      </c>
      <c r="O9" s="12">
        <f>IF(K9="","N/A",'4'!X13)</f>
        <v>12356120.490731837</v>
      </c>
      <c r="P9" s="12">
        <f>IF(K9="","N/A",'5'!X13)</f>
        <v>12430520.578859286</v>
      </c>
    </row>
    <row r="10" spans="1:16" x14ac:dyDescent="0.45">
      <c r="A10" s="1">
        <v>5</v>
      </c>
      <c r="B10" s="12">
        <f>IF(A10="","N/A",'1'!V14)</f>
        <v>12758632.793537974</v>
      </c>
      <c r="C10" s="12">
        <f>IF(A10="","N/A",'2'!V14)</f>
        <v>12857775.676030053</v>
      </c>
      <c r="D10" s="12">
        <f>IF(A10="","N/A",'3'!V14)</f>
        <v>12956918.558522129</v>
      </c>
      <c r="E10" s="12">
        <f>IF(A10="","N/A",'4'!V14)</f>
        <v>13056061.441014206</v>
      </c>
      <c r="F10" s="12">
        <f>IF(A10="","N/A",'5'!V14)</f>
        <v>13155204.323506285</v>
      </c>
      <c r="K10" s="1">
        <v>5</v>
      </c>
      <c r="L10" s="12">
        <f>IF(K10="","N/A",'1'!X14)</f>
        <v>12736388.125220731</v>
      </c>
      <c r="M10" s="12">
        <f>IF(K10="","N/A",'2'!X14)</f>
        <v>12832757.94781067</v>
      </c>
      <c r="N10" s="12">
        <f>IF(K10="","N/A",'3'!X14)</f>
        <v>12929710.235081319</v>
      </c>
      <c r="O10" s="12">
        <f>IF(K10="","N/A",'4'!X14)</f>
        <v>13027247.623389313</v>
      </c>
      <c r="P10" s="12">
        <f>IF(K10="","N/A",'5'!X14)</f>
        <v>13125372.757034471</v>
      </c>
    </row>
    <row r="11" spans="1:16" x14ac:dyDescent="0.45">
      <c r="A11" s="1">
        <v>6</v>
      </c>
      <c r="B11" s="12">
        <f>IF(A11="","N/A",'1'!V15)</f>
        <v>13402585.288448956</v>
      </c>
      <c r="C11" s="12">
        <f>IF(A11="","N/A",'2'!V15)</f>
        <v>13528495.036986906</v>
      </c>
      <c r="D11" s="12">
        <f>IF(A11="","N/A",'3'!V15)</f>
        <v>13654404.785524854</v>
      </c>
      <c r="E11" s="12">
        <f>IF(A11="","N/A",'4'!V15)</f>
        <v>13780314.534062803</v>
      </c>
      <c r="F11" s="12">
        <f>IF(A11="","N/A",'5'!V15)</f>
        <v>13906224.282600757</v>
      </c>
      <c r="K11" s="1">
        <v>6</v>
      </c>
      <c r="L11" s="12">
        <f>IF(K11="","N/A",'1'!X15)</f>
        <v>13367664.655369671</v>
      </c>
      <c r="M11" s="12">
        <f>IF(K11="","N/A",'2'!X15)</f>
        <v>13489131.957807833</v>
      </c>
      <c r="N11" s="12">
        <f>IF(K11="","N/A",'3'!X15)</f>
        <v>13611517.646443991</v>
      </c>
      <c r="O11" s="12">
        <f>IF(K11="","N/A",'4'!X15)</f>
        <v>13734827.267862847</v>
      </c>
      <c r="P11" s="12">
        <f>IF(K11="","N/A",'5'!X15)</f>
        <v>13859066.393735209</v>
      </c>
    </row>
    <row r="12" spans="1:16" x14ac:dyDescent="0.45">
      <c r="A12" s="1">
        <v>7</v>
      </c>
      <c r="B12" s="12">
        <f>IF(A12="","N/A",'1'!V16)</f>
        <v>14081397.429735988</v>
      </c>
      <c r="C12" s="12">
        <f>IF(A12="","N/A",'2'!V16)</f>
        <v>14236886.887750413</v>
      </c>
      <c r="D12" s="12">
        <f>IF(A12="","N/A",'3'!V16)</f>
        <v>14392376.345764836</v>
      </c>
      <c r="E12" s="12">
        <f>IF(A12="","N/A",'4'!V16)</f>
        <v>14547865.803779259</v>
      </c>
      <c r="F12" s="12">
        <f>IF(A12="","N/A",'5'!V16)</f>
        <v>14703355.261793684</v>
      </c>
      <c r="K12" s="1">
        <v>7</v>
      </c>
      <c r="L12" s="12">
        <f>IF(K12="","N/A",'1'!X16)</f>
        <v>14030230.280480137</v>
      </c>
      <c r="M12" s="12">
        <f>IF(K12="","N/A",'2'!X16)</f>
        <v>14179078.395708015</v>
      </c>
      <c r="N12" s="12">
        <f>IF(K12="","N/A",'3'!X16)</f>
        <v>14329278.017133454</v>
      </c>
      <c r="O12" s="12">
        <f>IF(K12="","N/A",'4'!X16)</f>
        <v>14480839.355454633</v>
      </c>
      <c r="P12" s="12">
        <f>IF(K12="","N/A",'5'!X16)</f>
        <v>14633772.682990646</v>
      </c>
    </row>
    <row r="13" spans="1:16" x14ac:dyDescent="0.45">
      <c r="A13" s="1">
        <v>8</v>
      </c>
      <c r="B13" s="12">
        <f>IF(A13="","N/A",'1'!V17)</f>
        <v>14797040.599457901</v>
      </c>
      <c r="C13" s="12">
        <f>IF(A13="","N/A",'2'!V17)</f>
        <v>14985173.657001765</v>
      </c>
      <c r="D13" s="12">
        <f>IF(A13="","N/A",'3'!V17)</f>
        <v>15173306.71454563</v>
      </c>
      <c r="E13" s="12">
        <f>IF(A13="","N/A",'4'!V17)</f>
        <v>15361439.772089489</v>
      </c>
      <c r="F13" s="12">
        <f>IF(A13="","N/A",'5'!V17)</f>
        <v>15549572.829633357</v>
      </c>
      <c r="K13" s="1">
        <v>8</v>
      </c>
      <c r="L13" s="12">
        <f>IF(K13="","N/A",'1'!X17)</f>
        <v>14725635.838286078</v>
      </c>
      <c r="M13" s="12">
        <f>IF(K13="","N/A",'2'!X17)</f>
        <v>14904314.434796777</v>
      </c>
      <c r="N13" s="12">
        <f>IF(K13="","N/A",'3'!X17)</f>
        <v>15084887.212848453</v>
      </c>
      <c r="O13" s="12">
        <f>IF(K13="","N/A",'4'!X17)</f>
        <v>15267371.358148318</v>
      </c>
      <c r="P13" s="12">
        <f>IF(K13="","N/A",'5'!X17)</f>
        <v>15451784.186144417</v>
      </c>
    </row>
    <row r="14" spans="1:16" x14ac:dyDescent="0.45">
      <c r="A14" s="1">
        <v>9</v>
      </c>
      <c r="B14" s="12">
        <f>IF(A14="","N/A",'1'!V18)</f>
        <v>15551600.531297278</v>
      </c>
      <c r="C14" s="12">
        <f>IF(A14="","N/A",'2'!V18)</f>
        <v>15775713.213585695</v>
      </c>
      <c r="D14" s="12">
        <f>IF(A14="","N/A",'3'!V18)</f>
        <v>15999825.895874115</v>
      </c>
      <c r="E14" s="12">
        <f>IF(A14="","N/A",'4'!V18)</f>
        <v>16223938.578162532</v>
      </c>
      <c r="F14" s="12">
        <f>IF(A14="","N/A",'5'!V18)</f>
        <v>16448051.260450954</v>
      </c>
      <c r="K14" s="1">
        <v>9</v>
      </c>
      <c r="L14" s="12">
        <f>IF(K14="","N/A",'1'!X18)</f>
        <v>15455509.033483559</v>
      </c>
      <c r="M14" s="12">
        <f>IF(K14="","N/A",'2'!X18)</f>
        <v>15666645.078888381</v>
      </c>
      <c r="N14" s="12">
        <f>IF(K14="","N/A",'3'!X18)</f>
        <v>15880341.071774425</v>
      </c>
      <c r="O14" s="12">
        <f>IF(K14="","N/A",'4'!X18)</f>
        <v>16096624.129719831</v>
      </c>
      <c r="P14" s="12">
        <f>IF(K14="","N/A",'5'!X18)</f>
        <v>16315521.616151601</v>
      </c>
    </row>
    <row r="15" spans="1:16" x14ac:dyDescent="0.45">
      <c r="A15" s="1">
        <v>10</v>
      </c>
      <c r="B15" s="12">
        <f>IF(A15="","N/A",'1'!V19)</f>
        <v>16347284.039972784</v>
      </c>
      <c r="C15" s="12">
        <f>IF(A15="","N/A",'2'!V19)</f>
        <v>16611007.313202038</v>
      </c>
      <c r="D15" s="12">
        <f>IF(A15="","N/A",'3'!V19)</f>
        <v>16874730.586431291</v>
      </c>
      <c r="E15" s="12">
        <f>IF(A15="","N/A",'4'!V19)</f>
        <v>17138453.85966054</v>
      </c>
      <c r="F15" s="12">
        <f>IF(A15="","N/A",'5'!V19)</f>
        <v>17402177.132889796</v>
      </c>
      <c r="K15" s="1">
        <v>10</v>
      </c>
      <c r="L15" s="12">
        <f>IF(K15="","N/A",'1'!X19)</f>
        <v>16221558.247626364</v>
      </c>
      <c r="M15" s="12">
        <f>IF(K15="","N/A",'2'!X19)</f>
        <v>16467967.65470979</v>
      </c>
      <c r="N15" s="12">
        <f>IF(K15="","N/A",'3'!X19)</f>
        <v>16717740.676316664</v>
      </c>
      <c r="O15" s="12">
        <f>IF(K15="","N/A",'4'!X19)</f>
        <v>16970918.064110249</v>
      </c>
      <c r="P15" s="12">
        <f>IF(K15="","N/A",'5'!X19)</f>
        <v>17227541.001110267</v>
      </c>
    </row>
    <row r="16" spans="1:16" x14ac:dyDescent="0.45">
      <c r="A16" s="1">
        <v>11</v>
      </c>
      <c r="B16" s="12">
        <f>IF(A16="","N/A",'1'!V20)</f>
        <v>17186426.149987958</v>
      </c>
      <c r="C16" s="12">
        <f>IF(A16="","N/A",'2'!V20)</f>
        <v>17493710.581559047</v>
      </c>
      <c r="D16" s="12">
        <f>IF(A16="","N/A",'3'!V20)</f>
        <v>17800995.01313014</v>
      </c>
      <c r="E16" s="12">
        <f>IF(A16="","N/A",'4'!V20)</f>
        <v>18108279.444701221</v>
      </c>
      <c r="F16" s="12">
        <f>IF(A16="","N/A",'5'!V20)</f>
        <v>18415563.876272313</v>
      </c>
      <c r="K16" s="1">
        <v>11</v>
      </c>
      <c r="L16" s="12">
        <f>IF(K16="","N/A",'1'!X20)</f>
        <v>17025576.537858315</v>
      </c>
      <c r="M16" s="12">
        <f>IF(K16="","N/A",'2'!X20)</f>
        <v>17310276.534062535</v>
      </c>
      <c r="N16" s="12">
        <f>IF(K16="","N/A",'3'!X20)</f>
        <v>17599297.902821686</v>
      </c>
      <c r="O16" s="12">
        <f>IF(K16="","N/A",'4'!X20)</f>
        <v>17892699.5882929</v>
      </c>
      <c r="P16" s="12">
        <f>IF(K16="","N/A",'5'!X20)</f>
        <v>18190541.248226408</v>
      </c>
    </row>
    <row r="17" spans="1:16" x14ac:dyDescent="0.45">
      <c r="A17" s="1">
        <v>12</v>
      </c>
      <c r="B17" s="12">
        <f>IF(A17="","N/A",'1'!V21)</f>
        <v>18071497.647535056</v>
      </c>
      <c r="C17" s="12">
        <f>IF(A17="","N/A",'2'!V21)</f>
        <v>18426640.068605352</v>
      </c>
      <c r="D17" s="12">
        <f>IF(A17="","N/A",'3'!V21)</f>
        <v>18781782.489675645</v>
      </c>
      <c r="E17" s="12">
        <f>IF(A17="","N/A",'4'!V21)</f>
        <v>19136924.910745945</v>
      </c>
      <c r="F17" s="12">
        <f>IF(A17="","N/A",'5'!V21)</f>
        <v>19492067.331816237</v>
      </c>
      <c r="K17" s="1">
        <v>12</v>
      </c>
      <c r="L17" s="12">
        <f>IF(K17="","N/A",'1'!X21)</f>
        <v>17869445.833841953</v>
      </c>
      <c r="M17" s="12">
        <f>IF(K17="","N/A",'2'!X21)</f>
        <v>18195668.097515255</v>
      </c>
      <c r="N17" s="12">
        <f>IF(K17="","N/A",'3'!X21)</f>
        <v>18527341.263945617</v>
      </c>
      <c r="O17" s="12">
        <f>IF(K17="","N/A",'4'!X21)</f>
        <v>18864548.007802881</v>
      </c>
      <c r="P17" s="12">
        <f>IF(K17="","N/A",'5'!X21)</f>
        <v>19207372.130596064</v>
      </c>
    </row>
    <row r="18" spans="1:16" x14ac:dyDescent="0.45">
      <c r="A18" s="1">
        <v>13</v>
      </c>
      <c r="B18" s="12">
        <f>IF(A18="","N/A",'1'!V22)</f>
        <v>19005113.080798078</v>
      </c>
      <c r="C18" s="12">
        <f>IF(A18="","N/A",'2'!V22)</f>
        <v>19412785.410724286</v>
      </c>
      <c r="D18" s="12">
        <f>IF(A18="","N/A",'3'!V22)</f>
        <v>19820457.74065049</v>
      </c>
      <c r="E18" s="12">
        <f>IF(A18="","N/A",'4'!V22)</f>
        <v>20228130.070576701</v>
      </c>
      <c r="F18" s="12">
        <f>IF(A18="","N/A",'5'!V22)</f>
        <v>20635802.400502909</v>
      </c>
      <c r="K18" s="1">
        <v>13</v>
      </c>
      <c r="L18" s="12">
        <f>IF(K18="","N/A",'1'!X22)</f>
        <v>18755141.342707161</v>
      </c>
      <c r="M18" s="12">
        <f>IF(K18="","N/A",'2'!X22)</f>
        <v>19126345.951980758</v>
      </c>
      <c r="N18" s="12">
        <f>IF(K18="","N/A",'3'!X22)</f>
        <v>19504322.059101395</v>
      </c>
      <c r="O18" s="12">
        <f>IF(K18="","N/A",'4'!X22)</f>
        <v>19889182.724083975</v>
      </c>
      <c r="P18" s="12">
        <f>IF(K18="","N/A",'5'!X22)</f>
        <v>20281042.720439598</v>
      </c>
    </row>
    <row r="19" spans="1:16" x14ac:dyDescent="0.45">
      <c r="A19" s="1">
        <v>14</v>
      </c>
      <c r="B19" s="12">
        <f>IF(A19="","N/A",'1'!V23)</f>
        <v>19990039.235410064</v>
      </c>
      <c r="C19" s="12">
        <f>IF(A19="","N/A",'2'!V23)</f>
        <v>20455319.640191995</v>
      </c>
      <c r="D19" s="12">
        <f>IF(A19="","N/A",'3'!V23)</f>
        <v>20920600.044973925</v>
      </c>
      <c r="E19" s="12">
        <f>IF(A19="","N/A",'4'!V23)</f>
        <v>21385880.449755862</v>
      </c>
      <c r="F19" s="12">
        <f>IF(A19="","N/A",'5'!V23)</f>
        <v>21851160.854537796</v>
      </c>
      <c r="K19" s="1">
        <v>14</v>
      </c>
      <c r="L19" s="12">
        <f>IF(K19="","N/A",'1'!X23)</f>
        <v>19684736.172330171</v>
      </c>
      <c r="M19" s="12">
        <f>IF(K19="","N/A",'2'!X23)</f>
        <v>20104626.415163375</v>
      </c>
      <c r="N19" s="12">
        <f>IF(K19="","N/A",'3'!X23)</f>
        <v>20532820.849230401</v>
      </c>
      <c r="O19" s="12">
        <f>IF(K19="","N/A",'4'!X23)</f>
        <v>20969470.843848374</v>
      </c>
      <c r="P19" s="12">
        <f>IF(K19="","N/A",'5'!X23)</f>
        <v>21414730.293744326</v>
      </c>
    </row>
    <row r="20" spans="1:16" x14ac:dyDescent="0.45">
      <c r="A20" s="1">
        <v>15</v>
      </c>
      <c r="B20" s="12">
        <f>IF(A20="","N/A",'1'!V24)</f>
        <v>21029204.113421332</v>
      </c>
      <c r="C20" s="12">
        <f>IF(A20="","N/A",'2'!V24)</f>
        <v>21557610.683778822</v>
      </c>
      <c r="D20" s="12">
        <f>IF(A20="","N/A",'3'!V24)</f>
        <v>22086017.254136309</v>
      </c>
      <c r="E20" s="12">
        <f>IF(A20="","N/A",'4'!V24)</f>
        <v>22614423.824493799</v>
      </c>
      <c r="F20" s="12">
        <f>IF(A20="","N/A",'5'!V24)</f>
        <v>23142830.39485129</v>
      </c>
      <c r="K20" s="1">
        <v>15</v>
      </c>
      <c r="L20" s="12">
        <f>IF(K20="","N/A",'1'!X24)</f>
        <v>20660406.18376448</v>
      </c>
      <c r="M20" s="12">
        <f>IF(K20="","N/A",'2'!X24)</f>
        <v>21132944.280526605</v>
      </c>
      <c r="N20" s="12">
        <f>IF(K20="","N/A",'3'!X24)</f>
        <v>21615554.273000684</v>
      </c>
      <c r="O20" s="12">
        <f>IF(K20="","N/A",'4'!X24)</f>
        <v>22108435.201741502</v>
      </c>
      <c r="P20" s="12">
        <f>IF(K20="","N/A",'5'!X24)</f>
        <v>22611789.732666705</v>
      </c>
    </row>
    <row r="21" spans="1:16" x14ac:dyDescent="0.45">
      <c r="A21" s="1">
        <v>16</v>
      </c>
      <c r="B21" s="12">
        <f>IF(A21="","N/A",'1'!V25)</f>
        <v>22125706.445833255</v>
      </c>
      <c r="C21" s="12">
        <f>IF(A21="","N/A",'2'!V25)</f>
        <v>22723233.595123347</v>
      </c>
      <c r="D21" s="12">
        <f>IF(A21="","N/A",'3'!V25)</f>
        <v>23320760.744413443</v>
      </c>
      <c r="E21" s="12">
        <f>IF(A21="","N/A",'4'!V25)</f>
        <v>23918287.893703535</v>
      </c>
      <c r="F21" s="12">
        <f>IF(A21="","N/A",'5'!V25)</f>
        <v>24515815.042993627</v>
      </c>
      <c r="K21" s="1">
        <v>16</v>
      </c>
      <c r="L21" s="12">
        <f>IF(K21="","N/A",'1'!X25)</f>
        <v>21684435.084181529</v>
      </c>
      <c r="M21" s="12">
        <f>IF(K21="","N/A",'2'!X25)</f>
        <v>22213858.877129149</v>
      </c>
      <c r="N21" s="12">
        <f>IF(K21="","N/A",'3'!X25)</f>
        <v>22755382.222435873</v>
      </c>
      <c r="O21" s="12">
        <f>IF(K21="","N/A",'4'!X25)</f>
        <v>23309262.818760764</v>
      </c>
      <c r="P21" s="12">
        <f>IF(K21="","N/A",'5'!X25)</f>
        <v>23875763.453518271</v>
      </c>
    </row>
    <row r="22" spans="1:16" x14ac:dyDescent="0.45">
      <c r="A22" s="1">
        <v>17</v>
      </c>
      <c r="B22" s="12">
        <f>IF(A22="","N/A",'1'!V26)</f>
        <v>23282825.770551566</v>
      </c>
      <c r="C22" s="12">
        <f>IF(A22="","N/A",'2'!V26)</f>
        <v>23955983.568441246</v>
      </c>
      <c r="D22" s="12">
        <f>IF(A22="","N/A",'3'!V26)</f>
        <v>24629141.366330922</v>
      </c>
      <c r="E22" s="12">
        <f>IF(A22="","N/A",'4'!V26)</f>
        <v>25302299.164220598</v>
      </c>
      <c r="F22" s="12">
        <f>IF(A22="","N/A",'5'!V26)</f>
        <v>25975456.962110277</v>
      </c>
      <c r="K22" s="1">
        <v>17</v>
      </c>
      <c r="L22" s="12">
        <f>IF(K22="","N/A",'1'!X26)</f>
        <v>22759219.772241969</v>
      </c>
      <c r="M22" s="12">
        <f>IF(K22="","N/A",'2'!X26)</f>
        <v>23350060.439411391</v>
      </c>
      <c r="N22" s="12">
        <f>IF(K22="","N/A",'3'!X26)</f>
        <v>23955315.396928206</v>
      </c>
      <c r="O22" s="12">
        <f>IF(K22="","N/A",'4'!X26)</f>
        <v>24575313.820096366</v>
      </c>
      <c r="P22" s="12">
        <f>IF(K22="","N/A",'5'!X26)</f>
        <v>25210391.889714874</v>
      </c>
    </row>
    <row r="23" spans="1:16" x14ac:dyDescent="0.45">
      <c r="A23" s="1">
        <v>18</v>
      </c>
      <c r="B23" s="12">
        <f>IF(A23="","N/A",'1'!V27)</f>
        <v>24504033.109521091</v>
      </c>
      <c r="C23" s="12">
        <f>IF(A23="","N/A",'2'!V27)</f>
        <v>25259889.784259479</v>
      </c>
      <c r="D23" s="12">
        <f>IF(A23="","N/A",'3'!V27)</f>
        <v>26015746.458997868</v>
      </c>
      <c r="E23" s="12">
        <f>IF(A23="","N/A",'4'!V27)</f>
        <v>26771603.133736253</v>
      </c>
      <c r="F23" s="12">
        <f>IF(A23="","N/A",'5'!V27)</f>
        <v>27527459.808474645</v>
      </c>
      <c r="K23" s="1">
        <v>18</v>
      </c>
      <c r="L23" s="12">
        <f>IF(K23="","N/A",'1'!X27)</f>
        <v>23887275.948409185</v>
      </c>
      <c r="M23" s="12">
        <f>IF(K23="","N/A",'2'!X27)</f>
        <v>24544376.802785747</v>
      </c>
      <c r="N23" s="12">
        <f>IF(K23="","N/A",'3'!X27)</f>
        <v>25218523.255588561</v>
      </c>
      <c r="O23" s="12">
        <f>IF(K23="","N/A",'4'!X27)</f>
        <v>25910130.837347873</v>
      </c>
      <c r="P23" s="12">
        <f>IF(K23="","N/A",'5'!X27)</f>
        <v>26619624.560711019</v>
      </c>
    </row>
    <row r="24" spans="1:16" x14ac:dyDescent="0.45">
      <c r="A24" s="1">
        <v>19</v>
      </c>
      <c r="B24" s="12">
        <f>IF(A24="","N/A",'1'!V28)</f>
        <v>25793002.280825745</v>
      </c>
      <c r="C24" s="12">
        <f>IF(A24="","N/A",'2'!V28)</f>
        <v>26639230.14120337</v>
      </c>
      <c r="D24" s="12">
        <f>IF(A24="","N/A",'3'!V28)</f>
        <v>27485458.001580998</v>
      </c>
      <c r="E24" s="12">
        <f>IF(A24="","N/A",'4'!V28)</f>
        <v>28331685.861958623</v>
      </c>
      <c r="F24" s="12">
        <f>IF(A24="","N/A",'5'!V28)</f>
        <v>29177913.722336251</v>
      </c>
      <c r="K24" s="1">
        <v>19</v>
      </c>
      <c r="L24" s="12">
        <f>IF(K24="","N/A",'1'!X28)</f>
        <v>25071244.003336895</v>
      </c>
      <c r="M24" s="12">
        <f>IF(K24="","N/A",'2'!X28)</f>
        <v>25799780.44169521</v>
      </c>
      <c r="N24" s="12">
        <f>IF(K24="","N/A",'3'!X28)</f>
        <v>26548342.388938539</v>
      </c>
      <c r="O24" s="12">
        <f>IF(K24="","N/A",'4'!X28)</f>
        <v>27317448.921425521</v>
      </c>
      <c r="P24" s="12">
        <f>IF(K24="","N/A",'5'!X28)</f>
        <v>28107631.759675257</v>
      </c>
    </row>
    <row r="25" spans="1:16" x14ac:dyDescent="0.45">
      <c r="A25" s="1">
        <v>20</v>
      </c>
      <c r="B25" s="12">
        <f>IF(A25="","N/A",'1'!V29)</f>
        <v>27153621.883681335</v>
      </c>
      <c r="C25" s="12">
        <f>IF(A25="","N/A",'2'!V29)</f>
        <v>28098546.931423761</v>
      </c>
      <c r="D25" s="12">
        <f>IF(A25="","N/A",'3'!V29)</f>
        <v>29043471.979166195</v>
      </c>
      <c r="E25" s="12">
        <f>IF(A25="","N/A",'4'!V29)</f>
        <v>29988397.026908625</v>
      </c>
      <c r="F25" s="12">
        <f>IF(A25="","N/A",'5'!V29)</f>
        <v>30933322.074651059</v>
      </c>
      <c r="K25" s="1">
        <v>20</v>
      </c>
      <c r="L25" s="12">
        <f>IF(K25="","N/A",'1'!X29)</f>
        <v>26313895.198113486</v>
      </c>
      <c r="M25" s="12">
        <f>IF(K25="","N/A",'2'!X29)</f>
        <v>27119395.867656779</v>
      </c>
      <c r="N25" s="12">
        <f>IF(K25="","N/A",'3'!X29)</f>
        <v>27948285.332057267</v>
      </c>
      <c r="O25" s="12">
        <f>IF(K25="","N/A",'4'!X29)</f>
        <v>28801205.99387436</v>
      </c>
      <c r="P25" s="12">
        <f>IF(K25="","N/A",'5'!X29)</f>
        <v>29678816.894493531</v>
      </c>
    </row>
    <row r="26" spans="1:16" x14ac:dyDescent="0.45">
      <c r="A26" s="1"/>
      <c r="B26" s="12" t="str">
        <f>IF(A26="","N/A",'1'!V30)</f>
        <v>N/A</v>
      </c>
      <c r="C26" s="12" t="str">
        <f>IF(A26="","N/A",'2'!V30)</f>
        <v>N/A</v>
      </c>
      <c r="D26" s="12" t="str">
        <f>IF(A26="","N/A",'3'!V30)</f>
        <v>N/A</v>
      </c>
      <c r="E26" s="12" t="str">
        <f>IF(A26="","N/A",'4'!V30)</f>
        <v>N/A</v>
      </c>
      <c r="F26" s="12" t="str">
        <f>IF(A26="","N/A",'5'!V30)</f>
        <v>N/A</v>
      </c>
      <c r="K26" s="1"/>
      <c r="L26" s="12" t="str">
        <f>IF(K26="","N/A",'1'!X30)</f>
        <v>N/A</v>
      </c>
      <c r="M26" s="12" t="str">
        <f>IF(K26="","N/A",'2'!X30)</f>
        <v>N/A</v>
      </c>
      <c r="N26" s="12" t="str">
        <f>IF(K26="","N/A",'3'!X30)</f>
        <v>N/A</v>
      </c>
      <c r="O26" s="12" t="str">
        <f>IF(K26="","N/A",'4'!X30)</f>
        <v>N/A</v>
      </c>
      <c r="P26" s="12" t="str">
        <f>IF(K26="","N/A",'5'!X30)</f>
        <v>N/A</v>
      </c>
    </row>
    <row r="27" spans="1:16" x14ac:dyDescent="0.45">
      <c r="A27" s="1"/>
      <c r="B27" s="12" t="str">
        <f>IF(A27="","N/A",'1'!V31)</f>
        <v>N/A</v>
      </c>
      <c r="C27" s="12" t="str">
        <f>IF(A27="","N/A",'2'!V31)</f>
        <v>N/A</v>
      </c>
      <c r="D27" s="12" t="str">
        <f>IF(A27="","N/A",'3'!V31)</f>
        <v>N/A</v>
      </c>
      <c r="E27" s="12" t="str">
        <f>IF(A27="","N/A",'4'!V31)</f>
        <v>N/A</v>
      </c>
      <c r="F27" s="12" t="str">
        <f>IF(A27="","N/A",'5'!V31)</f>
        <v>N/A</v>
      </c>
      <c r="K27" s="1"/>
      <c r="L27" s="12" t="str">
        <f>IF(K27="","N/A",'1'!X31)</f>
        <v>N/A</v>
      </c>
      <c r="M27" s="12" t="str">
        <f>IF(K27="","N/A",'2'!X31)</f>
        <v>N/A</v>
      </c>
      <c r="N27" s="12" t="str">
        <f>IF(K27="","N/A",'3'!X31)</f>
        <v>N/A</v>
      </c>
      <c r="O27" s="12" t="str">
        <f>IF(K27="","N/A",'4'!X31)</f>
        <v>N/A</v>
      </c>
      <c r="P27" s="12" t="str">
        <f>IF(K27="","N/A",'5'!X31)</f>
        <v>N/A</v>
      </c>
    </row>
    <row r="28" spans="1:16" x14ac:dyDescent="0.45">
      <c r="A28" s="1"/>
      <c r="B28" s="12" t="str">
        <f>IF(A28="","N/A",'1'!V32)</f>
        <v>N/A</v>
      </c>
      <c r="C28" s="12" t="str">
        <f>IF(A28="","N/A",'2'!V32)</f>
        <v>N/A</v>
      </c>
      <c r="D28" s="12" t="str">
        <f>IF(A28="","N/A",'3'!V32)</f>
        <v>N/A</v>
      </c>
      <c r="E28" s="12" t="str">
        <f>IF(A28="","N/A",'4'!V32)</f>
        <v>N/A</v>
      </c>
      <c r="F28" s="12" t="str">
        <f>IF(A28="","N/A",'5'!V32)</f>
        <v>N/A</v>
      </c>
      <c r="K28" s="1"/>
      <c r="L28" s="12" t="str">
        <f>IF(K28="","N/A",'1'!X32)</f>
        <v>N/A</v>
      </c>
      <c r="M28" s="12" t="str">
        <f>IF(K28="","N/A",'2'!X32)</f>
        <v>N/A</v>
      </c>
      <c r="N28" s="12" t="str">
        <f>IF(K28="","N/A",'3'!X32)</f>
        <v>N/A</v>
      </c>
      <c r="O28" s="12" t="str">
        <f>IF(K28="","N/A",'4'!X32)</f>
        <v>N/A</v>
      </c>
      <c r="P28" s="12" t="str">
        <f>IF(K28="","N/A",'5'!X32)</f>
        <v>N/A</v>
      </c>
    </row>
    <row r="29" spans="1:16" x14ac:dyDescent="0.45">
      <c r="A29" s="1"/>
      <c r="B29" s="12" t="str">
        <f>IF(A29="","N/A",'1'!V33)</f>
        <v>N/A</v>
      </c>
      <c r="C29" s="12" t="str">
        <f>IF(A29="","N/A",'2'!V33)</f>
        <v>N/A</v>
      </c>
      <c r="D29" s="12" t="str">
        <f>IF(A29="","N/A",'3'!V33)</f>
        <v>N/A</v>
      </c>
      <c r="E29" s="12" t="str">
        <f>IF(A29="","N/A",'4'!V33)</f>
        <v>N/A</v>
      </c>
      <c r="F29" s="12" t="str">
        <f>IF(A29="","N/A",'5'!V33)</f>
        <v>N/A</v>
      </c>
      <c r="K29" s="1"/>
      <c r="L29" s="12" t="str">
        <f>IF(K29="","N/A",'1'!X33)</f>
        <v>N/A</v>
      </c>
      <c r="M29" s="12" t="str">
        <f>IF(K29="","N/A",'2'!X33)</f>
        <v>N/A</v>
      </c>
      <c r="N29" s="12" t="str">
        <f>IF(K29="","N/A",'3'!X33)</f>
        <v>N/A</v>
      </c>
      <c r="O29" s="12" t="str">
        <f>IF(K29="","N/A",'4'!X33)</f>
        <v>N/A</v>
      </c>
      <c r="P29" s="12" t="str">
        <f>IF(K29="","N/A",'5'!X33)</f>
        <v>N/A</v>
      </c>
    </row>
    <row r="30" spans="1:16" x14ac:dyDescent="0.45">
      <c r="A30" s="1"/>
      <c r="B30" s="12" t="str">
        <f>IF(A30="","N/A",'1'!V34)</f>
        <v>N/A</v>
      </c>
      <c r="C30" s="12" t="str">
        <f>IF(A30="","N/A",'2'!V34)</f>
        <v>N/A</v>
      </c>
      <c r="D30" s="12" t="str">
        <f>IF(A30="","N/A",'3'!V34)</f>
        <v>N/A</v>
      </c>
      <c r="E30" s="12" t="str">
        <f>IF(A30="","N/A",'4'!V34)</f>
        <v>N/A</v>
      </c>
      <c r="F30" s="12" t="str">
        <f>IF(A30="","N/A",'5'!V34)</f>
        <v>N/A</v>
      </c>
      <c r="K30" s="1"/>
      <c r="L30" s="12" t="str">
        <f>IF(K30="","N/A",'1'!X34)</f>
        <v>N/A</v>
      </c>
      <c r="M30" s="12" t="str">
        <f>IF(K30="","N/A",'2'!X34)</f>
        <v>N/A</v>
      </c>
      <c r="N30" s="12" t="str">
        <f>IF(K30="","N/A",'3'!X34)</f>
        <v>N/A</v>
      </c>
      <c r="O30" s="12" t="str">
        <f>IF(K30="","N/A",'4'!X34)</f>
        <v>N/A</v>
      </c>
      <c r="P30" s="12" t="str">
        <f>IF(K30="","N/A",'5'!X34)</f>
        <v>N/A</v>
      </c>
    </row>
    <row r="31" spans="1:16" x14ac:dyDescent="0.45">
      <c r="A31" s="1"/>
      <c r="B31" s="12" t="str">
        <f>IF(A31="","N/A",'1'!V35)</f>
        <v>N/A</v>
      </c>
      <c r="C31" s="12" t="str">
        <f>IF(A31="","N/A",'2'!V35)</f>
        <v>N/A</v>
      </c>
      <c r="D31" s="12" t="str">
        <f>IF(A31="","N/A",'3'!V35)</f>
        <v>N/A</v>
      </c>
      <c r="E31" s="12" t="str">
        <f>IF(A31="","N/A",'4'!V35)</f>
        <v>N/A</v>
      </c>
      <c r="F31" s="12" t="str">
        <f>IF(A31="","N/A",'5'!V35)</f>
        <v>N/A</v>
      </c>
      <c r="K31" s="1"/>
      <c r="L31" s="12" t="str">
        <f>IF(K31="","N/A",'1'!X35)</f>
        <v>N/A</v>
      </c>
      <c r="M31" s="12" t="str">
        <f>IF(K31="","N/A",'2'!X35)</f>
        <v>N/A</v>
      </c>
      <c r="N31" s="12" t="str">
        <f>IF(K31="","N/A",'3'!X35)</f>
        <v>N/A</v>
      </c>
      <c r="O31" s="12" t="str">
        <f>IF(K31="","N/A",'4'!X35)</f>
        <v>N/A</v>
      </c>
      <c r="P31" s="12" t="str">
        <f>IF(K31="","N/A",'5'!X35)</f>
        <v>N/A</v>
      </c>
    </row>
    <row r="32" spans="1:16" x14ac:dyDescent="0.45">
      <c r="A32" s="1"/>
      <c r="B32" s="12" t="str">
        <f>IF(A32="","N/A",'1'!V36)</f>
        <v>N/A</v>
      </c>
      <c r="C32" s="12" t="str">
        <f>IF(A32="","N/A",'2'!V36)</f>
        <v>N/A</v>
      </c>
      <c r="D32" s="12" t="str">
        <f>IF(A32="","N/A",'3'!V36)</f>
        <v>N/A</v>
      </c>
      <c r="E32" s="12" t="str">
        <f>IF(A32="","N/A",'4'!V36)</f>
        <v>N/A</v>
      </c>
      <c r="F32" s="12" t="str">
        <f>IF(A32="","N/A",'5'!V36)</f>
        <v>N/A</v>
      </c>
      <c r="K32" s="1"/>
      <c r="L32" s="12" t="str">
        <f>IF(K32="","N/A",'1'!X36)</f>
        <v>N/A</v>
      </c>
      <c r="M32" s="12" t="str">
        <f>IF(K32="","N/A",'2'!X36)</f>
        <v>N/A</v>
      </c>
      <c r="N32" s="12" t="str">
        <f>IF(K32="","N/A",'3'!X36)</f>
        <v>N/A</v>
      </c>
      <c r="O32" s="12" t="str">
        <f>IF(K32="","N/A",'4'!X36)</f>
        <v>N/A</v>
      </c>
      <c r="P32" s="12" t="str">
        <f>IF(K32="","N/A",'5'!X36)</f>
        <v>N/A</v>
      </c>
    </row>
    <row r="33" spans="1:16" x14ac:dyDescent="0.45">
      <c r="A33" s="1"/>
      <c r="B33" s="12" t="str">
        <f>IF(A33="","N/A",'1'!V37)</f>
        <v>N/A</v>
      </c>
      <c r="C33" s="12" t="str">
        <f>IF(A33="","N/A",'2'!V37)</f>
        <v>N/A</v>
      </c>
      <c r="D33" s="12" t="str">
        <f>IF(A33="","N/A",'3'!V37)</f>
        <v>N/A</v>
      </c>
      <c r="E33" s="12" t="str">
        <f>IF(A33="","N/A",'4'!V37)</f>
        <v>N/A</v>
      </c>
      <c r="F33" s="12" t="str">
        <f>IF(A33="","N/A",'5'!V37)</f>
        <v>N/A</v>
      </c>
      <c r="K33" s="1"/>
      <c r="L33" s="12" t="str">
        <f>IF(K33="","N/A",'1'!X37)</f>
        <v>N/A</v>
      </c>
      <c r="M33" s="12" t="str">
        <f>IF(K33="","N/A",'2'!X37)</f>
        <v>N/A</v>
      </c>
      <c r="N33" s="12" t="str">
        <f>IF(K33="","N/A",'3'!X37)</f>
        <v>N/A</v>
      </c>
      <c r="O33" s="12" t="str">
        <f>IF(K33="","N/A",'4'!X37)</f>
        <v>N/A</v>
      </c>
      <c r="P33" s="12" t="str">
        <f>IF(K33="","N/A",'5'!X37)</f>
        <v>N/A</v>
      </c>
    </row>
    <row r="34" spans="1:16" x14ac:dyDescent="0.45">
      <c r="A34" s="1"/>
      <c r="B34" s="12" t="str">
        <f>IF(A34="","N/A",'1'!V38)</f>
        <v>N/A</v>
      </c>
      <c r="C34" s="12" t="str">
        <f>IF(A34="","N/A",'2'!V38)</f>
        <v>N/A</v>
      </c>
      <c r="D34" s="12" t="str">
        <f>IF(A34="","N/A",'3'!V38)</f>
        <v>N/A</v>
      </c>
      <c r="E34" s="12" t="str">
        <f>IF(A34="","N/A",'4'!V38)</f>
        <v>N/A</v>
      </c>
      <c r="F34" s="12" t="str">
        <f>IF(A34="","N/A",'5'!V38)</f>
        <v>N/A</v>
      </c>
      <c r="K34" s="1"/>
      <c r="L34" s="12" t="str">
        <f>IF(K34="","N/A",'1'!X38)</f>
        <v>N/A</v>
      </c>
      <c r="M34" s="12" t="str">
        <f>IF(K34="","N/A",'2'!X38)</f>
        <v>N/A</v>
      </c>
      <c r="N34" s="12" t="str">
        <f>IF(K34="","N/A",'3'!X38)</f>
        <v>N/A</v>
      </c>
      <c r="O34" s="12" t="str">
        <f>IF(K34="","N/A",'4'!X38)</f>
        <v>N/A</v>
      </c>
      <c r="P34" s="12" t="str">
        <f>IF(K34="","N/A",'5'!X38)</f>
        <v>N/A</v>
      </c>
    </row>
    <row r="35" spans="1:16" x14ac:dyDescent="0.45">
      <c r="A35" s="1"/>
      <c r="B35" s="12" t="str">
        <f>IF(A35="","N/A",'1'!V39)</f>
        <v>N/A</v>
      </c>
      <c r="C35" s="12" t="str">
        <f>IF(A35="","N/A",'2'!V39)</f>
        <v>N/A</v>
      </c>
      <c r="D35" s="12" t="str">
        <f>IF(A35="","N/A",'3'!V39)</f>
        <v>N/A</v>
      </c>
      <c r="E35" s="12" t="str">
        <f>IF(A35="","N/A",'4'!V39)</f>
        <v>N/A</v>
      </c>
      <c r="F35" s="12" t="str">
        <f>IF(A35="","N/A",'5'!V39)</f>
        <v>N/A</v>
      </c>
      <c r="K35" s="1"/>
      <c r="L35" s="12" t="str">
        <f>IF(K35="","N/A",'1'!X39)</f>
        <v>N/A</v>
      </c>
      <c r="M35" s="12" t="str">
        <f>IF(K35="","N/A",'2'!X39)</f>
        <v>N/A</v>
      </c>
      <c r="N35" s="12" t="str">
        <f>IF(K35="","N/A",'3'!X39)</f>
        <v>N/A</v>
      </c>
      <c r="O35" s="12" t="str">
        <f>IF(K35="","N/A",'4'!X39)</f>
        <v>N/A</v>
      </c>
      <c r="P35" s="12" t="str">
        <f>IF(K35="","N/A",'5'!X39)</f>
        <v>N/A</v>
      </c>
    </row>
    <row r="36" spans="1:16" x14ac:dyDescent="0.45">
      <c r="A36" s="1"/>
      <c r="B36" s="12" t="str">
        <f>IF(A36="","N/A",'1'!V40)</f>
        <v>N/A</v>
      </c>
      <c r="C36" s="12" t="str">
        <f>IF(A36="","N/A",'2'!V40)</f>
        <v>N/A</v>
      </c>
      <c r="D36" s="12" t="str">
        <f>IF(A36="","N/A",'3'!V40)</f>
        <v>N/A</v>
      </c>
      <c r="E36" s="12" t="str">
        <f>IF(A36="","N/A",'4'!V40)</f>
        <v>N/A</v>
      </c>
      <c r="F36" s="12" t="str">
        <f>IF(A36="","N/A",'5'!V40)</f>
        <v>N/A</v>
      </c>
      <c r="K36" s="1"/>
      <c r="L36" s="12" t="str">
        <f>IF(K36="","N/A",'1'!X40)</f>
        <v>N/A</v>
      </c>
      <c r="M36" s="12" t="str">
        <f>IF(K36="","N/A",'2'!X40)</f>
        <v>N/A</v>
      </c>
      <c r="N36" s="12" t="str">
        <f>IF(K36="","N/A",'3'!X40)</f>
        <v>N/A</v>
      </c>
      <c r="O36" s="12" t="str">
        <f>IF(K36="","N/A",'4'!X40)</f>
        <v>N/A</v>
      </c>
      <c r="P36" s="12" t="str">
        <f>IF(K36="","N/A",'5'!X40)</f>
        <v>N/A</v>
      </c>
    </row>
    <row r="37" spans="1:16" x14ac:dyDescent="0.45">
      <c r="A37" s="1"/>
      <c r="B37" s="12" t="str">
        <f>IF(A37="","N/A",'1'!V41)</f>
        <v>N/A</v>
      </c>
      <c r="C37" s="12" t="str">
        <f>IF(A37="","N/A",'2'!V41)</f>
        <v>N/A</v>
      </c>
      <c r="D37" s="12" t="str">
        <f>IF(A37="","N/A",'3'!V41)</f>
        <v>N/A</v>
      </c>
      <c r="E37" s="12" t="str">
        <f>IF(A37="","N/A",'4'!V41)</f>
        <v>N/A</v>
      </c>
      <c r="F37" s="12" t="str">
        <f>IF(A37="","N/A",'5'!V41)</f>
        <v>N/A</v>
      </c>
      <c r="K37" s="1"/>
      <c r="L37" s="12" t="str">
        <f>IF(K37="","N/A",'1'!X41)</f>
        <v>N/A</v>
      </c>
      <c r="M37" s="12" t="str">
        <f>IF(K37="","N/A",'2'!X41)</f>
        <v>N/A</v>
      </c>
      <c r="N37" s="12" t="str">
        <f>IF(K37="","N/A",'3'!X41)</f>
        <v>N/A</v>
      </c>
      <c r="O37" s="12" t="str">
        <f>IF(K37="","N/A",'4'!X41)</f>
        <v>N/A</v>
      </c>
      <c r="P37" s="12" t="str">
        <f>IF(K37="","N/A",'5'!X41)</f>
        <v>N/A</v>
      </c>
    </row>
    <row r="38" spans="1:16" x14ac:dyDescent="0.45">
      <c r="A38" s="1"/>
      <c r="B38" s="12" t="str">
        <f>IF(A38="","N/A",'1'!V42)</f>
        <v>N/A</v>
      </c>
      <c r="C38" s="12" t="str">
        <f>IF(A38="","N/A",'2'!V42)</f>
        <v>N/A</v>
      </c>
      <c r="D38" s="12" t="str">
        <f>IF(A38="","N/A",'3'!V42)</f>
        <v>N/A</v>
      </c>
      <c r="E38" s="12" t="str">
        <f>IF(A38="","N/A",'4'!V42)</f>
        <v>N/A</v>
      </c>
      <c r="F38" s="12" t="str">
        <f>IF(A38="","N/A",'5'!V42)</f>
        <v>N/A</v>
      </c>
      <c r="K38" s="1"/>
      <c r="L38" s="12" t="str">
        <f>IF(K38="","N/A",'1'!X42)</f>
        <v>N/A</v>
      </c>
      <c r="M38" s="12" t="str">
        <f>IF(K38="","N/A",'2'!X42)</f>
        <v>N/A</v>
      </c>
      <c r="N38" s="12" t="str">
        <f>IF(K38="","N/A",'3'!X42)</f>
        <v>N/A</v>
      </c>
      <c r="O38" s="12" t="str">
        <f>IF(K38="","N/A",'4'!X42)</f>
        <v>N/A</v>
      </c>
      <c r="P38" s="12" t="str">
        <f>IF(K38="","N/A",'5'!X42)</f>
        <v>N/A</v>
      </c>
    </row>
    <row r="39" spans="1:16" x14ac:dyDescent="0.45">
      <c r="A39" s="1"/>
      <c r="B39" s="12" t="str">
        <f>IF(A39="","N/A",'1'!V43)</f>
        <v>N/A</v>
      </c>
      <c r="C39" s="12" t="str">
        <f>IF(A39="","N/A",'2'!V43)</f>
        <v>N/A</v>
      </c>
      <c r="D39" s="12" t="str">
        <f>IF(A39="","N/A",'3'!V43)</f>
        <v>N/A</v>
      </c>
      <c r="E39" s="12" t="str">
        <f>IF(A39="","N/A",'4'!V43)</f>
        <v>N/A</v>
      </c>
      <c r="F39" s="12" t="str">
        <f>IF(A39="","N/A",'5'!V43)</f>
        <v>N/A</v>
      </c>
      <c r="K39" s="1"/>
      <c r="L39" s="12" t="str">
        <f>IF(K39="","N/A",'1'!X43)</f>
        <v>N/A</v>
      </c>
      <c r="M39" s="12" t="str">
        <f>IF(K39="","N/A",'2'!X43)</f>
        <v>N/A</v>
      </c>
      <c r="N39" s="12" t="str">
        <f>IF(K39="","N/A",'3'!X43)</f>
        <v>N/A</v>
      </c>
      <c r="O39" s="12" t="str">
        <f>IF(K39="","N/A",'4'!X43)</f>
        <v>N/A</v>
      </c>
      <c r="P39" s="12" t="str">
        <f>IF(K39="","N/A",'5'!X43)</f>
        <v>N/A</v>
      </c>
    </row>
    <row r="40" spans="1:16" x14ac:dyDescent="0.45">
      <c r="A40" s="1"/>
      <c r="B40" s="12" t="str">
        <f>IF(A40="","N/A",'1'!V44)</f>
        <v>N/A</v>
      </c>
      <c r="C40" s="12" t="str">
        <f>IF(A40="","N/A",'2'!V44)</f>
        <v>N/A</v>
      </c>
      <c r="D40" s="12" t="str">
        <f>IF(A40="","N/A",'3'!V44)</f>
        <v>N/A</v>
      </c>
      <c r="E40" s="12" t="str">
        <f>IF(A40="","N/A",'4'!V44)</f>
        <v>N/A</v>
      </c>
      <c r="F40" s="12" t="str">
        <f>IF(A40="","N/A",'5'!V44)</f>
        <v>N/A</v>
      </c>
      <c r="K40" s="1"/>
      <c r="L40" s="12" t="str">
        <f>IF(K40="","N/A",'1'!X44)</f>
        <v>N/A</v>
      </c>
      <c r="M40" s="12" t="str">
        <f>IF(K40="","N/A",'2'!X44)</f>
        <v>N/A</v>
      </c>
      <c r="N40" s="12" t="str">
        <f>IF(K40="","N/A",'3'!X44)</f>
        <v>N/A</v>
      </c>
      <c r="O40" s="12" t="str">
        <f>IF(K40="","N/A",'4'!X44)</f>
        <v>N/A</v>
      </c>
      <c r="P40" s="12" t="str">
        <f>IF(K40="","N/A",'5'!X44)</f>
        <v>N/A</v>
      </c>
    </row>
    <row r="41" spans="1:16" x14ac:dyDescent="0.45">
      <c r="A41" s="1"/>
      <c r="B41" s="12" t="str">
        <f>IF(A41="","N/A",'1'!V45)</f>
        <v>N/A</v>
      </c>
      <c r="C41" s="12" t="str">
        <f>IF(A41="","N/A",'2'!V45)</f>
        <v>N/A</v>
      </c>
      <c r="D41" s="12" t="str">
        <f>IF(A41="","N/A",'3'!V45)</f>
        <v>N/A</v>
      </c>
      <c r="E41" s="12" t="str">
        <f>IF(A41="","N/A",'4'!V45)</f>
        <v>N/A</v>
      </c>
      <c r="F41" s="12" t="str">
        <f>IF(A41="","N/A",'5'!V45)</f>
        <v>N/A</v>
      </c>
      <c r="K41" s="1"/>
      <c r="L41" s="12" t="str">
        <f>IF(K41="","N/A",'1'!X45)</f>
        <v>N/A</v>
      </c>
      <c r="M41" s="12" t="str">
        <f>IF(K41="","N/A",'2'!X45)</f>
        <v>N/A</v>
      </c>
      <c r="N41" s="12" t="str">
        <f>IF(K41="","N/A",'3'!X45)</f>
        <v>N/A</v>
      </c>
      <c r="O41" s="12" t="str">
        <f>IF(K41="","N/A",'4'!X45)</f>
        <v>N/A</v>
      </c>
      <c r="P41" s="12" t="str">
        <f>IF(K41="","N/A",'5'!X45)</f>
        <v>N/A</v>
      </c>
    </row>
    <row r="42" spans="1:16" x14ac:dyDescent="0.45">
      <c r="A42" s="1"/>
      <c r="B42" s="12" t="str">
        <f>IF(A42="","N/A",'1'!V46)</f>
        <v>N/A</v>
      </c>
      <c r="C42" s="12" t="str">
        <f>IF(A42="","N/A",'2'!V46)</f>
        <v>N/A</v>
      </c>
      <c r="D42" s="12" t="str">
        <f>IF(A42="","N/A",'3'!V46)</f>
        <v>N/A</v>
      </c>
      <c r="E42" s="12" t="str">
        <f>IF(A42="","N/A",'4'!V46)</f>
        <v>N/A</v>
      </c>
      <c r="F42" s="12" t="str">
        <f>IF(A42="","N/A",'5'!V46)</f>
        <v>N/A</v>
      </c>
      <c r="K42" s="1"/>
      <c r="L42" s="12" t="str">
        <f>IF(K42="","N/A",'1'!X46)</f>
        <v>N/A</v>
      </c>
      <c r="M42" s="12" t="str">
        <f>IF(K42="","N/A",'2'!X46)</f>
        <v>N/A</v>
      </c>
      <c r="N42" s="12" t="str">
        <f>IF(K42="","N/A",'3'!X46)</f>
        <v>N/A</v>
      </c>
      <c r="O42" s="12" t="str">
        <f>IF(K42="","N/A",'4'!X46)</f>
        <v>N/A</v>
      </c>
      <c r="P42" s="12" t="str">
        <f>IF(K42="","N/A",'5'!X46)</f>
        <v>N/A</v>
      </c>
    </row>
    <row r="43" spans="1:16" x14ac:dyDescent="0.45">
      <c r="A43" s="1"/>
      <c r="B43" s="12" t="str">
        <f>IF(A43="","N/A",'1'!V47)</f>
        <v>N/A</v>
      </c>
      <c r="C43" s="12" t="str">
        <f>IF(A43="","N/A",'2'!V47)</f>
        <v>N/A</v>
      </c>
      <c r="D43" s="12" t="str">
        <f>IF(A43="","N/A",'3'!V47)</f>
        <v>N/A</v>
      </c>
      <c r="E43" s="12" t="str">
        <f>IF(A43="","N/A",'4'!V47)</f>
        <v>N/A</v>
      </c>
      <c r="F43" s="12" t="str">
        <f>IF(A43="","N/A",'5'!V47)</f>
        <v>N/A</v>
      </c>
      <c r="K43" s="1"/>
      <c r="L43" s="12" t="str">
        <f>IF(K43="","N/A",'1'!X47)</f>
        <v>N/A</v>
      </c>
      <c r="M43" s="12" t="str">
        <f>IF(K43="","N/A",'2'!X47)</f>
        <v>N/A</v>
      </c>
      <c r="N43" s="12" t="str">
        <f>IF(K43="","N/A",'3'!X47)</f>
        <v>N/A</v>
      </c>
      <c r="O43" s="12" t="str">
        <f>IF(K43="","N/A",'4'!X47)</f>
        <v>N/A</v>
      </c>
      <c r="P43" s="12" t="str">
        <f>IF(K43="","N/A",'5'!X47)</f>
        <v>N/A</v>
      </c>
    </row>
    <row r="44" spans="1:16" x14ac:dyDescent="0.45">
      <c r="A44" s="1"/>
      <c r="B44" s="12" t="str">
        <f>IF(A44="","N/A",'1'!V48)</f>
        <v>N/A</v>
      </c>
      <c r="C44" s="12" t="str">
        <f>IF(A44="","N/A",'2'!V48)</f>
        <v>N/A</v>
      </c>
      <c r="D44" s="12" t="str">
        <f>IF(A44="","N/A",'3'!V48)</f>
        <v>N/A</v>
      </c>
      <c r="E44" s="12" t="str">
        <f>IF(A44="","N/A",'4'!V48)</f>
        <v>N/A</v>
      </c>
      <c r="F44" s="12" t="str">
        <f>IF(A44="","N/A",'5'!V48)</f>
        <v>N/A</v>
      </c>
      <c r="K44" s="1"/>
      <c r="L44" s="12" t="str">
        <f>IF(K44="","N/A",'1'!X48)</f>
        <v>N/A</v>
      </c>
      <c r="M44" s="12" t="str">
        <f>IF(K44="","N/A",'2'!X48)</f>
        <v>N/A</v>
      </c>
      <c r="N44" s="12" t="str">
        <f>IF(K44="","N/A",'3'!X48)</f>
        <v>N/A</v>
      </c>
      <c r="O44" s="12" t="str">
        <f>IF(K44="","N/A",'4'!X48)</f>
        <v>N/A</v>
      </c>
      <c r="P44" s="12" t="str">
        <f>IF(K44="","N/A",'5'!X48)</f>
        <v>N/A</v>
      </c>
    </row>
    <row r="45" spans="1:16" x14ac:dyDescent="0.45">
      <c r="A45" s="1"/>
      <c r="B45" s="12" t="str">
        <f>IF(A45="","N/A",'1'!V49)</f>
        <v>N/A</v>
      </c>
      <c r="C45" s="12" t="str">
        <f>IF(A45="","N/A",'2'!V49)</f>
        <v>N/A</v>
      </c>
      <c r="D45" s="12" t="str">
        <f>IF(A45="","N/A",'3'!V49)</f>
        <v>N/A</v>
      </c>
      <c r="E45" s="12" t="str">
        <f>IF(A45="","N/A",'4'!V49)</f>
        <v>N/A</v>
      </c>
      <c r="F45" s="12" t="str">
        <f>IF(A45="","N/A",'5'!V49)</f>
        <v>N/A</v>
      </c>
      <c r="K45" s="1"/>
      <c r="L45" s="12" t="str">
        <f>IF(K45="","N/A",'1'!X49)</f>
        <v>N/A</v>
      </c>
      <c r="M45" s="12" t="str">
        <f>IF(K45="","N/A",'2'!X49)</f>
        <v>N/A</v>
      </c>
      <c r="N45" s="12" t="str">
        <f>IF(K45="","N/A",'3'!X49)</f>
        <v>N/A</v>
      </c>
      <c r="O45" s="12" t="str">
        <f>IF(K45="","N/A",'4'!X49)</f>
        <v>N/A</v>
      </c>
      <c r="P45" s="12" t="str">
        <f>IF(K45="","N/A",'5'!X49)</f>
        <v>N/A</v>
      </c>
    </row>
    <row r="46" spans="1:16" x14ac:dyDescent="0.45">
      <c r="A46" s="1"/>
      <c r="B46" s="12" t="str">
        <f>IF(A46="","N/A",'1'!V50)</f>
        <v>N/A</v>
      </c>
      <c r="C46" s="12" t="str">
        <f>IF(A46="","N/A",'2'!V50)</f>
        <v>N/A</v>
      </c>
      <c r="D46" s="12" t="str">
        <f>IF(A46="","N/A",'3'!V50)</f>
        <v>N/A</v>
      </c>
      <c r="E46" s="12" t="str">
        <f>IF(A46="","N/A",'4'!V50)</f>
        <v>N/A</v>
      </c>
      <c r="F46" s="12" t="str">
        <f>IF(A46="","N/A",'5'!V50)</f>
        <v>N/A</v>
      </c>
      <c r="K46" s="1"/>
      <c r="L46" s="12" t="str">
        <f>IF(K46="","N/A",'1'!X50)</f>
        <v>N/A</v>
      </c>
      <c r="M46" s="12" t="str">
        <f>IF(K46="","N/A",'2'!X50)</f>
        <v>N/A</v>
      </c>
      <c r="N46" s="12" t="str">
        <f>IF(K46="","N/A",'3'!X50)</f>
        <v>N/A</v>
      </c>
      <c r="O46" s="12" t="str">
        <f>IF(K46="","N/A",'4'!X50)</f>
        <v>N/A</v>
      </c>
      <c r="P46" s="12" t="str">
        <f>IF(K46="","N/A",'5'!X50)</f>
        <v>N/A</v>
      </c>
    </row>
    <row r="47" spans="1:16" x14ac:dyDescent="0.45">
      <c r="A47" s="1"/>
      <c r="B47" s="12" t="str">
        <f>IF(A47="","N/A",'1'!V51)</f>
        <v>N/A</v>
      </c>
      <c r="C47" s="12" t="str">
        <f>IF(A47="","N/A",'2'!V51)</f>
        <v>N/A</v>
      </c>
      <c r="D47" s="12" t="str">
        <f>IF(A47="","N/A",'3'!V51)</f>
        <v>N/A</v>
      </c>
      <c r="E47" s="12" t="str">
        <f>IF(A47="","N/A",'4'!V51)</f>
        <v>N/A</v>
      </c>
      <c r="F47" s="12" t="str">
        <f>IF(A47="","N/A",'5'!V51)</f>
        <v>N/A</v>
      </c>
      <c r="K47" s="1"/>
      <c r="L47" s="12" t="str">
        <f>IF(K47="","N/A",'1'!X51)</f>
        <v>N/A</v>
      </c>
      <c r="M47" s="12" t="str">
        <f>IF(K47="","N/A",'2'!X51)</f>
        <v>N/A</v>
      </c>
      <c r="N47" s="12" t="str">
        <f>IF(K47="","N/A",'3'!X51)</f>
        <v>N/A</v>
      </c>
      <c r="O47" s="12" t="str">
        <f>IF(K47="","N/A",'4'!X51)</f>
        <v>N/A</v>
      </c>
      <c r="P47" s="12" t="str">
        <f>IF(K47="","N/A",'5'!X51)</f>
        <v>N/A</v>
      </c>
    </row>
    <row r="48" spans="1:16" x14ac:dyDescent="0.45">
      <c r="A48" s="1"/>
      <c r="B48" s="12" t="str">
        <f>IF(A48="","N/A",'1'!V52)</f>
        <v>N/A</v>
      </c>
      <c r="C48" s="12" t="str">
        <f>IF(A48="","N/A",'2'!V52)</f>
        <v>N/A</v>
      </c>
      <c r="D48" s="12" t="str">
        <f>IF(A48="","N/A",'3'!V52)</f>
        <v>N/A</v>
      </c>
      <c r="E48" s="12" t="str">
        <f>IF(A48="","N/A",'4'!V52)</f>
        <v>N/A</v>
      </c>
      <c r="F48" s="12" t="str">
        <f>IF(A48="","N/A",'5'!V52)</f>
        <v>N/A</v>
      </c>
      <c r="K48" s="1"/>
      <c r="L48" s="12" t="str">
        <f>IF(K48="","N/A",'1'!X52)</f>
        <v>N/A</v>
      </c>
      <c r="M48" s="12" t="str">
        <f>IF(K48="","N/A",'2'!X52)</f>
        <v>N/A</v>
      </c>
      <c r="N48" s="12" t="str">
        <f>IF(K48="","N/A",'3'!X52)</f>
        <v>N/A</v>
      </c>
      <c r="O48" s="12" t="str">
        <f>IF(K48="","N/A",'4'!X52)</f>
        <v>N/A</v>
      </c>
      <c r="P48" s="12" t="str">
        <f>IF(K48="","N/A",'5'!X52)</f>
        <v>N/A</v>
      </c>
    </row>
    <row r="49" spans="1:16" x14ac:dyDescent="0.45">
      <c r="A49" s="1"/>
      <c r="B49" s="12" t="str">
        <f>IF(A49="","N/A",'1'!V53)</f>
        <v>N/A</v>
      </c>
      <c r="C49" s="12" t="str">
        <f>IF(A49="","N/A",'2'!V53)</f>
        <v>N/A</v>
      </c>
      <c r="D49" s="12" t="str">
        <f>IF(A49="","N/A",'3'!V53)</f>
        <v>N/A</v>
      </c>
      <c r="E49" s="12" t="str">
        <f>IF(A49="","N/A",'4'!V53)</f>
        <v>N/A</v>
      </c>
      <c r="F49" s="12" t="str">
        <f>IF(A49="","N/A",'5'!V53)</f>
        <v>N/A</v>
      </c>
      <c r="K49" s="1"/>
      <c r="L49" s="12" t="str">
        <f>IF(K49="","N/A",'1'!X53)</f>
        <v>N/A</v>
      </c>
      <c r="M49" s="12" t="str">
        <f>IF(K49="","N/A",'2'!X53)</f>
        <v>N/A</v>
      </c>
      <c r="N49" s="12" t="str">
        <f>IF(K49="","N/A",'3'!X53)</f>
        <v>N/A</v>
      </c>
      <c r="O49" s="12" t="str">
        <f>IF(K49="","N/A",'4'!X53)</f>
        <v>N/A</v>
      </c>
      <c r="P49" s="12" t="str">
        <f>IF(K49="","N/A",'5'!X53)</f>
        <v>N/A</v>
      </c>
    </row>
    <row r="50" spans="1:16" x14ac:dyDescent="0.45">
      <c r="A50" s="1"/>
      <c r="B50" s="12" t="str">
        <f>IF(A50="","N/A",'1'!V54)</f>
        <v>N/A</v>
      </c>
      <c r="C50" s="12" t="str">
        <f>IF(A50="","N/A",'2'!V54)</f>
        <v>N/A</v>
      </c>
      <c r="D50" s="12" t="str">
        <f>IF(A50="","N/A",'3'!V54)</f>
        <v>N/A</v>
      </c>
      <c r="E50" s="12" t="str">
        <f>IF(A50="","N/A",'4'!V54)</f>
        <v>N/A</v>
      </c>
      <c r="F50" s="12" t="str">
        <f>IF(A50="","N/A",'5'!V54)</f>
        <v>N/A</v>
      </c>
      <c r="K50" s="1"/>
      <c r="L50" s="12" t="str">
        <f>IF(K50="","N/A",'1'!X54)</f>
        <v>N/A</v>
      </c>
      <c r="M50" s="12" t="str">
        <f>IF(K50="","N/A",'2'!X54)</f>
        <v>N/A</v>
      </c>
      <c r="N50" s="12" t="str">
        <f>IF(K50="","N/A",'3'!X54)</f>
        <v>N/A</v>
      </c>
      <c r="O50" s="12" t="str">
        <f>IF(K50="","N/A",'4'!X54)</f>
        <v>N/A</v>
      </c>
      <c r="P50" s="12" t="str">
        <f>IF(K50="","N/A",'5'!X54)</f>
        <v>N/A</v>
      </c>
    </row>
    <row r="51" spans="1:16" x14ac:dyDescent="0.45">
      <c r="A51" s="1"/>
      <c r="B51" s="12" t="str">
        <f>IF(A51="","N/A",'1'!V55)</f>
        <v>N/A</v>
      </c>
      <c r="C51" s="12" t="str">
        <f>IF(A51="","N/A",'2'!V55)</f>
        <v>N/A</v>
      </c>
      <c r="D51" s="12" t="str">
        <f>IF(A51="","N/A",'3'!V55)</f>
        <v>N/A</v>
      </c>
      <c r="E51" s="12" t="str">
        <f>IF(A51="","N/A",'4'!V55)</f>
        <v>N/A</v>
      </c>
      <c r="F51" s="12" t="str">
        <f>IF(A51="","N/A",'5'!V55)</f>
        <v>N/A</v>
      </c>
      <c r="K51" s="1"/>
      <c r="L51" s="12" t="str">
        <f>IF(K51="","N/A",'1'!X55)</f>
        <v>N/A</v>
      </c>
      <c r="M51" s="12" t="str">
        <f>IF(K51="","N/A",'2'!X55)</f>
        <v>N/A</v>
      </c>
      <c r="N51" s="12" t="str">
        <f>IF(K51="","N/A",'3'!X55)</f>
        <v>N/A</v>
      </c>
      <c r="O51" s="12" t="str">
        <f>IF(K51="","N/A",'4'!X55)</f>
        <v>N/A</v>
      </c>
      <c r="P51" s="12" t="str">
        <f>IF(K51="","N/A",'5'!X55)</f>
        <v>N/A</v>
      </c>
    </row>
    <row r="52" spans="1:16" x14ac:dyDescent="0.45">
      <c r="A52" s="1"/>
      <c r="B52" s="12" t="str">
        <f>IF(A52="","N/A",'1'!V56)</f>
        <v>N/A</v>
      </c>
      <c r="C52" s="12" t="str">
        <f>IF(A52="","N/A",'2'!V56)</f>
        <v>N/A</v>
      </c>
      <c r="D52" s="12" t="str">
        <f>IF(A52="","N/A",'3'!V56)</f>
        <v>N/A</v>
      </c>
      <c r="E52" s="12" t="str">
        <f>IF(A52="","N/A",'4'!V56)</f>
        <v>N/A</v>
      </c>
      <c r="F52" s="12" t="str">
        <f>IF(A52="","N/A",'5'!V56)</f>
        <v>N/A</v>
      </c>
      <c r="K52" s="1"/>
      <c r="L52" s="12" t="str">
        <f>IF(K52="","N/A",'1'!X56)</f>
        <v>N/A</v>
      </c>
      <c r="M52" s="12" t="str">
        <f>IF(K52="","N/A",'2'!X56)</f>
        <v>N/A</v>
      </c>
      <c r="N52" s="12" t="str">
        <f>IF(K52="","N/A",'3'!X56)</f>
        <v>N/A</v>
      </c>
      <c r="O52" s="12" t="str">
        <f>IF(K52="","N/A",'4'!X56)</f>
        <v>N/A</v>
      </c>
      <c r="P52" s="12" t="str">
        <f>IF(K52="","N/A",'5'!X56)</f>
        <v>N/A</v>
      </c>
    </row>
    <row r="53" spans="1:16" x14ac:dyDescent="0.45">
      <c r="A53" s="1"/>
      <c r="B53" s="12" t="str">
        <f>IF(A53="","N/A",'1'!V57)</f>
        <v>N/A</v>
      </c>
      <c r="C53" s="12" t="str">
        <f>IF(A53="","N/A",'2'!V57)</f>
        <v>N/A</v>
      </c>
      <c r="D53" s="12" t="str">
        <f>IF(A53="","N/A",'3'!V57)</f>
        <v>N/A</v>
      </c>
      <c r="E53" s="12" t="str">
        <f>IF(A53="","N/A",'4'!V57)</f>
        <v>N/A</v>
      </c>
      <c r="F53" s="12" t="str">
        <f>IF(A53="","N/A",'5'!V57)</f>
        <v>N/A</v>
      </c>
      <c r="K53" s="1"/>
      <c r="L53" s="12" t="str">
        <f>IF(K53="","N/A",'1'!X57)</f>
        <v>N/A</v>
      </c>
      <c r="M53" s="12" t="str">
        <f>IF(K53="","N/A",'2'!X57)</f>
        <v>N/A</v>
      </c>
      <c r="N53" s="12" t="str">
        <f>IF(K53="","N/A",'3'!X57)</f>
        <v>N/A</v>
      </c>
      <c r="O53" s="12" t="str">
        <f>IF(K53="","N/A",'4'!X57)</f>
        <v>N/A</v>
      </c>
      <c r="P53" s="12" t="str">
        <f>IF(K53="","N/A",'5'!X57)</f>
        <v>N/A</v>
      </c>
    </row>
    <row r="54" spans="1:16" x14ac:dyDescent="0.45">
      <c r="A54" s="1"/>
      <c r="B54" s="12" t="str">
        <f>IF(A54="","N/A",'1'!V58)</f>
        <v>N/A</v>
      </c>
      <c r="C54" s="12" t="str">
        <f>IF(A54="","N/A",'2'!V58)</f>
        <v>N/A</v>
      </c>
      <c r="D54" s="12" t="str">
        <f>IF(A54="","N/A",'3'!V58)</f>
        <v>N/A</v>
      </c>
      <c r="E54" s="12" t="str">
        <f>IF(A54="","N/A",'4'!V58)</f>
        <v>N/A</v>
      </c>
      <c r="F54" s="12" t="str">
        <f>IF(A54="","N/A",'5'!V58)</f>
        <v>N/A</v>
      </c>
      <c r="K54" s="1"/>
      <c r="L54" s="12" t="str">
        <f>IF(K54="","N/A",'1'!X58)</f>
        <v>N/A</v>
      </c>
      <c r="M54" s="12" t="str">
        <f>IF(K54="","N/A",'2'!X58)</f>
        <v>N/A</v>
      </c>
      <c r="N54" s="12" t="str">
        <f>IF(K54="","N/A",'3'!X58)</f>
        <v>N/A</v>
      </c>
      <c r="O54" s="12" t="str">
        <f>IF(K54="","N/A",'4'!X58)</f>
        <v>N/A</v>
      </c>
      <c r="P54" s="12" t="str">
        <f>IF(K54="","N/A",'5'!X58)</f>
        <v>N/A</v>
      </c>
    </row>
    <row r="55" spans="1:16" x14ac:dyDescent="0.45">
      <c r="A55" s="1"/>
      <c r="B55" s="12" t="str">
        <f>IF(A55="","N/A",'1'!V59)</f>
        <v>N/A</v>
      </c>
      <c r="C55" s="12" t="str">
        <f>IF(A55="","N/A",'2'!V59)</f>
        <v>N/A</v>
      </c>
      <c r="D55" s="12" t="str">
        <f>IF(A55="","N/A",'3'!V59)</f>
        <v>N/A</v>
      </c>
      <c r="E55" s="12" t="str">
        <f>IF(A55="","N/A",'4'!V59)</f>
        <v>N/A</v>
      </c>
      <c r="F55" s="12" t="str">
        <f>IF(A55="","N/A",'5'!V59)</f>
        <v>N/A</v>
      </c>
      <c r="K55" s="1"/>
      <c r="L55" s="12" t="str">
        <f>IF(K55="","N/A",'1'!X59)</f>
        <v>N/A</v>
      </c>
      <c r="M55" s="12" t="str">
        <f>IF(K55="","N/A",'2'!X59)</f>
        <v>N/A</v>
      </c>
      <c r="N55" s="12" t="str">
        <f>IF(K55="","N/A",'3'!X59)</f>
        <v>N/A</v>
      </c>
      <c r="O55" s="12" t="str">
        <f>IF(K55="","N/A",'4'!X59)</f>
        <v>N/A</v>
      </c>
      <c r="P55" s="12" t="str">
        <f>IF(K55="","N/A",'5'!X59)</f>
        <v>N/A</v>
      </c>
    </row>
    <row r="56" spans="1:16" x14ac:dyDescent="0.45">
      <c r="A56" s="1"/>
      <c r="B56" s="12" t="str">
        <f>IF(A56="","N/A",'1'!V60)</f>
        <v>N/A</v>
      </c>
      <c r="C56" s="12" t="str">
        <f>IF(A56="","N/A",'2'!V60)</f>
        <v>N/A</v>
      </c>
      <c r="D56" s="12" t="str">
        <f>IF(A56="","N/A",'3'!V60)</f>
        <v>N/A</v>
      </c>
      <c r="E56" s="12" t="str">
        <f>IF(A56="","N/A",'4'!V60)</f>
        <v>N/A</v>
      </c>
      <c r="F56" s="12" t="str">
        <f>IF(A56="","N/A",'5'!V60)</f>
        <v>N/A</v>
      </c>
      <c r="K56" s="1"/>
      <c r="L56" s="12" t="str">
        <f>IF(K56="","N/A",'1'!X60)</f>
        <v>N/A</v>
      </c>
      <c r="M56" s="12" t="str">
        <f>IF(K56="","N/A",'2'!X60)</f>
        <v>N/A</v>
      </c>
      <c r="N56" s="12" t="str">
        <f>IF(K56="","N/A",'3'!X60)</f>
        <v>N/A</v>
      </c>
      <c r="O56" s="12" t="str">
        <f>IF(K56="","N/A",'4'!X60)</f>
        <v>N/A</v>
      </c>
      <c r="P56" s="12" t="str">
        <f>IF(K56="","N/A",'5'!X60)</f>
        <v>N/A</v>
      </c>
    </row>
    <row r="57" spans="1:16" x14ac:dyDescent="0.45">
      <c r="A57" s="1"/>
      <c r="B57" s="12" t="str">
        <f>IF(A57="","N/A",'1'!V61)</f>
        <v>N/A</v>
      </c>
      <c r="C57" s="12" t="str">
        <f>IF(A57="","N/A",'2'!V61)</f>
        <v>N/A</v>
      </c>
      <c r="D57" s="12" t="str">
        <f>IF(A57="","N/A",'3'!V61)</f>
        <v>N/A</v>
      </c>
      <c r="E57" s="12" t="str">
        <f>IF(A57="","N/A",'4'!V61)</f>
        <v>N/A</v>
      </c>
      <c r="F57" s="12" t="str">
        <f>IF(A57="","N/A",'5'!V61)</f>
        <v>N/A</v>
      </c>
      <c r="K57" s="1"/>
      <c r="L57" s="12" t="str">
        <f>IF(K57="","N/A",'1'!X61)</f>
        <v>N/A</v>
      </c>
      <c r="M57" s="12" t="str">
        <f>IF(K57="","N/A",'2'!X61)</f>
        <v>N/A</v>
      </c>
      <c r="N57" s="12" t="str">
        <f>IF(K57="","N/A",'3'!X61)</f>
        <v>N/A</v>
      </c>
      <c r="O57" s="12" t="str">
        <f>IF(K57="","N/A",'4'!X61)</f>
        <v>N/A</v>
      </c>
      <c r="P57" s="12" t="str">
        <f>IF(K57="","N/A",'5'!X61)</f>
        <v>N/A</v>
      </c>
    </row>
    <row r="58" spans="1:16" x14ac:dyDescent="0.45">
      <c r="A58" s="1"/>
      <c r="B58" s="12" t="str">
        <f>IF(A58="","N/A",'1'!V62)</f>
        <v>N/A</v>
      </c>
      <c r="C58" s="12" t="str">
        <f>IF(A58="","N/A",'2'!V62)</f>
        <v>N/A</v>
      </c>
      <c r="D58" s="12" t="str">
        <f>IF(A58="","N/A",'3'!V62)</f>
        <v>N/A</v>
      </c>
      <c r="E58" s="12" t="str">
        <f>IF(A58="","N/A",'4'!V62)</f>
        <v>N/A</v>
      </c>
      <c r="F58" s="12" t="str">
        <f>IF(A58="","N/A",'5'!V62)</f>
        <v>N/A</v>
      </c>
      <c r="K58" s="1"/>
      <c r="L58" s="12" t="str">
        <f>IF(K58="","N/A",'1'!X62)</f>
        <v>N/A</v>
      </c>
      <c r="M58" s="12" t="str">
        <f>IF(K58="","N/A",'2'!X62)</f>
        <v>N/A</v>
      </c>
      <c r="N58" s="12" t="str">
        <f>IF(K58="","N/A",'3'!X62)</f>
        <v>N/A</v>
      </c>
      <c r="O58" s="12" t="str">
        <f>IF(K58="","N/A",'4'!X62)</f>
        <v>N/A</v>
      </c>
      <c r="P58" s="12" t="str">
        <f>IF(K58="","N/A",'5'!X62)</f>
        <v>N/A</v>
      </c>
    </row>
    <row r="59" spans="1:16" x14ac:dyDescent="0.45">
      <c r="A59" s="1"/>
      <c r="B59" s="12" t="str">
        <f>IF(A59="","N/A",'1'!V63)</f>
        <v>N/A</v>
      </c>
      <c r="C59" s="12" t="str">
        <f>IF(A59="","N/A",'2'!V63)</f>
        <v>N/A</v>
      </c>
      <c r="D59" s="12" t="str">
        <f>IF(A59="","N/A",'3'!V63)</f>
        <v>N/A</v>
      </c>
      <c r="E59" s="12" t="str">
        <f>IF(A59="","N/A",'4'!V63)</f>
        <v>N/A</v>
      </c>
      <c r="F59" s="12" t="str">
        <f>IF(A59="","N/A",'5'!V63)</f>
        <v>N/A</v>
      </c>
      <c r="K59" s="1"/>
      <c r="L59" s="12" t="str">
        <f>IF(K59="","N/A",'1'!X63)</f>
        <v>N/A</v>
      </c>
      <c r="M59" s="12" t="str">
        <f>IF(K59="","N/A",'2'!X63)</f>
        <v>N/A</v>
      </c>
      <c r="N59" s="12" t="str">
        <f>IF(K59="","N/A",'3'!X63)</f>
        <v>N/A</v>
      </c>
      <c r="O59" s="12" t="str">
        <f>IF(K59="","N/A",'4'!X63)</f>
        <v>N/A</v>
      </c>
      <c r="P59" s="12" t="str">
        <f>IF(K59="","N/A",'5'!X63)</f>
        <v>N/A</v>
      </c>
    </row>
    <row r="60" spans="1:16" x14ac:dyDescent="0.45">
      <c r="A60" s="1"/>
      <c r="B60" s="12" t="str">
        <f>IF(A60="","N/A",'1'!V64)</f>
        <v>N/A</v>
      </c>
      <c r="C60" s="12" t="str">
        <f>IF(A60="","N/A",'2'!V64)</f>
        <v>N/A</v>
      </c>
      <c r="D60" s="12" t="str">
        <f>IF(A60="","N/A",'3'!V64)</f>
        <v>N/A</v>
      </c>
      <c r="E60" s="12" t="str">
        <f>IF(A60="","N/A",'4'!V64)</f>
        <v>N/A</v>
      </c>
      <c r="F60" s="12" t="str">
        <f>IF(A60="","N/A",'5'!V64)</f>
        <v>N/A</v>
      </c>
      <c r="K60" s="1"/>
      <c r="L60" s="12" t="str">
        <f>IF(K60="","N/A",'1'!X64)</f>
        <v>N/A</v>
      </c>
      <c r="M60" s="12" t="str">
        <f>IF(K60="","N/A",'2'!X64)</f>
        <v>N/A</v>
      </c>
      <c r="N60" s="12" t="str">
        <f>IF(K60="","N/A",'3'!X64)</f>
        <v>N/A</v>
      </c>
      <c r="O60" s="12" t="str">
        <f>IF(K60="","N/A",'4'!X64)</f>
        <v>N/A</v>
      </c>
      <c r="P60" s="12" t="str">
        <f>IF(K60="","N/A",'5'!X64)</f>
        <v>N/A</v>
      </c>
    </row>
    <row r="61" spans="1:16" x14ac:dyDescent="0.45">
      <c r="A61" s="1"/>
      <c r="B61" s="12" t="str">
        <f>IF(A61="","N/A",'1'!V65)</f>
        <v>N/A</v>
      </c>
      <c r="C61" s="12" t="str">
        <f>IF(A61="","N/A",'2'!V65)</f>
        <v>N/A</v>
      </c>
      <c r="D61" s="12" t="str">
        <f>IF(A61="","N/A",'3'!V65)</f>
        <v>N/A</v>
      </c>
      <c r="E61" s="12" t="str">
        <f>IF(A61="","N/A",'4'!V65)</f>
        <v>N/A</v>
      </c>
      <c r="F61" s="12" t="str">
        <f>IF(A61="","N/A",'5'!V65)</f>
        <v>N/A</v>
      </c>
      <c r="K61" s="1"/>
      <c r="L61" s="12" t="str">
        <f>IF(K61="","N/A",'1'!X65)</f>
        <v>N/A</v>
      </c>
      <c r="M61" s="12" t="str">
        <f>IF(K61="","N/A",'2'!X65)</f>
        <v>N/A</v>
      </c>
      <c r="N61" s="12" t="str">
        <f>IF(K61="","N/A",'3'!X65)</f>
        <v>N/A</v>
      </c>
      <c r="O61" s="12" t="str">
        <f>IF(K61="","N/A",'4'!X65)</f>
        <v>N/A</v>
      </c>
      <c r="P61" s="12" t="str">
        <f>IF(K61="","N/A",'5'!X65)</f>
        <v>N/A</v>
      </c>
    </row>
    <row r="62" spans="1:16" x14ac:dyDescent="0.45">
      <c r="A62" s="1"/>
      <c r="B62" s="12" t="str">
        <f>IF(A62="","N/A",'1'!V66)</f>
        <v>N/A</v>
      </c>
      <c r="C62" s="12" t="str">
        <f>IF(A62="","N/A",'2'!V66)</f>
        <v>N/A</v>
      </c>
      <c r="D62" s="12" t="str">
        <f>IF(A62="","N/A",'3'!V66)</f>
        <v>N/A</v>
      </c>
      <c r="E62" s="12" t="str">
        <f>IF(A62="","N/A",'4'!V66)</f>
        <v>N/A</v>
      </c>
      <c r="F62" s="12" t="str">
        <f>IF(A62="","N/A",'5'!V66)</f>
        <v>N/A</v>
      </c>
      <c r="K62" s="1"/>
      <c r="L62" s="12" t="str">
        <f>IF(K62="","N/A",'1'!X66)</f>
        <v>N/A</v>
      </c>
      <c r="M62" s="12" t="str">
        <f>IF(K62="","N/A",'2'!X66)</f>
        <v>N/A</v>
      </c>
      <c r="N62" s="12" t="str">
        <f>IF(K62="","N/A",'3'!X66)</f>
        <v>N/A</v>
      </c>
      <c r="O62" s="12" t="str">
        <f>IF(K62="","N/A",'4'!X66)</f>
        <v>N/A</v>
      </c>
      <c r="P62" s="12" t="str">
        <f>IF(K62="","N/A",'5'!X66)</f>
        <v>N/A</v>
      </c>
    </row>
    <row r="63" spans="1:16" x14ac:dyDescent="0.45">
      <c r="A63" s="1"/>
      <c r="B63" s="12" t="str">
        <f>IF(A63="","N/A",'1'!V67)</f>
        <v>N/A</v>
      </c>
      <c r="C63" s="12" t="str">
        <f>IF(A63="","N/A",'2'!V67)</f>
        <v>N/A</v>
      </c>
      <c r="D63" s="12" t="str">
        <f>IF(A63="","N/A",'3'!V67)</f>
        <v>N/A</v>
      </c>
      <c r="E63" s="12" t="str">
        <f>IF(A63="","N/A",'4'!V67)</f>
        <v>N/A</v>
      </c>
      <c r="F63" s="12" t="str">
        <f>IF(A63="","N/A",'5'!V67)</f>
        <v>N/A</v>
      </c>
      <c r="K63" s="1"/>
      <c r="L63" s="12" t="str">
        <f>IF(K63="","N/A",'1'!X67)</f>
        <v>N/A</v>
      </c>
      <c r="M63" s="12" t="str">
        <f>IF(K63="","N/A",'2'!X67)</f>
        <v>N/A</v>
      </c>
      <c r="N63" s="12" t="str">
        <f>IF(K63="","N/A",'3'!X67)</f>
        <v>N/A</v>
      </c>
      <c r="O63" s="12" t="str">
        <f>IF(K63="","N/A",'4'!X67)</f>
        <v>N/A</v>
      </c>
      <c r="P63" s="12" t="str">
        <f>IF(K63="","N/A",'5'!X67)</f>
        <v>N/A</v>
      </c>
    </row>
    <row r="64" spans="1:16" x14ac:dyDescent="0.45">
      <c r="A64" s="1"/>
      <c r="B64" s="12" t="str">
        <f>IF(A64="","N/A",'1'!V68)</f>
        <v>N/A</v>
      </c>
      <c r="C64" s="12" t="str">
        <f>IF(A64="","N/A",'2'!V68)</f>
        <v>N/A</v>
      </c>
      <c r="D64" s="12" t="str">
        <f>IF(A64="","N/A",'3'!V68)</f>
        <v>N/A</v>
      </c>
      <c r="E64" s="12" t="str">
        <f>IF(A64="","N/A",'4'!V68)</f>
        <v>N/A</v>
      </c>
      <c r="F64" s="12" t="str">
        <f>IF(A64="","N/A",'5'!V68)</f>
        <v>N/A</v>
      </c>
      <c r="K64" s="1"/>
      <c r="L64" s="12" t="str">
        <f>IF(K64="","N/A",'1'!X68)</f>
        <v>N/A</v>
      </c>
      <c r="M64" s="12" t="str">
        <f>IF(K64="","N/A",'2'!X68)</f>
        <v>N/A</v>
      </c>
      <c r="N64" s="12" t="str">
        <f>IF(K64="","N/A",'3'!X68)</f>
        <v>N/A</v>
      </c>
      <c r="O64" s="12" t="str">
        <f>IF(K64="","N/A",'4'!X68)</f>
        <v>N/A</v>
      </c>
      <c r="P64" s="12" t="str">
        <f>IF(K64="","N/A",'5'!X68)</f>
        <v>N/A</v>
      </c>
    </row>
    <row r="65" spans="1:16" x14ac:dyDescent="0.45">
      <c r="A65" s="1"/>
      <c r="B65" s="12" t="str">
        <f>IF(A65="","N/A",'1'!V69)</f>
        <v>N/A</v>
      </c>
      <c r="C65" s="12" t="str">
        <f>IF(A65="","N/A",'2'!V69)</f>
        <v>N/A</v>
      </c>
      <c r="D65" s="12" t="str">
        <f>IF(A65="","N/A",'3'!V69)</f>
        <v>N/A</v>
      </c>
      <c r="E65" s="12" t="str">
        <f>IF(A65="","N/A",'4'!V69)</f>
        <v>N/A</v>
      </c>
      <c r="F65" s="12" t="str">
        <f>IF(A65="","N/A",'5'!V69)</f>
        <v>N/A</v>
      </c>
      <c r="K65" s="1"/>
      <c r="L65" s="12" t="str">
        <f>IF(K65="","N/A",'1'!X69)</f>
        <v>N/A</v>
      </c>
      <c r="M65" s="12" t="str">
        <f>IF(K65="","N/A",'2'!X69)</f>
        <v>N/A</v>
      </c>
      <c r="N65" s="12" t="str">
        <f>IF(K65="","N/A",'3'!X69)</f>
        <v>N/A</v>
      </c>
      <c r="O65" s="12" t="str">
        <f>IF(K65="","N/A",'4'!X69)</f>
        <v>N/A</v>
      </c>
      <c r="P65" s="12" t="str">
        <f>IF(K65="","N/A",'5'!X69)</f>
        <v>N/A</v>
      </c>
    </row>
    <row r="66" spans="1:16" x14ac:dyDescent="0.45">
      <c r="A66" s="1"/>
      <c r="B66" s="12" t="str">
        <f>IF(A66="","N/A",'1'!V70)</f>
        <v>N/A</v>
      </c>
      <c r="C66" s="12" t="str">
        <f>IF(A66="","N/A",'2'!V70)</f>
        <v>N/A</v>
      </c>
      <c r="D66" s="12" t="str">
        <f>IF(A66="","N/A",'3'!V70)</f>
        <v>N/A</v>
      </c>
      <c r="E66" s="12" t="str">
        <f>IF(A66="","N/A",'4'!V70)</f>
        <v>N/A</v>
      </c>
      <c r="F66" s="12" t="str">
        <f>IF(A66="","N/A",'5'!V70)</f>
        <v>N/A</v>
      </c>
      <c r="K66" s="1"/>
      <c r="L66" s="12" t="str">
        <f>IF(K66="","N/A",'1'!X70)</f>
        <v>N/A</v>
      </c>
      <c r="M66" s="12" t="str">
        <f>IF(K66="","N/A",'2'!X70)</f>
        <v>N/A</v>
      </c>
      <c r="N66" s="12" t="str">
        <f>IF(K66="","N/A",'3'!X70)</f>
        <v>N/A</v>
      </c>
      <c r="O66" s="12" t="str">
        <f>IF(K66="","N/A",'4'!X70)</f>
        <v>N/A</v>
      </c>
      <c r="P66" s="12" t="str">
        <f>IF(K66="","N/A",'5'!X70)</f>
        <v>N/A</v>
      </c>
    </row>
    <row r="67" spans="1:16" x14ac:dyDescent="0.45">
      <c r="A67" s="1"/>
      <c r="B67" s="12" t="str">
        <f>IF(A67="","N/A",'1'!V71)</f>
        <v>N/A</v>
      </c>
      <c r="C67" s="12" t="str">
        <f>IF(A67="","N/A",'2'!V71)</f>
        <v>N/A</v>
      </c>
      <c r="D67" s="12" t="str">
        <f>IF(A67="","N/A",'3'!V71)</f>
        <v>N/A</v>
      </c>
      <c r="E67" s="12" t="str">
        <f>IF(A67="","N/A",'4'!V71)</f>
        <v>N/A</v>
      </c>
      <c r="F67" s="12" t="str">
        <f>IF(A67="","N/A",'5'!V71)</f>
        <v>N/A</v>
      </c>
      <c r="K67" s="1"/>
      <c r="L67" s="12" t="str">
        <f>IF(K67="","N/A",'1'!X71)</f>
        <v>N/A</v>
      </c>
      <c r="M67" s="12" t="str">
        <f>IF(K67="","N/A",'2'!X71)</f>
        <v>N/A</v>
      </c>
      <c r="N67" s="12" t="str">
        <f>IF(K67="","N/A",'3'!X71)</f>
        <v>N/A</v>
      </c>
      <c r="O67" s="12" t="str">
        <f>IF(K67="","N/A",'4'!X71)</f>
        <v>N/A</v>
      </c>
      <c r="P67" s="12" t="str">
        <f>IF(K67="","N/A",'5'!X71)</f>
        <v>N/A</v>
      </c>
    </row>
    <row r="68" spans="1:16" x14ac:dyDescent="0.45">
      <c r="A68" s="1"/>
      <c r="B68" s="12" t="str">
        <f>IF(A68="","N/A",'1'!V72)</f>
        <v>N/A</v>
      </c>
      <c r="C68" s="12" t="str">
        <f>IF(A68="","N/A",'2'!V72)</f>
        <v>N/A</v>
      </c>
      <c r="D68" s="12" t="str">
        <f>IF(A68="","N/A",'3'!V72)</f>
        <v>N/A</v>
      </c>
      <c r="E68" s="12" t="str">
        <f>IF(A68="","N/A",'4'!V72)</f>
        <v>N/A</v>
      </c>
      <c r="F68" s="12" t="str">
        <f>IF(A68="","N/A",'5'!V72)</f>
        <v>N/A</v>
      </c>
      <c r="K68" s="1"/>
      <c r="L68" s="12" t="str">
        <f>IF(K68="","N/A",'1'!X72)</f>
        <v>N/A</v>
      </c>
      <c r="M68" s="12" t="str">
        <f>IF(K68="","N/A",'2'!X72)</f>
        <v>N/A</v>
      </c>
      <c r="N68" s="12" t="str">
        <f>IF(K68="","N/A",'3'!X72)</f>
        <v>N/A</v>
      </c>
      <c r="O68" s="12" t="str">
        <f>IF(K68="","N/A",'4'!X72)</f>
        <v>N/A</v>
      </c>
      <c r="P68" s="12" t="str">
        <f>IF(K68="","N/A",'5'!X72)</f>
        <v>N/A</v>
      </c>
    </row>
    <row r="69" spans="1:16" x14ac:dyDescent="0.45">
      <c r="A69" s="1"/>
      <c r="B69" s="12" t="str">
        <f>IF(A69="","N/A",'1'!V73)</f>
        <v>N/A</v>
      </c>
      <c r="C69" s="12" t="str">
        <f>IF(A69="","N/A",'2'!V73)</f>
        <v>N/A</v>
      </c>
      <c r="D69" s="12" t="str">
        <f>IF(A69="","N/A",'3'!V73)</f>
        <v>N/A</v>
      </c>
      <c r="E69" s="12" t="str">
        <f>IF(A69="","N/A",'4'!V73)</f>
        <v>N/A</v>
      </c>
      <c r="F69" s="12" t="str">
        <f>IF(A69="","N/A",'5'!V73)</f>
        <v>N/A</v>
      </c>
      <c r="K69" s="1"/>
      <c r="L69" s="12" t="str">
        <f>IF(K69="","N/A",'1'!X73)</f>
        <v>N/A</v>
      </c>
      <c r="M69" s="12" t="str">
        <f>IF(K69="","N/A",'2'!X73)</f>
        <v>N/A</v>
      </c>
      <c r="N69" s="12" t="str">
        <f>IF(K69="","N/A",'3'!X73)</f>
        <v>N/A</v>
      </c>
      <c r="O69" s="12" t="str">
        <f>IF(K69="","N/A",'4'!X73)</f>
        <v>N/A</v>
      </c>
      <c r="P69" s="12" t="str">
        <f>IF(K69="","N/A",'5'!X73)</f>
        <v>N/A</v>
      </c>
    </row>
    <row r="70" spans="1:16" x14ac:dyDescent="0.45">
      <c r="A70" s="1"/>
      <c r="B70" s="12" t="str">
        <f>IF(A70="","N/A",'1'!V74)</f>
        <v>N/A</v>
      </c>
      <c r="C70" s="12" t="str">
        <f>IF(A70="","N/A",'2'!V74)</f>
        <v>N/A</v>
      </c>
      <c r="D70" s="12" t="str">
        <f>IF(A70="","N/A",'3'!V74)</f>
        <v>N/A</v>
      </c>
      <c r="E70" s="12" t="str">
        <f>IF(A70="","N/A",'4'!V74)</f>
        <v>N/A</v>
      </c>
      <c r="F70" s="12" t="str">
        <f>IF(A70="","N/A",'5'!V74)</f>
        <v>N/A</v>
      </c>
      <c r="K70" s="1"/>
      <c r="L70" s="12" t="str">
        <f>IF(K70="","N/A",'1'!X74)</f>
        <v>N/A</v>
      </c>
      <c r="M70" s="12" t="str">
        <f>IF(K70="","N/A",'2'!X74)</f>
        <v>N/A</v>
      </c>
      <c r="N70" s="12" t="str">
        <f>IF(K70="","N/A",'3'!X74)</f>
        <v>N/A</v>
      </c>
      <c r="O70" s="12" t="str">
        <f>IF(K70="","N/A",'4'!X74)</f>
        <v>N/A</v>
      </c>
      <c r="P70" s="12" t="str">
        <f>IF(K70="","N/A",'5'!X74)</f>
        <v>N/A</v>
      </c>
    </row>
    <row r="71" spans="1:16" x14ac:dyDescent="0.45">
      <c r="A71" s="1"/>
      <c r="B71" s="12" t="str">
        <f>IF(A71="","N/A",'1'!V75)</f>
        <v>N/A</v>
      </c>
      <c r="C71" s="12" t="str">
        <f>IF(A71="","N/A",'2'!V75)</f>
        <v>N/A</v>
      </c>
      <c r="D71" s="12" t="str">
        <f>IF(A71="","N/A",'3'!V75)</f>
        <v>N/A</v>
      </c>
      <c r="E71" s="12" t="str">
        <f>IF(A71="","N/A",'4'!V75)</f>
        <v>N/A</v>
      </c>
      <c r="F71" s="12" t="str">
        <f>IF(A71="","N/A",'5'!V75)</f>
        <v>N/A</v>
      </c>
      <c r="K71" s="1"/>
      <c r="L71" s="12" t="str">
        <f>IF(K71="","N/A",'1'!X75)</f>
        <v>N/A</v>
      </c>
      <c r="M71" s="12" t="str">
        <f>IF(K71="","N/A",'2'!X75)</f>
        <v>N/A</v>
      </c>
      <c r="N71" s="12" t="str">
        <f>IF(K71="","N/A",'3'!X75)</f>
        <v>N/A</v>
      </c>
      <c r="O71" s="12" t="str">
        <f>IF(K71="","N/A",'4'!X75)</f>
        <v>N/A</v>
      </c>
      <c r="P71" s="12" t="str">
        <f>IF(K71="","N/A",'5'!X75)</f>
        <v>N/A</v>
      </c>
    </row>
    <row r="72" spans="1:16" x14ac:dyDescent="0.45">
      <c r="A72" s="1"/>
      <c r="B72" s="12" t="str">
        <f>IF(A72="","N/A",'1'!V76)</f>
        <v>N/A</v>
      </c>
      <c r="C72" s="12" t="str">
        <f>IF(A72="","N/A",'2'!V76)</f>
        <v>N/A</v>
      </c>
      <c r="D72" s="12" t="str">
        <f>IF(A72="","N/A",'3'!V76)</f>
        <v>N/A</v>
      </c>
      <c r="E72" s="12" t="str">
        <f>IF(A72="","N/A",'4'!V76)</f>
        <v>N/A</v>
      </c>
      <c r="F72" s="12" t="str">
        <f>IF(A72="","N/A",'5'!V76)</f>
        <v>N/A</v>
      </c>
      <c r="K72" s="1"/>
      <c r="L72" s="12" t="str">
        <f>IF(K72="","N/A",'1'!X76)</f>
        <v>N/A</v>
      </c>
      <c r="M72" s="12" t="str">
        <f>IF(K72="","N/A",'2'!X76)</f>
        <v>N/A</v>
      </c>
      <c r="N72" s="12" t="str">
        <f>IF(K72="","N/A",'3'!X76)</f>
        <v>N/A</v>
      </c>
      <c r="O72" s="12" t="str">
        <f>IF(K72="","N/A",'4'!X76)</f>
        <v>N/A</v>
      </c>
      <c r="P72" s="12" t="str">
        <f>IF(K72="","N/A",'5'!X76)</f>
        <v>N/A</v>
      </c>
    </row>
    <row r="73" spans="1:16" x14ac:dyDescent="0.45">
      <c r="A73" s="1"/>
      <c r="B73" s="12" t="str">
        <f>IF(A73="","N/A",'1'!V77)</f>
        <v>N/A</v>
      </c>
      <c r="C73" s="12" t="str">
        <f>IF(A73="","N/A",'2'!V77)</f>
        <v>N/A</v>
      </c>
      <c r="D73" s="12" t="str">
        <f>IF(A73="","N/A",'3'!V77)</f>
        <v>N/A</v>
      </c>
      <c r="E73" s="12" t="str">
        <f>IF(A73="","N/A",'4'!V77)</f>
        <v>N/A</v>
      </c>
      <c r="F73" s="12" t="str">
        <f>IF(A73="","N/A",'5'!V77)</f>
        <v>N/A</v>
      </c>
      <c r="K73" s="1"/>
      <c r="L73" s="12" t="str">
        <f>IF(K73="","N/A",'1'!X77)</f>
        <v>N/A</v>
      </c>
      <c r="M73" s="12" t="str">
        <f>IF(K73="","N/A",'2'!X77)</f>
        <v>N/A</v>
      </c>
      <c r="N73" s="12" t="str">
        <f>IF(K73="","N/A",'3'!X77)</f>
        <v>N/A</v>
      </c>
      <c r="O73" s="12" t="str">
        <f>IF(K73="","N/A",'4'!X77)</f>
        <v>N/A</v>
      </c>
      <c r="P73" s="12" t="str">
        <f>IF(K73="","N/A",'5'!X77)</f>
        <v>N/A</v>
      </c>
    </row>
    <row r="74" spans="1:16" x14ac:dyDescent="0.45">
      <c r="A74" s="1"/>
      <c r="B74" s="12" t="str">
        <f>IF(A74="","N/A",'1'!V78)</f>
        <v>N/A</v>
      </c>
      <c r="C74" s="12" t="str">
        <f>IF(A74="","N/A",'2'!V78)</f>
        <v>N/A</v>
      </c>
      <c r="D74" s="12" t="str">
        <f>IF(A74="","N/A",'3'!V78)</f>
        <v>N/A</v>
      </c>
      <c r="E74" s="12" t="str">
        <f>IF(A74="","N/A",'4'!V78)</f>
        <v>N/A</v>
      </c>
      <c r="F74" s="12" t="str">
        <f>IF(A74="","N/A",'5'!V78)</f>
        <v>N/A</v>
      </c>
      <c r="K74" s="1"/>
      <c r="L74" s="12" t="str">
        <f>IF(K74="","N/A",'1'!X78)</f>
        <v>N/A</v>
      </c>
      <c r="M74" s="12" t="str">
        <f>IF(K74="","N/A",'2'!X78)</f>
        <v>N/A</v>
      </c>
      <c r="N74" s="12" t="str">
        <f>IF(K74="","N/A",'3'!X78)</f>
        <v>N/A</v>
      </c>
      <c r="O74" s="12" t="str">
        <f>IF(K74="","N/A",'4'!X78)</f>
        <v>N/A</v>
      </c>
      <c r="P74" s="12" t="str">
        <f>IF(K74="","N/A",'5'!X78)</f>
        <v>N/A</v>
      </c>
    </row>
    <row r="75" spans="1:16" x14ac:dyDescent="0.45">
      <c r="A75" s="1"/>
      <c r="B75" s="12" t="str">
        <f>IF(A75="","N/A",'1'!V79)</f>
        <v>N/A</v>
      </c>
      <c r="C75" s="12" t="str">
        <f>IF(A75="","N/A",'2'!V79)</f>
        <v>N/A</v>
      </c>
      <c r="D75" s="12" t="str">
        <f>IF(A75="","N/A",'3'!V79)</f>
        <v>N/A</v>
      </c>
      <c r="E75" s="12" t="str">
        <f>IF(A75="","N/A",'4'!V79)</f>
        <v>N/A</v>
      </c>
      <c r="F75" s="12" t="str">
        <f>IF(A75="","N/A",'5'!V79)</f>
        <v>N/A</v>
      </c>
      <c r="K75" s="1"/>
      <c r="L75" s="12" t="str">
        <f>IF(K75="","N/A",'1'!X79)</f>
        <v>N/A</v>
      </c>
      <c r="M75" s="12" t="str">
        <f>IF(K75="","N/A",'2'!X79)</f>
        <v>N/A</v>
      </c>
      <c r="N75" s="12" t="str">
        <f>IF(K75="","N/A",'3'!X79)</f>
        <v>N/A</v>
      </c>
      <c r="O75" s="12" t="str">
        <f>IF(K75="","N/A",'4'!X79)</f>
        <v>N/A</v>
      </c>
      <c r="P75" s="12" t="str">
        <f>IF(K75="","N/A",'5'!X79)</f>
        <v>N/A</v>
      </c>
    </row>
    <row r="76" spans="1:16" x14ac:dyDescent="0.45">
      <c r="A76" s="1"/>
      <c r="B76" s="12" t="str">
        <f>IF(A76="","N/A",'1'!V80)</f>
        <v>N/A</v>
      </c>
      <c r="C76" s="12" t="str">
        <f>IF(A76="","N/A",'2'!V80)</f>
        <v>N/A</v>
      </c>
      <c r="D76" s="12" t="str">
        <f>IF(A76="","N/A",'3'!V80)</f>
        <v>N/A</v>
      </c>
      <c r="E76" s="12" t="str">
        <f>IF(A76="","N/A",'4'!V80)</f>
        <v>N/A</v>
      </c>
      <c r="F76" s="12" t="str">
        <f>IF(A76="","N/A",'5'!V80)</f>
        <v>N/A</v>
      </c>
      <c r="K76" s="1"/>
      <c r="L76" s="12" t="str">
        <f>IF(K76="","N/A",'1'!X80)</f>
        <v>N/A</v>
      </c>
      <c r="M76" s="12" t="str">
        <f>IF(K76="","N/A",'2'!X80)</f>
        <v>N/A</v>
      </c>
      <c r="N76" s="12" t="str">
        <f>IF(K76="","N/A",'3'!X80)</f>
        <v>N/A</v>
      </c>
      <c r="O76" s="12" t="str">
        <f>IF(K76="","N/A",'4'!X80)</f>
        <v>N/A</v>
      </c>
      <c r="P76" s="12" t="str">
        <f>IF(K76="","N/A",'5'!X80)</f>
        <v>N/A</v>
      </c>
    </row>
    <row r="77" spans="1:16" x14ac:dyDescent="0.45">
      <c r="A77" s="1"/>
      <c r="B77" s="12" t="str">
        <f>IF(A77="","N/A",'1'!V81)</f>
        <v>N/A</v>
      </c>
      <c r="C77" s="12" t="str">
        <f>IF(A77="","N/A",'2'!V81)</f>
        <v>N/A</v>
      </c>
      <c r="D77" s="12" t="str">
        <f>IF(A77="","N/A",'3'!V81)</f>
        <v>N/A</v>
      </c>
      <c r="E77" s="12" t="str">
        <f>IF(A77="","N/A",'4'!V81)</f>
        <v>N/A</v>
      </c>
      <c r="F77" s="12" t="str">
        <f>IF(A77="","N/A",'5'!V81)</f>
        <v>N/A</v>
      </c>
      <c r="K77" s="1"/>
      <c r="L77" s="12" t="str">
        <f>IF(K77="","N/A",'1'!X81)</f>
        <v>N/A</v>
      </c>
      <c r="M77" s="12" t="str">
        <f>IF(K77="","N/A",'2'!X81)</f>
        <v>N/A</v>
      </c>
      <c r="N77" s="12" t="str">
        <f>IF(K77="","N/A",'3'!X81)</f>
        <v>N/A</v>
      </c>
      <c r="O77" s="12" t="str">
        <f>IF(K77="","N/A",'4'!X81)</f>
        <v>N/A</v>
      </c>
      <c r="P77" s="12" t="str">
        <f>IF(K77="","N/A",'5'!X81)</f>
        <v>N/A</v>
      </c>
    </row>
    <row r="78" spans="1:16" x14ac:dyDescent="0.45">
      <c r="A78" s="1"/>
      <c r="B78" s="12" t="str">
        <f>IF(A78="","N/A",'1'!V82)</f>
        <v>N/A</v>
      </c>
      <c r="C78" s="12" t="str">
        <f>IF(A78="","N/A",'2'!V82)</f>
        <v>N/A</v>
      </c>
      <c r="D78" s="12" t="str">
        <f>IF(A78="","N/A",'3'!V82)</f>
        <v>N/A</v>
      </c>
      <c r="E78" s="12" t="str">
        <f>IF(A78="","N/A",'4'!V82)</f>
        <v>N/A</v>
      </c>
      <c r="F78" s="12" t="str">
        <f>IF(A78="","N/A",'5'!V82)</f>
        <v>N/A</v>
      </c>
      <c r="K78" s="1"/>
      <c r="L78" s="12" t="str">
        <f>IF(K78="","N/A",'1'!X82)</f>
        <v>N/A</v>
      </c>
      <c r="M78" s="12" t="str">
        <f>IF(K78="","N/A",'2'!X82)</f>
        <v>N/A</v>
      </c>
      <c r="N78" s="12" t="str">
        <f>IF(K78="","N/A",'3'!X82)</f>
        <v>N/A</v>
      </c>
      <c r="O78" s="12" t="str">
        <f>IF(K78="","N/A",'4'!X82)</f>
        <v>N/A</v>
      </c>
      <c r="P78" s="12" t="str">
        <f>IF(K78="","N/A",'5'!X82)</f>
        <v>N/A</v>
      </c>
    </row>
    <row r="79" spans="1:16" x14ac:dyDescent="0.45">
      <c r="A79" s="1"/>
      <c r="B79" s="12" t="str">
        <f>IF(A79="","N/A",'1'!V83)</f>
        <v>N/A</v>
      </c>
      <c r="C79" s="12" t="str">
        <f>IF(A79="","N/A",'2'!V83)</f>
        <v>N/A</v>
      </c>
      <c r="D79" s="12" t="str">
        <f>IF(A79="","N/A",'3'!V83)</f>
        <v>N/A</v>
      </c>
      <c r="E79" s="12" t="str">
        <f>IF(A79="","N/A",'4'!V83)</f>
        <v>N/A</v>
      </c>
      <c r="F79" s="12" t="str">
        <f>IF(A79="","N/A",'5'!V83)</f>
        <v>N/A</v>
      </c>
      <c r="K79" s="1"/>
      <c r="L79" s="12" t="str">
        <f>IF(K79="","N/A",'1'!X83)</f>
        <v>N/A</v>
      </c>
      <c r="M79" s="12" t="str">
        <f>IF(K79="","N/A",'2'!X83)</f>
        <v>N/A</v>
      </c>
      <c r="N79" s="12" t="str">
        <f>IF(K79="","N/A",'3'!X83)</f>
        <v>N/A</v>
      </c>
      <c r="O79" s="12" t="str">
        <f>IF(K79="","N/A",'4'!X83)</f>
        <v>N/A</v>
      </c>
      <c r="P79" s="12" t="str">
        <f>IF(K79="","N/A",'5'!X83)</f>
        <v>N/A</v>
      </c>
    </row>
    <row r="80" spans="1:16" x14ac:dyDescent="0.45">
      <c r="A80" s="1"/>
      <c r="B80" s="12" t="str">
        <f>IF(A80="","N/A",'1'!V84)</f>
        <v>N/A</v>
      </c>
      <c r="C80" s="12" t="str">
        <f>IF(A80="","N/A",'2'!V84)</f>
        <v>N/A</v>
      </c>
      <c r="D80" s="12" t="str">
        <f>IF(A80="","N/A",'3'!V84)</f>
        <v>N/A</v>
      </c>
      <c r="E80" s="12" t="str">
        <f>IF(A80="","N/A",'4'!V84)</f>
        <v>N/A</v>
      </c>
      <c r="F80" s="12" t="str">
        <f>IF(A80="","N/A",'5'!V84)</f>
        <v>N/A</v>
      </c>
      <c r="K80" s="1"/>
      <c r="L80" s="12" t="str">
        <f>IF(K80="","N/A",'1'!X84)</f>
        <v>N/A</v>
      </c>
      <c r="M80" s="12" t="str">
        <f>IF(K80="","N/A",'2'!X84)</f>
        <v>N/A</v>
      </c>
      <c r="N80" s="12" t="str">
        <f>IF(K80="","N/A",'3'!X84)</f>
        <v>N/A</v>
      </c>
      <c r="O80" s="12" t="str">
        <f>IF(K80="","N/A",'4'!X84)</f>
        <v>N/A</v>
      </c>
      <c r="P80" s="12" t="str">
        <f>IF(K80="","N/A",'5'!X84)</f>
        <v>N/A</v>
      </c>
    </row>
    <row r="81" spans="1:16" x14ac:dyDescent="0.45">
      <c r="A81" s="1"/>
      <c r="B81" s="12" t="str">
        <f>IF(A81="","N/A",'1'!V85)</f>
        <v>N/A</v>
      </c>
      <c r="C81" s="12" t="str">
        <f>IF(A81="","N/A",'2'!V85)</f>
        <v>N/A</v>
      </c>
      <c r="D81" s="12" t="str">
        <f>IF(A81="","N/A",'3'!V85)</f>
        <v>N/A</v>
      </c>
      <c r="E81" s="12" t="str">
        <f>IF(A81="","N/A",'4'!V85)</f>
        <v>N/A</v>
      </c>
      <c r="F81" s="12" t="str">
        <f>IF(A81="","N/A",'5'!V85)</f>
        <v>N/A</v>
      </c>
      <c r="K81" s="1"/>
      <c r="L81" s="12" t="str">
        <f>IF(K81="","N/A",'1'!X85)</f>
        <v>N/A</v>
      </c>
      <c r="M81" s="12" t="str">
        <f>IF(K81="","N/A",'2'!X85)</f>
        <v>N/A</v>
      </c>
      <c r="N81" s="12" t="str">
        <f>IF(K81="","N/A",'3'!X85)</f>
        <v>N/A</v>
      </c>
      <c r="O81" s="12" t="str">
        <f>IF(K81="","N/A",'4'!X85)</f>
        <v>N/A</v>
      </c>
      <c r="P81" s="12" t="str">
        <f>IF(K81="","N/A",'5'!X85)</f>
        <v>N/A</v>
      </c>
    </row>
    <row r="82" spans="1:16" x14ac:dyDescent="0.45">
      <c r="A82" s="1"/>
      <c r="B82" s="12" t="str">
        <f>IF(A82="","N/A",'1'!V86)</f>
        <v>N/A</v>
      </c>
      <c r="C82" s="12" t="str">
        <f>IF(A82="","N/A",'2'!V86)</f>
        <v>N/A</v>
      </c>
      <c r="D82" s="12" t="str">
        <f>IF(A82="","N/A",'3'!V86)</f>
        <v>N/A</v>
      </c>
      <c r="E82" s="12" t="str">
        <f>IF(A82="","N/A",'4'!V86)</f>
        <v>N/A</v>
      </c>
      <c r="F82" s="12" t="str">
        <f>IF(A82="","N/A",'5'!V86)</f>
        <v>N/A</v>
      </c>
      <c r="K82" s="1"/>
      <c r="L82" s="12" t="str">
        <f>IF(K82="","N/A",'1'!X86)</f>
        <v>N/A</v>
      </c>
      <c r="M82" s="12" t="str">
        <f>IF(K82="","N/A",'2'!X86)</f>
        <v>N/A</v>
      </c>
      <c r="N82" s="12" t="str">
        <f>IF(K82="","N/A",'3'!X86)</f>
        <v>N/A</v>
      </c>
      <c r="O82" s="12" t="str">
        <f>IF(K82="","N/A",'4'!X86)</f>
        <v>N/A</v>
      </c>
      <c r="P82" s="12" t="str">
        <f>IF(K82="","N/A",'5'!X86)</f>
        <v>N/A</v>
      </c>
    </row>
    <row r="83" spans="1:16" x14ac:dyDescent="0.45">
      <c r="A83" s="1"/>
      <c r="B83" s="12" t="str">
        <f>IF(A83="","N/A",'1'!V87)</f>
        <v>N/A</v>
      </c>
      <c r="C83" s="12" t="str">
        <f>IF(A83="","N/A",'2'!V87)</f>
        <v>N/A</v>
      </c>
      <c r="D83" s="12" t="str">
        <f>IF(A83="","N/A",'3'!V87)</f>
        <v>N/A</v>
      </c>
      <c r="E83" s="12" t="str">
        <f>IF(A83="","N/A",'4'!V87)</f>
        <v>N/A</v>
      </c>
      <c r="F83" s="12" t="str">
        <f>IF(A83="","N/A",'5'!V87)</f>
        <v>N/A</v>
      </c>
      <c r="K83" s="1"/>
      <c r="L83" s="12" t="str">
        <f>IF(K83="","N/A",'1'!X87)</f>
        <v>N/A</v>
      </c>
      <c r="M83" s="12" t="str">
        <f>IF(K83="","N/A",'2'!X87)</f>
        <v>N/A</v>
      </c>
      <c r="N83" s="12" t="str">
        <f>IF(K83="","N/A",'3'!X87)</f>
        <v>N/A</v>
      </c>
      <c r="O83" s="12" t="str">
        <f>IF(K83="","N/A",'4'!X87)</f>
        <v>N/A</v>
      </c>
      <c r="P83" s="12" t="str">
        <f>IF(K83="","N/A",'5'!X87)</f>
        <v>N/A</v>
      </c>
    </row>
    <row r="84" spans="1:16" x14ac:dyDescent="0.45">
      <c r="A84" s="1"/>
      <c r="B84" s="12" t="str">
        <f>IF(A84="","N/A",'1'!V88)</f>
        <v>N/A</v>
      </c>
      <c r="C84" s="12" t="str">
        <f>IF(A84="","N/A",'2'!V88)</f>
        <v>N/A</v>
      </c>
      <c r="D84" s="12" t="str">
        <f>IF(A84="","N/A",'3'!V88)</f>
        <v>N/A</v>
      </c>
      <c r="E84" s="12" t="str">
        <f>IF(A84="","N/A",'4'!V88)</f>
        <v>N/A</v>
      </c>
      <c r="F84" s="12" t="str">
        <f>IF(A84="","N/A",'5'!V88)</f>
        <v>N/A</v>
      </c>
      <c r="K84" s="1"/>
      <c r="L84" s="12" t="str">
        <f>IF(K84="","N/A",'1'!X88)</f>
        <v>N/A</v>
      </c>
      <c r="M84" s="12" t="str">
        <f>IF(K84="","N/A",'2'!X88)</f>
        <v>N/A</v>
      </c>
      <c r="N84" s="12" t="str">
        <f>IF(K84="","N/A",'3'!X88)</f>
        <v>N/A</v>
      </c>
      <c r="O84" s="12" t="str">
        <f>IF(K84="","N/A",'4'!X88)</f>
        <v>N/A</v>
      </c>
      <c r="P84" s="12" t="str">
        <f>IF(K84="","N/A",'5'!X88)</f>
        <v>N/A</v>
      </c>
    </row>
    <row r="85" spans="1:16" x14ac:dyDescent="0.45">
      <c r="A85" s="1"/>
      <c r="B85" s="12" t="str">
        <f>IF(A85="","N/A",'1'!V89)</f>
        <v>N/A</v>
      </c>
      <c r="C85" s="12" t="str">
        <f>IF(A85="","N/A",'2'!V89)</f>
        <v>N/A</v>
      </c>
      <c r="D85" s="12" t="str">
        <f>IF(A85="","N/A",'3'!V89)</f>
        <v>N/A</v>
      </c>
      <c r="E85" s="12" t="str">
        <f>IF(A85="","N/A",'4'!V89)</f>
        <v>N/A</v>
      </c>
      <c r="F85" s="12" t="str">
        <f>IF(A85="","N/A",'5'!V89)</f>
        <v>N/A</v>
      </c>
      <c r="K85" s="1"/>
      <c r="L85" s="12" t="str">
        <f>IF(K85="","N/A",'1'!X89)</f>
        <v>N/A</v>
      </c>
      <c r="M85" s="12" t="str">
        <f>IF(K85="","N/A",'2'!X89)</f>
        <v>N/A</v>
      </c>
      <c r="N85" s="12" t="str">
        <f>IF(K85="","N/A",'3'!X89)</f>
        <v>N/A</v>
      </c>
      <c r="O85" s="12" t="str">
        <f>IF(K85="","N/A",'4'!X89)</f>
        <v>N/A</v>
      </c>
      <c r="P85" s="12" t="str">
        <f>IF(K85="","N/A",'5'!X89)</f>
        <v>N/A</v>
      </c>
    </row>
    <row r="86" spans="1:16" x14ac:dyDescent="0.45">
      <c r="A86" s="1"/>
      <c r="B86" s="12" t="str">
        <f>IF(A86="","N/A",'1'!V90)</f>
        <v>N/A</v>
      </c>
      <c r="C86" s="12" t="str">
        <f>IF(A86="","N/A",'2'!V90)</f>
        <v>N/A</v>
      </c>
      <c r="D86" s="12" t="str">
        <f>IF(A86="","N/A",'3'!V90)</f>
        <v>N/A</v>
      </c>
      <c r="E86" s="12" t="str">
        <f>IF(A86="","N/A",'4'!V90)</f>
        <v>N/A</v>
      </c>
      <c r="F86" s="12" t="str">
        <f>IF(A86="","N/A",'5'!V90)</f>
        <v>N/A</v>
      </c>
      <c r="K86" s="1"/>
      <c r="L86" s="12" t="str">
        <f>IF(K86="","N/A",'1'!X90)</f>
        <v>N/A</v>
      </c>
      <c r="M86" s="12" t="str">
        <f>IF(K86="","N/A",'2'!X90)</f>
        <v>N/A</v>
      </c>
      <c r="N86" s="12" t="str">
        <f>IF(K86="","N/A",'3'!X90)</f>
        <v>N/A</v>
      </c>
      <c r="O86" s="12" t="str">
        <f>IF(K86="","N/A",'4'!X90)</f>
        <v>N/A</v>
      </c>
      <c r="P86" s="12" t="str">
        <f>IF(K86="","N/A",'5'!X90)</f>
        <v>N/A</v>
      </c>
    </row>
    <row r="87" spans="1:16" x14ac:dyDescent="0.45">
      <c r="A87" s="1"/>
      <c r="B87" s="12" t="str">
        <f>IF(A87="","N/A",'1'!V91)</f>
        <v>N/A</v>
      </c>
      <c r="C87" s="12" t="str">
        <f>IF(A87="","N/A",'2'!V91)</f>
        <v>N/A</v>
      </c>
      <c r="D87" s="12" t="str">
        <f>IF(A87="","N/A",'3'!V91)</f>
        <v>N/A</v>
      </c>
      <c r="E87" s="12" t="str">
        <f>IF(A87="","N/A",'4'!V91)</f>
        <v>N/A</v>
      </c>
      <c r="F87" s="12" t="str">
        <f>IF(A87="","N/A",'5'!V91)</f>
        <v>N/A</v>
      </c>
      <c r="K87" s="1"/>
      <c r="L87" s="12" t="str">
        <f>IF(K87="","N/A",'1'!X91)</f>
        <v>N/A</v>
      </c>
      <c r="M87" s="12" t="str">
        <f>IF(K87="","N/A",'2'!X91)</f>
        <v>N/A</v>
      </c>
      <c r="N87" s="12" t="str">
        <f>IF(K87="","N/A",'3'!X91)</f>
        <v>N/A</v>
      </c>
      <c r="O87" s="12" t="str">
        <f>IF(K87="","N/A",'4'!X91)</f>
        <v>N/A</v>
      </c>
      <c r="P87" s="12" t="str">
        <f>IF(K87="","N/A",'5'!X91)</f>
        <v>N/A</v>
      </c>
    </row>
    <row r="88" spans="1:16" x14ac:dyDescent="0.45">
      <c r="A88" s="1"/>
      <c r="B88" s="12" t="str">
        <f>IF(A88="","N/A",'1'!V92)</f>
        <v>N/A</v>
      </c>
      <c r="C88" s="12" t="str">
        <f>IF(A88="","N/A",'2'!V92)</f>
        <v>N/A</v>
      </c>
      <c r="D88" s="12" t="str">
        <f>IF(A88="","N/A",'3'!V92)</f>
        <v>N/A</v>
      </c>
      <c r="E88" s="12" t="str">
        <f>IF(A88="","N/A",'4'!V92)</f>
        <v>N/A</v>
      </c>
      <c r="F88" s="12" t="str">
        <f>IF(A88="","N/A",'5'!V92)</f>
        <v>N/A</v>
      </c>
      <c r="K88" s="1"/>
      <c r="L88" s="12" t="str">
        <f>IF(K88="","N/A",'1'!X92)</f>
        <v>N/A</v>
      </c>
      <c r="M88" s="12" t="str">
        <f>IF(K88="","N/A",'2'!X92)</f>
        <v>N/A</v>
      </c>
      <c r="N88" s="12" t="str">
        <f>IF(K88="","N/A",'3'!X92)</f>
        <v>N/A</v>
      </c>
      <c r="O88" s="12" t="str">
        <f>IF(K88="","N/A",'4'!X92)</f>
        <v>N/A</v>
      </c>
      <c r="P88" s="12" t="str">
        <f>IF(K88="","N/A",'5'!X92)</f>
        <v>N/A</v>
      </c>
    </row>
    <row r="89" spans="1:16" x14ac:dyDescent="0.45">
      <c r="A89" s="1"/>
      <c r="B89" s="12" t="str">
        <f>IF(A89="","N/A",'1'!V93)</f>
        <v>N/A</v>
      </c>
      <c r="C89" s="12" t="str">
        <f>IF(A89="","N/A",'2'!V93)</f>
        <v>N/A</v>
      </c>
      <c r="D89" s="12" t="str">
        <f>IF(A89="","N/A",'3'!V93)</f>
        <v>N/A</v>
      </c>
      <c r="E89" s="12" t="str">
        <f>IF(A89="","N/A",'4'!V93)</f>
        <v>N/A</v>
      </c>
      <c r="F89" s="12" t="str">
        <f>IF(A89="","N/A",'5'!V93)</f>
        <v>N/A</v>
      </c>
      <c r="K89" s="1"/>
      <c r="L89" s="12" t="str">
        <f>IF(K89="","N/A",'1'!X93)</f>
        <v>N/A</v>
      </c>
      <c r="M89" s="12" t="str">
        <f>IF(K89="","N/A",'2'!X93)</f>
        <v>N/A</v>
      </c>
      <c r="N89" s="12" t="str">
        <f>IF(K89="","N/A",'3'!X93)</f>
        <v>N/A</v>
      </c>
      <c r="O89" s="12" t="str">
        <f>IF(K89="","N/A",'4'!X93)</f>
        <v>N/A</v>
      </c>
      <c r="P89" s="12" t="str">
        <f>IF(K89="","N/A",'5'!X93)</f>
        <v>N/A</v>
      </c>
    </row>
    <row r="90" spans="1:16" x14ac:dyDescent="0.45">
      <c r="A90" s="1"/>
      <c r="B90" s="12" t="str">
        <f>IF(A90="","N/A",'1'!V94)</f>
        <v>N/A</v>
      </c>
      <c r="C90" s="12" t="str">
        <f>IF(A90="","N/A",'2'!V94)</f>
        <v>N/A</v>
      </c>
      <c r="D90" s="12" t="str">
        <f>IF(A90="","N/A",'3'!V94)</f>
        <v>N/A</v>
      </c>
      <c r="E90" s="12" t="str">
        <f>IF(A90="","N/A",'4'!V94)</f>
        <v>N/A</v>
      </c>
      <c r="F90" s="12" t="str">
        <f>IF(A90="","N/A",'5'!V94)</f>
        <v>N/A</v>
      </c>
      <c r="K90" s="1"/>
      <c r="L90" s="12" t="str">
        <f>IF(K90="","N/A",'1'!X94)</f>
        <v>N/A</v>
      </c>
      <c r="M90" s="12" t="str">
        <f>IF(K90="","N/A",'2'!X94)</f>
        <v>N/A</v>
      </c>
      <c r="N90" s="12" t="str">
        <f>IF(K90="","N/A",'3'!X94)</f>
        <v>N/A</v>
      </c>
      <c r="O90" s="12" t="str">
        <f>IF(K90="","N/A",'4'!X94)</f>
        <v>N/A</v>
      </c>
      <c r="P90" s="12" t="str">
        <f>IF(K90="","N/A",'5'!X94)</f>
        <v>N/A</v>
      </c>
    </row>
    <row r="91" spans="1:16" x14ac:dyDescent="0.45">
      <c r="A91" s="1"/>
      <c r="B91" s="12" t="str">
        <f>IF(A91="","N/A",'1'!V95)</f>
        <v>N/A</v>
      </c>
      <c r="C91" s="12" t="str">
        <f>IF(A91="","N/A",'2'!V95)</f>
        <v>N/A</v>
      </c>
      <c r="D91" s="12" t="str">
        <f>IF(A91="","N/A",'3'!V95)</f>
        <v>N/A</v>
      </c>
      <c r="E91" s="12" t="str">
        <f>IF(A91="","N/A",'4'!V95)</f>
        <v>N/A</v>
      </c>
      <c r="F91" s="12" t="str">
        <f>IF(A91="","N/A",'5'!V95)</f>
        <v>N/A</v>
      </c>
      <c r="K91" s="1"/>
      <c r="L91" s="12" t="str">
        <f>IF(K91="","N/A",'1'!X95)</f>
        <v>N/A</v>
      </c>
      <c r="M91" s="12" t="str">
        <f>IF(K91="","N/A",'2'!X95)</f>
        <v>N/A</v>
      </c>
      <c r="N91" s="12" t="str">
        <f>IF(K91="","N/A",'3'!X95)</f>
        <v>N/A</v>
      </c>
      <c r="O91" s="12" t="str">
        <f>IF(K91="","N/A",'4'!X95)</f>
        <v>N/A</v>
      </c>
      <c r="P91" s="12" t="str">
        <f>IF(K91="","N/A",'5'!X95)</f>
        <v>N/A</v>
      </c>
    </row>
    <row r="92" spans="1:16" x14ac:dyDescent="0.45">
      <c r="A92" s="1"/>
      <c r="B92" s="12" t="str">
        <f>IF(A92="","N/A",'1'!V96)</f>
        <v>N/A</v>
      </c>
      <c r="C92" s="12" t="str">
        <f>IF(A92="","N/A",'2'!V96)</f>
        <v>N/A</v>
      </c>
      <c r="D92" s="12" t="str">
        <f>IF(A92="","N/A",'3'!V96)</f>
        <v>N/A</v>
      </c>
      <c r="E92" s="12" t="str">
        <f>IF(A92="","N/A",'4'!V96)</f>
        <v>N/A</v>
      </c>
      <c r="F92" s="12" t="str">
        <f>IF(A92="","N/A",'5'!V96)</f>
        <v>N/A</v>
      </c>
      <c r="K92" s="1"/>
      <c r="L92" s="12" t="str">
        <f>IF(K92="","N/A",'1'!X96)</f>
        <v>N/A</v>
      </c>
      <c r="M92" s="12" t="str">
        <f>IF(K92="","N/A",'2'!X96)</f>
        <v>N/A</v>
      </c>
      <c r="N92" s="12" t="str">
        <f>IF(K92="","N/A",'3'!X96)</f>
        <v>N/A</v>
      </c>
      <c r="O92" s="12" t="str">
        <f>IF(K92="","N/A",'4'!X96)</f>
        <v>N/A</v>
      </c>
      <c r="P92" s="12" t="str">
        <f>IF(K92="","N/A",'5'!X96)</f>
        <v>N/A</v>
      </c>
    </row>
    <row r="93" spans="1:16" x14ac:dyDescent="0.45">
      <c r="A93" s="1"/>
      <c r="B93" s="12" t="str">
        <f>IF(A93="","N/A",'1'!V97)</f>
        <v>N/A</v>
      </c>
      <c r="C93" s="12" t="str">
        <f>IF(A93="","N/A",'2'!V97)</f>
        <v>N/A</v>
      </c>
      <c r="D93" s="12" t="str">
        <f>IF(A93="","N/A",'3'!V97)</f>
        <v>N/A</v>
      </c>
      <c r="E93" s="12" t="str">
        <f>IF(A93="","N/A",'4'!V97)</f>
        <v>N/A</v>
      </c>
      <c r="F93" s="12" t="str">
        <f>IF(A93="","N/A",'5'!V97)</f>
        <v>N/A</v>
      </c>
      <c r="K93" s="1"/>
      <c r="L93" s="12" t="str">
        <f>IF(K93="","N/A",'1'!X97)</f>
        <v>N/A</v>
      </c>
      <c r="M93" s="12" t="str">
        <f>IF(K93="","N/A",'2'!X97)</f>
        <v>N/A</v>
      </c>
      <c r="N93" s="12" t="str">
        <f>IF(K93="","N/A",'3'!X97)</f>
        <v>N/A</v>
      </c>
      <c r="O93" s="12" t="str">
        <f>IF(K93="","N/A",'4'!X97)</f>
        <v>N/A</v>
      </c>
      <c r="P93" s="12" t="str">
        <f>IF(K93="","N/A",'5'!X97)</f>
        <v>N/A</v>
      </c>
    </row>
    <row r="94" spans="1:16" x14ac:dyDescent="0.45">
      <c r="A94" s="1"/>
      <c r="B94" s="12" t="str">
        <f>IF(A94="","N/A",'1'!V98)</f>
        <v>N/A</v>
      </c>
      <c r="C94" s="12" t="str">
        <f>IF(A94="","N/A",'2'!V98)</f>
        <v>N/A</v>
      </c>
      <c r="D94" s="12" t="str">
        <f>IF(A94="","N/A",'3'!V98)</f>
        <v>N/A</v>
      </c>
      <c r="E94" s="12" t="str">
        <f>IF(A94="","N/A",'4'!V98)</f>
        <v>N/A</v>
      </c>
      <c r="F94" s="12" t="str">
        <f>IF(A94="","N/A",'5'!V98)</f>
        <v>N/A</v>
      </c>
      <c r="K94" s="1"/>
      <c r="L94" s="12" t="str">
        <f>IF(K94="","N/A",'1'!X98)</f>
        <v>N/A</v>
      </c>
      <c r="M94" s="12" t="str">
        <f>IF(K94="","N/A",'2'!X98)</f>
        <v>N/A</v>
      </c>
      <c r="N94" s="12" t="str">
        <f>IF(K94="","N/A",'3'!X98)</f>
        <v>N/A</v>
      </c>
      <c r="O94" s="12" t="str">
        <f>IF(K94="","N/A",'4'!X98)</f>
        <v>N/A</v>
      </c>
      <c r="P94" s="12" t="str">
        <f>IF(K94="","N/A",'5'!X98)</f>
        <v>N/A</v>
      </c>
    </row>
    <row r="95" spans="1:16" x14ac:dyDescent="0.45">
      <c r="A95" s="1"/>
      <c r="B95" s="12" t="str">
        <f>IF(A95="","N/A",'1'!V99)</f>
        <v>N/A</v>
      </c>
      <c r="C95" s="12" t="str">
        <f>IF(A95="","N/A",'2'!V99)</f>
        <v>N/A</v>
      </c>
      <c r="D95" s="12" t="str">
        <f>IF(A95="","N/A",'3'!V99)</f>
        <v>N/A</v>
      </c>
      <c r="E95" s="12" t="str">
        <f>IF(A95="","N/A",'4'!V99)</f>
        <v>N/A</v>
      </c>
      <c r="F95" s="12" t="str">
        <f>IF(A95="","N/A",'5'!V99)</f>
        <v>N/A</v>
      </c>
      <c r="K95" s="1"/>
      <c r="L95" s="12" t="str">
        <f>IF(K95="","N/A",'1'!X99)</f>
        <v>N/A</v>
      </c>
      <c r="M95" s="12" t="str">
        <f>IF(K95="","N/A",'2'!X99)</f>
        <v>N/A</v>
      </c>
      <c r="N95" s="12" t="str">
        <f>IF(K95="","N/A",'3'!X99)</f>
        <v>N/A</v>
      </c>
      <c r="O95" s="12" t="str">
        <f>IF(K95="","N/A",'4'!X99)</f>
        <v>N/A</v>
      </c>
      <c r="P95" s="12" t="str">
        <f>IF(K95="","N/A",'5'!X99)</f>
        <v>N/A</v>
      </c>
    </row>
    <row r="96" spans="1:16" x14ac:dyDescent="0.45">
      <c r="A96" s="1"/>
      <c r="B96" s="12" t="str">
        <f>IF(A96="","N/A",'1'!V100)</f>
        <v>N/A</v>
      </c>
      <c r="C96" s="12" t="str">
        <f>IF(A96="","N/A",'2'!V100)</f>
        <v>N/A</v>
      </c>
      <c r="D96" s="12" t="str">
        <f>IF(A96="","N/A",'3'!V100)</f>
        <v>N/A</v>
      </c>
      <c r="E96" s="12" t="str">
        <f>IF(A96="","N/A",'4'!V100)</f>
        <v>N/A</v>
      </c>
      <c r="F96" s="12" t="str">
        <f>IF(A96="","N/A",'5'!V100)</f>
        <v>N/A</v>
      </c>
      <c r="K96" s="1"/>
      <c r="L96" s="12" t="str">
        <f>IF(K96="","N/A",'1'!X100)</f>
        <v>N/A</v>
      </c>
      <c r="M96" s="12" t="str">
        <f>IF(K96="","N/A",'2'!X100)</f>
        <v>N/A</v>
      </c>
      <c r="N96" s="12" t="str">
        <f>IF(K96="","N/A",'3'!X100)</f>
        <v>N/A</v>
      </c>
      <c r="O96" s="12" t="str">
        <f>IF(K96="","N/A",'4'!X100)</f>
        <v>N/A</v>
      </c>
      <c r="P96" s="12" t="str">
        <f>IF(K96="","N/A",'5'!X100)</f>
        <v>N/A</v>
      </c>
    </row>
    <row r="97" spans="1:16" x14ac:dyDescent="0.45">
      <c r="A97" s="1"/>
      <c r="B97" s="12" t="str">
        <f>IF(A97="","N/A",'1'!V101)</f>
        <v>N/A</v>
      </c>
      <c r="C97" s="12" t="str">
        <f>IF(A97="","N/A",'2'!V101)</f>
        <v>N/A</v>
      </c>
      <c r="D97" s="12" t="str">
        <f>IF(A97="","N/A",'3'!V101)</f>
        <v>N/A</v>
      </c>
      <c r="E97" s="12" t="str">
        <f>IF(A97="","N/A",'4'!V101)</f>
        <v>N/A</v>
      </c>
      <c r="F97" s="12" t="str">
        <f>IF(A97="","N/A",'5'!V101)</f>
        <v>N/A</v>
      </c>
      <c r="K97" s="1"/>
      <c r="L97" s="12" t="str">
        <f>IF(K97="","N/A",'1'!X101)</f>
        <v>N/A</v>
      </c>
      <c r="M97" s="12" t="str">
        <f>IF(K97="","N/A",'2'!X101)</f>
        <v>N/A</v>
      </c>
      <c r="N97" s="12" t="str">
        <f>IF(K97="","N/A",'3'!X101)</f>
        <v>N/A</v>
      </c>
      <c r="O97" s="12" t="str">
        <f>IF(K97="","N/A",'4'!X101)</f>
        <v>N/A</v>
      </c>
      <c r="P97" s="12" t="str">
        <f>IF(K97="","N/A",'5'!X101)</f>
        <v>N/A</v>
      </c>
    </row>
    <row r="98" spans="1:16" x14ac:dyDescent="0.45">
      <c r="A98" s="1"/>
      <c r="B98" s="12" t="str">
        <f>IF(A98="","N/A",'1'!V102)</f>
        <v>N/A</v>
      </c>
      <c r="C98" s="12" t="str">
        <f>IF(A98="","N/A",'2'!V102)</f>
        <v>N/A</v>
      </c>
      <c r="D98" s="12" t="str">
        <f>IF(A98="","N/A",'3'!V102)</f>
        <v>N/A</v>
      </c>
      <c r="E98" s="12" t="str">
        <f>IF(A98="","N/A",'4'!V102)</f>
        <v>N/A</v>
      </c>
      <c r="F98" s="12" t="str">
        <f>IF(A98="","N/A",'5'!V102)</f>
        <v>N/A</v>
      </c>
      <c r="K98" s="1"/>
      <c r="L98" s="12" t="str">
        <f>IF(K98="","N/A",'1'!X102)</f>
        <v>N/A</v>
      </c>
      <c r="M98" s="12" t="str">
        <f>IF(K98="","N/A",'2'!X102)</f>
        <v>N/A</v>
      </c>
      <c r="N98" s="12" t="str">
        <f>IF(K98="","N/A",'3'!X102)</f>
        <v>N/A</v>
      </c>
      <c r="O98" s="12" t="str">
        <f>IF(K98="","N/A",'4'!X102)</f>
        <v>N/A</v>
      </c>
      <c r="P98" s="12" t="str">
        <f>IF(K98="","N/A",'5'!X102)</f>
        <v>N/A</v>
      </c>
    </row>
    <row r="99" spans="1:16" x14ac:dyDescent="0.45">
      <c r="A99" s="1"/>
      <c r="B99" s="12" t="str">
        <f>IF(A99="","N/A",'1'!V103)</f>
        <v>N/A</v>
      </c>
      <c r="C99" s="12" t="str">
        <f>IF(A99="","N/A",'2'!V103)</f>
        <v>N/A</v>
      </c>
      <c r="D99" s="12" t="str">
        <f>IF(A99="","N/A",'3'!V103)</f>
        <v>N/A</v>
      </c>
      <c r="E99" s="12" t="str">
        <f>IF(A99="","N/A",'4'!V103)</f>
        <v>N/A</v>
      </c>
      <c r="F99" s="12" t="str">
        <f>IF(A99="","N/A",'5'!V103)</f>
        <v>N/A</v>
      </c>
      <c r="K99" s="1"/>
      <c r="L99" s="12" t="str">
        <f>IF(K99="","N/A",'1'!X103)</f>
        <v>N/A</v>
      </c>
      <c r="M99" s="12" t="str">
        <f>IF(K99="","N/A",'2'!X103)</f>
        <v>N/A</v>
      </c>
      <c r="N99" s="12" t="str">
        <f>IF(K99="","N/A",'3'!X103)</f>
        <v>N/A</v>
      </c>
      <c r="O99" s="12" t="str">
        <f>IF(K99="","N/A",'4'!X103)</f>
        <v>N/A</v>
      </c>
      <c r="P99" s="12" t="str">
        <f>IF(K99="","N/A",'5'!X103)</f>
        <v>N/A</v>
      </c>
    </row>
    <row r="100" spans="1:16" x14ac:dyDescent="0.45">
      <c r="A100" s="1"/>
      <c r="B100" s="12" t="str">
        <f>IF(A100="","N/A",'1'!V104)</f>
        <v>N/A</v>
      </c>
      <c r="C100" s="12" t="str">
        <f>IF(A100="","N/A",'2'!V104)</f>
        <v>N/A</v>
      </c>
      <c r="D100" s="12" t="str">
        <f>IF(A100="","N/A",'3'!V104)</f>
        <v>N/A</v>
      </c>
      <c r="E100" s="12" t="str">
        <f>IF(A100="","N/A",'4'!V104)</f>
        <v>N/A</v>
      </c>
      <c r="F100" s="12" t="str">
        <f>IF(A100="","N/A",'5'!V104)</f>
        <v>N/A</v>
      </c>
      <c r="K100" s="1"/>
      <c r="L100" s="12" t="str">
        <f>IF(K100="","N/A",'1'!X104)</f>
        <v>N/A</v>
      </c>
      <c r="M100" s="12" t="str">
        <f>IF(K100="","N/A",'2'!X104)</f>
        <v>N/A</v>
      </c>
      <c r="N100" s="12" t="str">
        <f>IF(K100="","N/A",'3'!X104)</f>
        <v>N/A</v>
      </c>
      <c r="O100" s="12" t="str">
        <f>IF(K100="","N/A",'4'!X104)</f>
        <v>N/A</v>
      </c>
      <c r="P100" s="12" t="str">
        <f>IF(K100="","N/A",'5'!X104)</f>
        <v>N/A</v>
      </c>
    </row>
    <row r="101" spans="1:16" x14ac:dyDescent="0.45">
      <c r="A101" s="1"/>
      <c r="B101" s="12" t="str">
        <f>IF(A101="","N/A",'1'!V105)</f>
        <v>N/A</v>
      </c>
      <c r="C101" s="12" t="str">
        <f>IF(A101="","N/A",'2'!V105)</f>
        <v>N/A</v>
      </c>
      <c r="D101" s="12" t="str">
        <f>IF(A101="","N/A",'3'!V105)</f>
        <v>N/A</v>
      </c>
      <c r="E101" s="12" t="str">
        <f>IF(A101="","N/A",'4'!V105)</f>
        <v>N/A</v>
      </c>
      <c r="F101" s="12" t="str">
        <f>IF(A101="","N/A",'5'!V105)</f>
        <v>N/A</v>
      </c>
      <c r="K101" s="1"/>
      <c r="L101" s="12" t="str">
        <f>IF(K101="","N/A",'1'!X105)</f>
        <v>N/A</v>
      </c>
      <c r="M101" s="12" t="str">
        <f>IF(K101="","N/A",'2'!X105)</f>
        <v>N/A</v>
      </c>
      <c r="N101" s="12" t="str">
        <f>IF(K101="","N/A",'3'!X105)</f>
        <v>N/A</v>
      </c>
      <c r="O101" s="12" t="str">
        <f>IF(K101="","N/A",'4'!X105)</f>
        <v>N/A</v>
      </c>
      <c r="P101" s="12" t="str">
        <f>IF(K101="","N/A",'5'!X105)</f>
        <v>N/A</v>
      </c>
    </row>
    <row r="102" spans="1:16" x14ac:dyDescent="0.45">
      <c r="A102" s="1"/>
      <c r="B102" s="12" t="str">
        <f>IF(A102="","N/A",'1'!V106)</f>
        <v>N/A</v>
      </c>
      <c r="C102" s="12" t="str">
        <f>IF(A102="","N/A",'2'!V106)</f>
        <v>N/A</v>
      </c>
      <c r="D102" s="12" t="str">
        <f>IF(A102="","N/A",'3'!V106)</f>
        <v>N/A</v>
      </c>
      <c r="E102" s="12" t="str">
        <f>IF(A102="","N/A",'4'!V106)</f>
        <v>N/A</v>
      </c>
      <c r="F102" s="12" t="str">
        <f>IF(A102="","N/A",'5'!V106)</f>
        <v>N/A</v>
      </c>
      <c r="K102" s="1"/>
      <c r="L102" s="12" t="str">
        <f>IF(K102="","N/A",'1'!X106)</f>
        <v>N/A</v>
      </c>
      <c r="M102" s="12" t="str">
        <f>IF(K102="","N/A",'2'!X106)</f>
        <v>N/A</v>
      </c>
      <c r="N102" s="12" t="str">
        <f>IF(K102="","N/A",'3'!X106)</f>
        <v>N/A</v>
      </c>
      <c r="O102" s="12" t="str">
        <f>IF(K102="","N/A",'4'!X106)</f>
        <v>N/A</v>
      </c>
      <c r="P102" s="12" t="str">
        <f>IF(K102="","N/A",'5'!X106)</f>
        <v>N/A</v>
      </c>
    </row>
    <row r="103" spans="1:16" x14ac:dyDescent="0.45">
      <c r="A103" s="1"/>
      <c r="B103" s="12" t="str">
        <f>IF(A103="","N/A",'1'!V107)</f>
        <v>N/A</v>
      </c>
      <c r="C103" s="12" t="str">
        <f>IF(A103="","N/A",'2'!V107)</f>
        <v>N/A</v>
      </c>
      <c r="D103" s="12" t="str">
        <f>IF(A103="","N/A",'3'!V107)</f>
        <v>N/A</v>
      </c>
      <c r="E103" s="12" t="str">
        <f>IF(A103="","N/A",'4'!V107)</f>
        <v>N/A</v>
      </c>
      <c r="F103" s="12" t="str">
        <f>IF(A103="","N/A",'5'!V107)</f>
        <v>N/A</v>
      </c>
      <c r="K103" s="1"/>
      <c r="L103" s="12" t="str">
        <f>IF(K103="","N/A",'1'!X107)</f>
        <v>N/A</v>
      </c>
      <c r="M103" s="12" t="str">
        <f>IF(K103="","N/A",'2'!X107)</f>
        <v>N/A</v>
      </c>
      <c r="N103" s="12" t="str">
        <f>IF(K103="","N/A",'3'!X107)</f>
        <v>N/A</v>
      </c>
      <c r="O103" s="12" t="str">
        <f>IF(K103="","N/A",'4'!X107)</f>
        <v>N/A</v>
      </c>
      <c r="P103" s="12" t="str">
        <f>IF(K103="","N/A",'5'!X107)</f>
        <v>N/A</v>
      </c>
    </row>
    <row r="104" spans="1:16" x14ac:dyDescent="0.45">
      <c r="A104" s="1"/>
      <c r="B104" s="12" t="str">
        <f>IF(A104="","N/A",'1'!V108)</f>
        <v>N/A</v>
      </c>
      <c r="C104" s="12" t="str">
        <f>IF(A104="","N/A",'2'!V108)</f>
        <v>N/A</v>
      </c>
      <c r="D104" s="12" t="str">
        <f>IF(A104="","N/A",'3'!V108)</f>
        <v>N/A</v>
      </c>
      <c r="E104" s="12" t="str">
        <f>IF(A104="","N/A",'4'!V108)</f>
        <v>N/A</v>
      </c>
      <c r="F104" s="12" t="str">
        <f>IF(A104="","N/A",'5'!V108)</f>
        <v>N/A</v>
      </c>
      <c r="K104" s="1"/>
      <c r="L104" s="12" t="str">
        <f>IF(K104="","N/A",'1'!X108)</f>
        <v>N/A</v>
      </c>
      <c r="M104" s="12" t="str">
        <f>IF(K104="","N/A",'2'!X108)</f>
        <v>N/A</v>
      </c>
      <c r="N104" s="12" t="str">
        <f>IF(K104="","N/A",'3'!X108)</f>
        <v>N/A</v>
      </c>
      <c r="O104" s="12" t="str">
        <f>IF(K104="","N/A",'4'!X108)</f>
        <v>N/A</v>
      </c>
      <c r="P104" s="12" t="str">
        <f>IF(K104="","N/A",'5'!X108)</f>
        <v>N/A</v>
      </c>
    </row>
    <row r="105" spans="1:16" x14ac:dyDescent="0.45">
      <c r="A105" s="1"/>
      <c r="B105" s="12" t="str">
        <f>IF(A105="","N/A",'1'!V109)</f>
        <v>N/A</v>
      </c>
      <c r="C105" s="12" t="str">
        <f>IF(A105="","N/A",'2'!V109)</f>
        <v>N/A</v>
      </c>
      <c r="D105" s="12" t="str">
        <f>IF(A105="","N/A",'3'!V109)</f>
        <v>N/A</v>
      </c>
      <c r="E105" s="12" t="str">
        <f>IF(A105="","N/A",'4'!V109)</f>
        <v>N/A</v>
      </c>
      <c r="F105" s="12" t="str">
        <f>IF(A105="","N/A",'5'!V109)</f>
        <v>N/A</v>
      </c>
      <c r="K105" s="1"/>
      <c r="L105" s="12" t="str">
        <f>IF(K105="","N/A",'1'!X109)</f>
        <v>N/A</v>
      </c>
      <c r="M105" s="12" t="str">
        <f>IF(K105="","N/A",'2'!X109)</f>
        <v>N/A</v>
      </c>
      <c r="N105" s="12" t="str">
        <f>IF(K105="","N/A",'3'!X109)</f>
        <v>N/A</v>
      </c>
      <c r="O105" s="12" t="str">
        <f>IF(K105="","N/A",'4'!X109)</f>
        <v>N/A</v>
      </c>
      <c r="P105" s="12" t="str">
        <f>IF(K105="","N/A",'5'!X109)</f>
        <v>N/A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D68-3574-4B3D-935C-0784400CD5E5}">
  <sheetPr>
    <tabColor theme="0" tint="-0.499984740745262"/>
  </sheetPr>
  <dimension ref="A1:P14"/>
  <sheetViews>
    <sheetView workbookViewId="0">
      <selection activeCell="D34" sqref="D34"/>
    </sheetView>
  </sheetViews>
  <sheetFormatPr defaultRowHeight="14.25" x14ac:dyDescent="0.45"/>
  <cols>
    <col min="1" max="1" width="10.59765625" bestFit="1" customWidth="1"/>
    <col min="3" max="3" width="29.1328125" bestFit="1" customWidth="1"/>
    <col min="4" max="4" width="13.3984375" bestFit="1" customWidth="1"/>
    <col min="5" max="5" width="13.3984375" customWidth="1"/>
    <col min="9" max="9" width="27.796875" bestFit="1" customWidth="1"/>
    <col min="10" max="12" width="19.19921875" customWidth="1"/>
  </cols>
  <sheetData>
    <row r="1" spans="1:16" x14ac:dyDescent="0.45">
      <c r="A1" t="s">
        <v>76</v>
      </c>
    </row>
    <row r="2" spans="1:16" x14ac:dyDescent="0.45">
      <c r="A2">
        <f>'Return Simulator'!D48</f>
        <v>20</v>
      </c>
      <c r="C2" s="27" t="str">
        <f>'Return Simulator'!C4</f>
        <v>Current Client Portfolio</v>
      </c>
      <c r="D2" s="8">
        <f>'Return Simulator'!D5</f>
        <v>27153621.883681335</v>
      </c>
      <c r="E2" s="10">
        <f>'Return Simulator'!D6</f>
        <v>5.1214610322372733E-2</v>
      </c>
      <c r="F2">
        <f>_xlfn.RANK.EQ(D2,$D$2:$D$6,0)</f>
        <v>5</v>
      </c>
      <c r="G2" t="str">
        <f>_xlfn.XLOOKUP(F2,$O$2:$O$6,$P$2:$P$6)</f>
        <v>5th</v>
      </c>
      <c r="I2" t="str" cm="1">
        <f t="array" ref="I2:M6">_xlfn._xlws.SORT(C2:G6,2,-1)</f>
        <v>40% of Current Portfolio inside PPLI</v>
      </c>
      <c r="J2" s="8">
        <v>30933322.074651059</v>
      </c>
      <c r="K2" s="9">
        <v>5.808687729262263E-2</v>
      </c>
      <c r="L2">
        <v>1</v>
      </c>
      <c r="M2" t="str">
        <v>1st</v>
      </c>
      <c r="O2">
        <v>1</v>
      </c>
      <c r="P2" t="s">
        <v>68</v>
      </c>
    </row>
    <row r="3" spans="1:16" x14ac:dyDescent="0.45">
      <c r="C3" s="27" t="str">
        <f>'Return Simulator'!C10</f>
        <v>10% of Current Portfolio inside PPLI</v>
      </c>
      <c r="D3" s="8">
        <f>'Return Simulator'!D11</f>
        <v>28098546.931423761</v>
      </c>
      <c r="E3" s="10">
        <f>'Return Simulator'!D12</f>
        <v>5.3014115999050926E-2</v>
      </c>
      <c r="F3">
        <f t="shared" ref="F3:F6" si="0">_xlfn.RANK.EQ(D3,$D$2:$D$6,0)</f>
        <v>4</v>
      </c>
      <c r="G3" t="str">
        <f>_xlfn.XLOOKUP(F3,$O$2:$O$6,$P$2:$P$6)</f>
        <v>4th</v>
      </c>
      <c r="I3" t="str">
        <v>30% of Current Portfolio inside PPLI</v>
      </c>
      <c r="J3" s="8">
        <v>29988397.026908625</v>
      </c>
      <c r="K3" s="9">
        <v>5.644687452568431E-2</v>
      </c>
      <c r="L3">
        <v>2</v>
      </c>
      <c r="M3" t="str">
        <v>2nd</v>
      </c>
      <c r="O3">
        <v>2</v>
      </c>
      <c r="P3" t="s">
        <v>69</v>
      </c>
    </row>
    <row r="4" spans="1:16" x14ac:dyDescent="0.45">
      <c r="C4" s="27" t="str">
        <f>'Return Simulator'!C14</f>
        <v>20% of Current Portfolio inside PPLI</v>
      </c>
      <c r="D4" s="8">
        <f>'Return Simulator'!D15</f>
        <v>29043471.979166195</v>
      </c>
      <c r="E4" s="10">
        <f>'Return Simulator'!D16</f>
        <v>5.4757025074019694E-2</v>
      </c>
      <c r="F4">
        <f t="shared" si="0"/>
        <v>3</v>
      </c>
      <c r="G4" t="str">
        <f>_xlfn.XLOOKUP(F4,$O$2:$O$6,$P$2:$P$6)</f>
        <v>3rd</v>
      </c>
      <c r="I4" t="str">
        <v>20% of Current Portfolio inside PPLI</v>
      </c>
      <c r="J4" s="8">
        <v>29043471.979166195</v>
      </c>
      <c r="K4" s="9">
        <v>5.4757025074019694E-2</v>
      </c>
      <c r="L4">
        <v>3</v>
      </c>
      <c r="M4" t="str">
        <v>3rd</v>
      </c>
      <c r="O4">
        <v>3</v>
      </c>
      <c r="P4" t="s">
        <v>70</v>
      </c>
    </row>
    <row r="5" spans="1:16" x14ac:dyDescent="0.45">
      <c r="C5" s="27" t="str">
        <f>'Return Simulator'!C18</f>
        <v>30% of Current Portfolio inside PPLI</v>
      </c>
      <c r="D5" s="8">
        <f>'Return Simulator'!D19</f>
        <v>29988397.026908625</v>
      </c>
      <c r="E5" s="10">
        <f>'Return Simulator'!D20</f>
        <v>5.644687452568431E-2</v>
      </c>
      <c r="F5">
        <f t="shared" si="0"/>
        <v>2</v>
      </c>
      <c r="G5" t="str">
        <f>_xlfn.XLOOKUP(F5,$O$2:$O$6,$P$2:$P$6)</f>
        <v>2nd</v>
      </c>
      <c r="I5" t="str">
        <v>10% of Current Portfolio inside PPLI</v>
      </c>
      <c r="J5" s="8">
        <v>28098546.931423761</v>
      </c>
      <c r="K5" s="9">
        <v>5.3014115999050926E-2</v>
      </c>
      <c r="L5">
        <v>4</v>
      </c>
      <c r="M5" t="str">
        <v>4th</v>
      </c>
      <c r="O5">
        <v>4</v>
      </c>
      <c r="P5" t="s">
        <v>71</v>
      </c>
    </row>
    <row r="6" spans="1:16" x14ac:dyDescent="0.45">
      <c r="C6" s="27" t="str">
        <f>'Return Simulator'!C22</f>
        <v>40% of Current Portfolio inside PPLI</v>
      </c>
      <c r="D6" s="8">
        <f>'Return Simulator'!D23</f>
        <v>30933322.074651059</v>
      </c>
      <c r="E6" s="10">
        <f>'Return Simulator'!D24</f>
        <v>5.808687729262263E-2</v>
      </c>
      <c r="F6">
        <f t="shared" si="0"/>
        <v>1</v>
      </c>
      <c r="G6" t="str">
        <f>_xlfn.XLOOKUP(F6,$O$2:$O$6,$P$2:$P$6)</f>
        <v>1st</v>
      </c>
      <c r="I6" t="str">
        <v>Current Client Portfolio</v>
      </c>
      <c r="J6" s="8">
        <v>27153621.883681335</v>
      </c>
      <c r="K6" s="9">
        <v>5.1214610322372733E-2</v>
      </c>
      <c r="L6">
        <v>5</v>
      </c>
      <c r="M6" t="str">
        <v>5th</v>
      </c>
      <c r="O6">
        <v>5</v>
      </c>
      <c r="P6" t="s">
        <v>72</v>
      </c>
    </row>
    <row r="9" spans="1:16" x14ac:dyDescent="0.45">
      <c r="A9" t="s">
        <v>77</v>
      </c>
    </row>
    <row r="10" spans="1:16" x14ac:dyDescent="0.45">
      <c r="A10">
        <f>A2</f>
        <v>20</v>
      </c>
      <c r="C10" s="27" t="str">
        <f>C2</f>
        <v>Current Client Portfolio</v>
      </c>
      <c r="D10" s="8">
        <f>'Return Simulator'!X49</f>
        <v>26313895.198113486</v>
      </c>
      <c r="E10" s="10">
        <f>'Return Simulator'!X58</f>
        <v>4.9564799999999964E-2</v>
      </c>
      <c r="F10">
        <f>_xlfn.RANK.EQ(D10,$D$10:$D$14,0)</f>
        <v>5</v>
      </c>
      <c r="G10" t="str">
        <f>_xlfn.XLOOKUP(F10,$O$2:$O$6,$P$2:$P$6)</f>
        <v>5th</v>
      </c>
      <c r="I10" t="str" cm="1">
        <f t="array" ref="I10:M14">_xlfn._xlws.SORT(C10:G14,2,-1)</f>
        <v>40% of Current Portfolio inside PPLI</v>
      </c>
      <c r="J10" s="8">
        <v>29678816.894493531</v>
      </c>
      <c r="K10" s="9">
        <v>5.5898879999999984E-2</v>
      </c>
      <c r="L10">
        <v>1</v>
      </c>
      <c r="M10" t="str">
        <v>1st</v>
      </c>
      <c r="O10">
        <v>1</v>
      </c>
      <c r="P10" t="s">
        <v>68</v>
      </c>
    </row>
    <row r="11" spans="1:16" x14ac:dyDescent="0.45">
      <c r="C11" s="27" t="str">
        <f t="shared" ref="C11:C14" si="1">C3</f>
        <v>10% of Current Portfolio inside PPLI</v>
      </c>
      <c r="D11" s="8">
        <f>'Return Simulator'!AA49</f>
        <v>27119395.867656779</v>
      </c>
      <c r="E11" s="10">
        <f>'Return Simulator'!AA58</f>
        <v>5.1148320000000025E-2</v>
      </c>
      <c r="F11">
        <f t="shared" ref="F11:F14" si="2">_xlfn.RANK.EQ(D11,$D$10:$D$14,0)</f>
        <v>4</v>
      </c>
      <c r="G11" t="str">
        <f>_xlfn.XLOOKUP(F11,$O$2:$O$6,$P$2:$P$6)</f>
        <v>4th</v>
      </c>
      <c r="I11" t="str">
        <v>30% of Current Portfolio inside PPLI</v>
      </c>
      <c r="J11" s="8">
        <v>28801205.99387436</v>
      </c>
      <c r="K11" s="9">
        <v>5.4315359999999924E-2</v>
      </c>
      <c r="L11">
        <v>2</v>
      </c>
      <c r="M11" t="str">
        <v>2nd</v>
      </c>
      <c r="O11">
        <v>2</v>
      </c>
      <c r="P11" t="s">
        <v>69</v>
      </c>
    </row>
    <row r="12" spans="1:16" x14ac:dyDescent="0.45">
      <c r="C12" s="27" t="str">
        <f t="shared" si="1"/>
        <v>20% of Current Portfolio inside PPLI</v>
      </c>
      <c r="D12" s="8">
        <f>'Return Simulator'!AD49</f>
        <v>27948285.332057267</v>
      </c>
      <c r="E12" s="10">
        <f>'Return Simulator'!AD58</f>
        <v>5.2731840000000085E-2</v>
      </c>
      <c r="F12">
        <f t="shared" si="2"/>
        <v>3</v>
      </c>
      <c r="G12" t="str">
        <f>_xlfn.XLOOKUP(F12,$O$2:$O$6,$P$2:$P$6)</f>
        <v>3rd</v>
      </c>
      <c r="I12" t="str">
        <v>20% of Current Portfolio inside PPLI</v>
      </c>
      <c r="J12" s="8">
        <v>27948285.332057267</v>
      </c>
      <c r="K12" s="9">
        <v>5.2731840000000085E-2</v>
      </c>
      <c r="L12">
        <v>3</v>
      </c>
      <c r="M12" t="str">
        <v>3rd</v>
      </c>
      <c r="O12">
        <v>3</v>
      </c>
      <c r="P12" t="s">
        <v>70</v>
      </c>
    </row>
    <row r="13" spans="1:16" x14ac:dyDescent="0.45">
      <c r="C13" s="27" t="str">
        <f t="shared" si="1"/>
        <v>30% of Current Portfolio inside PPLI</v>
      </c>
      <c r="D13" s="8">
        <f>'Return Simulator'!AG49</f>
        <v>28801205.99387436</v>
      </c>
      <c r="E13" s="10">
        <f>'Return Simulator'!AG58</f>
        <v>5.4315359999999924E-2</v>
      </c>
      <c r="F13">
        <f t="shared" si="2"/>
        <v>2</v>
      </c>
      <c r="G13" t="str">
        <f>_xlfn.XLOOKUP(F13,$O$2:$O$6,$P$2:$P$6)</f>
        <v>2nd</v>
      </c>
      <c r="I13" t="str">
        <v>10% of Current Portfolio inside PPLI</v>
      </c>
      <c r="J13" s="8">
        <v>27119395.867656779</v>
      </c>
      <c r="K13" s="9">
        <v>5.1148320000000025E-2</v>
      </c>
      <c r="L13">
        <v>4</v>
      </c>
      <c r="M13" t="str">
        <v>4th</v>
      </c>
      <c r="O13">
        <v>4</v>
      </c>
      <c r="P13" t="s">
        <v>71</v>
      </c>
    </row>
    <row r="14" spans="1:16" x14ac:dyDescent="0.45">
      <c r="C14" s="27" t="str">
        <f t="shared" si="1"/>
        <v>40% of Current Portfolio inside PPLI</v>
      </c>
      <c r="D14" s="8">
        <f>'Return Simulator'!AJ49</f>
        <v>29678816.894493531</v>
      </c>
      <c r="E14" s="10">
        <f>'Return Simulator'!AJ58</f>
        <v>5.5898879999999984E-2</v>
      </c>
      <c r="F14">
        <f t="shared" si="2"/>
        <v>1</v>
      </c>
      <c r="G14" t="str">
        <f>_xlfn.XLOOKUP(F14,$O$2:$O$6,$P$2:$P$6)</f>
        <v>1st</v>
      </c>
      <c r="I14" t="str">
        <v>Current Client Portfolio</v>
      </c>
      <c r="J14" s="8">
        <v>26313895.198113486</v>
      </c>
      <c r="K14" s="9">
        <v>4.9564799999999964E-2</v>
      </c>
      <c r="L14">
        <v>5</v>
      </c>
      <c r="M14" t="str">
        <v>5th</v>
      </c>
      <c r="O14">
        <v>5</v>
      </c>
      <c r="P14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6D55-03B6-4453-A589-024B67973175}">
  <sheetPr>
    <tabColor theme="3" tint="9.9978637043366805E-2"/>
  </sheetPr>
  <dimension ref="A1"/>
  <sheetViews>
    <sheetView workbookViewId="0">
      <selection activeCell="D34" sqref="D34"/>
    </sheetView>
  </sheetViews>
  <sheetFormatPr defaultRowHeight="14.25" x14ac:dyDescent="0.4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B55-86D5-496D-9C0C-1DB47AC6FC25}">
  <sheetPr>
    <tabColor theme="3" tint="0.249977111117893"/>
  </sheetPr>
  <dimension ref="B1:AP109"/>
  <sheetViews>
    <sheetView workbookViewId="0">
      <selection activeCell="D34" sqref="D34"/>
    </sheetView>
  </sheetViews>
  <sheetFormatPr defaultRowHeight="14.25" x14ac:dyDescent="0.45"/>
  <cols>
    <col min="1" max="1" width="0.9296875" customWidth="1"/>
    <col min="2" max="2" width="23.132812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'Return Simulator'!D47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'Return Simulator'!D48</f>
        <v>20</v>
      </c>
      <c r="H3" s="1" t="s">
        <v>12</v>
      </c>
      <c r="I3" s="10">
        <f>$D$7*(1-$E$7)</f>
        <v>0.48</v>
      </c>
      <c r="J3" s="10">
        <f>$D$7*(1-$E$7)</f>
        <v>0.48</v>
      </c>
      <c r="K3" s="10">
        <f>$D$7*$E$7</f>
        <v>0</v>
      </c>
      <c r="L3" s="10">
        <f>$D$7*$E$7</f>
        <v>0</v>
      </c>
      <c r="M3" s="10">
        <f>$D$8*(1-$E$8)</f>
        <v>0.32</v>
      </c>
      <c r="N3" s="10">
        <f>$D$8*(1-$E$8)</f>
        <v>0.32</v>
      </c>
      <c r="O3" s="10">
        <f>$D$8*$E$8</f>
        <v>0</v>
      </c>
      <c r="P3" s="10">
        <f>$D$8*$E$8</f>
        <v>0</v>
      </c>
      <c r="Q3" s="10">
        <f>$D$9*(1-$E$9)</f>
        <v>0.2</v>
      </c>
      <c r="R3" s="10">
        <f>$D$9*(1-$E$9)</f>
        <v>0.2</v>
      </c>
      <c r="S3" s="10">
        <f>$D$9*$E$9</f>
        <v>0</v>
      </c>
      <c r="T3" s="10">
        <f>$D$9*$E$9</f>
        <v>0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7.039999999999999E-2</v>
      </c>
      <c r="X4" s="10">
        <f>SUMPRODUCT(I3:T3,I4:T4)/2</f>
        <v>7.039999999999999E-2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16">
        <v>0</v>
      </c>
      <c r="J5" s="10">
        <f>$C$7*($C$15+$C$16)</f>
        <v>1.9040000000000001E-2</v>
      </c>
      <c r="K5" s="16">
        <v>0</v>
      </c>
      <c r="L5" s="10">
        <f>$C$11</f>
        <v>5.0000000000000001E-3</v>
      </c>
      <c r="M5" s="16">
        <v>0</v>
      </c>
      <c r="N5" s="10">
        <f>$C$8*($C$14+$C$16)</f>
        <v>2.0400000000000001E-2</v>
      </c>
      <c r="O5" s="16">
        <v>0</v>
      </c>
      <c r="P5" s="10">
        <f>$C$11</f>
        <v>5.0000000000000001E-3</v>
      </c>
      <c r="Q5" s="16">
        <v>0</v>
      </c>
      <c r="R5" s="10">
        <f>(50%*$C$9*($C$14+$C$16))+(50%*$C$9*($C$15+$C$16))</f>
        <v>2.5839999999999998E-2</v>
      </c>
      <c r="S5" s="16">
        <v>0</v>
      </c>
      <c r="T5" s="10">
        <f>$C$11</f>
        <v>5.0000000000000001E-3</v>
      </c>
      <c r="V5" s="10"/>
      <c r="W5" s="16">
        <v>0</v>
      </c>
      <c r="X5" s="10">
        <f>SUMPRODUCT(J3:T3,J5:T5)</f>
        <v>2.0835199999999998E-2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'Return Simulator'!D56</f>
        <v>0.08</v>
      </c>
      <c r="D7" s="4">
        <f>'Return Simulator'!D51</f>
        <v>0.48</v>
      </c>
      <c r="E7" s="4">
        <f>'Return Simulator'!D66</f>
        <v>0</v>
      </c>
      <c r="U7" s="30" t="s">
        <v>76</v>
      </c>
      <c r="V7" s="30" t="s">
        <v>76</v>
      </c>
      <c r="W7" s="31" t="s">
        <v>77</v>
      </c>
      <c r="X7" s="31" t="s">
        <v>77</v>
      </c>
      <c r="Y7" s="30" t="s">
        <v>76</v>
      </c>
      <c r="Z7" s="30" t="s">
        <v>76</v>
      </c>
      <c r="AA7" s="30" t="s">
        <v>76</v>
      </c>
      <c r="AB7" s="31" t="s">
        <v>77</v>
      </c>
      <c r="AC7" s="31" t="s">
        <v>77</v>
      </c>
      <c r="AD7" s="31" t="s">
        <v>77</v>
      </c>
      <c r="AE7" s="30" t="s">
        <v>76</v>
      </c>
      <c r="AF7" s="30" t="s">
        <v>76</v>
      </c>
      <c r="AG7" s="30" t="s">
        <v>76</v>
      </c>
      <c r="AH7" s="31" t="s">
        <v>77</v>
      </c>
      <c r="AI7" s="31" t="s">
        <v>77</v>
      </c>
      <c r="AJ7" s="31" t="s">
        <v>77</v>
      </c>
      <c r="AK7" s="30" t="s">
        <v>76</v>
      </c>
      <c r="AL7" s="30" t="s">
        <v>76</v>
      </c>
      <c r="AM7" s="30" t="s">
        <v>76</v>
      </c>
      <c r="AN7" s="31" t="s">
        <v>77</v>
      </c>
      <c r="AO7" s="31" t="s">
        <v>77</v>
      </c>
      <c r="AP7" s="31" t="s">
        <v>77</v>
      </c>
    </row>
    <row r="8" spans="2:42" x14ac:dyDescent="0.45">
      <c r="B8" t="s">
        <v>1</v>
      </c>
      <c r="C8" s="4">
        <f>'Return Simulator'!D57</f>
        <v>0.05</v>
      </c>
      <c r="D8" s="4">
        <f>'Return Simulator'!D52</f>
        <v>0.32</v>
      </c>
      <c r="E8" s="4">
        <f>'Return Simulator'!D67</f>
        <v>0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'Return Simulator'!D58</f>
        <v>0.08</v>
      </c>
      <c r="D9" s="4">
        <f>'Return Simulator'!D53</f>
        <v>0.2</v>
      </c>
      <c r="E9" s="4">
        <f>'Return Simulator'!D68</f>
        <v>0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5184000</v>
      </c>
      <c r="J10" s="7">
        <f t="shared" si="1"/>
        <v>5092608</v>
      </c>
      <c r="K10" s="7">
        <f t="shared" si="1"/>
        <v>0</v>
      </c>
      <c r="L10" s="7">
        <f t="shared" si="1"/>
        <v>0</v>
      </c>
      <c r="M10" s="7">
        <f t="shared" si="1"/>
        <v>3360000</v>
      </c>
      <c r="N10" s="7">
        <f t="shared" si="1"/>
        <v>3294720</v>
      </c>
      <c r="O10" s="7">
        <f t="shared" si="1"/>
        <v>0</v>
      </c>
      <c r="P10" s="7">
        <f t="shared" si="1"/>
        <v>0</v>
      </c>
      <c r="Q10" s="7">
        <f t="shared" si="1"/>
        <v>2160000</v>
      </c>
      <c r="R10" s="7">
        <f t="shared" si="1"/>
        <v>2108320</v>
      </c>
      <c r="S10" s="7">
        <f t="shared" si="1"/>
        <v>0</v>
      </c>
      <c r="T10" s="7">
        <f t="shared" si="1"/>
        <v>0</v>
      </c>
      <c r="U10" s="8">
        <f>IF(G10="","",SUM(I10,K10,M10,O10,Q10,S10))</f>
        <v>10704000</v>
      </c>
      <c r="V10" s="8">
        <f>IF(H10="","",SUM(J10,L10,N10,P10,R10,T10))</f>
        <v>10495648</v>
      </c>
      <c r="W10" s="7">
        <f t="shared" ref="W10:X25" si="2">IF($G10="","",IF($G10=1,(($C$2+$H10)*W$3)*(1+(W$4-W$5)),((W9+($H10*W$3))*(1+(W$4-W$5)))))</f>
        <v>10704000</v>
      </c>
      <c r="X10" s="7">
        <f t="shared" si="2"/>
        <v>10495648</v>
      </c>
      <c r="Y10" s="10">
        <f t="shared" ref="Y10:Y73" si="3">IF($G10="","",IF($G10=1,(U10-$C$2-H10)/($C$2+H10),(U10-U9-H10)/(U9+H10)))</f>
        <v>7.0400000000000004E-2</v>
      </c>
      <c r="Z10" s="10">
        <f>IF($G10="","",IF($G10=1,(V10-$C$2-H10)/($C$2+H10),(V10-V9-H10)/(V9+H10)))</f>
        <v>4.9564799999999999E-2</v>
      </c>
      <c r="AA10" s="10">
        <f>IF($G10="","",Z10-Y10)</f>
        <v>-2.0835200000000005E-2</v>
      </c>
      <c r="AB10" s="10">
        <f>IF($G10="","",IF($G10=1,(W10-$C$2-H10)/($C$2+H10),(W10-W9-H10)/(W9+H10)))</f>
        <v>7.0400000000000004E-2</v>
      </c>
      <c r="AC10" s="10">
        <f>IF($G10="","",IF($G10=1,(X10-$C$2-H10)/($C$2+H10),(X10-X9-H10)/(X9+H10)))</f>
        <v>4.9564799999999999E-2</v>
      </c>
      <c r="AD10" s="10">
        <f>IF($G10="","",AC10-AB10)</f>
        <v>-2.0835200000000005E-2</v>
      </c>
      <c r="AE10" s="10">
        <f t="shared" ref="AE10:AE41" si="4">IF($G10="","",IF($G10=1,Y10,(1+Y10)*(1+AE9)-1))</f>
        <v>7.0400000000000004E-2</v>
      </c>
      <c r="AF10" s="10">
        <f t="shared" ref="AF10:AF41" si="5">IF($G10="","",IF($G10=1,Z10,(1+Z10)*(1+AF9)-1))</f>
        <v>4.9564799999999999E-2</v>
      </c>
      <c r="AG10" s="10">
        <f>IF($G10="","",AF10-AE10)</f>
        <v>-2.0835200000000005E-2</v>
      </c>
      <c r="AH10" s="10">
        <f t="shared" ref="AH10:AH73" si="6">IF($G10="","",IF($G10=1,AB10,(1+AB10)*(1+AH9)-1))</f>
        <v>7.0400000000000004E-2</v>
      </c>
      <c r="AI10" s="10">
        <f t="shared" ref="AI10:AI73" si="7">IF($G10="","",IF($G10=1,AC10,(1+AC10)*(1+AI9)-1))</f>
        <v>4.9564799999999999E-2</v>
      </c>
      <c r="AJ10" s="10">
        <f>IF($G10="","",AI10-AH10)</f>
        <v>-2.0835200000000005E-2</v>
      </c>
      <c r="AK10" s="10">
        <f t="shared" ref="AK10:AK41" si="8">IF($G10="","",(1+AE10)^(1/G10)-1)</f>
        <v>7.0400000000000018E-2</v>
      </c>
      <c r="AL10" s="10">
        <f>IF($G10="","",(1+AF10)^(1/G10)-1)</f>
        <v>4.9564799999999964E-2</v>
      </c>
      <c r="AM10" s="10">
        <f>IF($G10="","",AL10-AK10)</f>
        <v>-2.0835200000000054E-2</v>
      </c>
      <c r="AN10" s="10">
        <f>IF($G10="","",(1+AH10)^(1/G10)-1)</f>
        <v>7.0400000000000018E-2</v>
      </c>
      <c r="AO10" s="10">
        <f>IF($G10="","",(1+AI10)^(1/G10)-1)</f>
        <v>4.9564799999999964E-2</v>
      </c>
      <c r="AP10" s="10">
        <f>IF($G10="","",AO10-AN10)</f>
        <v>-2.0835200000000054E-2</v>
      </c>
    </row>
    <row r="11" spans="2:42" x14ac:dyDescent="0.45">
      <c r="B11" t="s">
        <v>5</v>
      </c>
      <c r="C11" s="4">
        <f>'Return Simulator'!D71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5598720</v>
      </c>
      <c r="J11" s="7">
        <f t="shared" si="1"/>
        <v>5403053.38368</v>
      </c>
      <c r="K11" s="7">
        <f t="shared" si="1"/>
        <v>0</v>
      </c>
      <c r="L11" s="7">
        <f t="shared" si="1"/>
        <v>0</v>
      </c>
      <c r="M11" s="7">
        <f t="shared" si="1"/>
        <v>3528000</v>
      </c>
      <c r="N11" s="7">
        <f t="shared" si="1"/>
        <v>3392243.7120000003</v>
      </c>
      <c r="O11" s="7">
        <f t="shared" si="1"/>
        <v>0</v>
      </c>
      <c r="P11" s="7">
        <f t="shared" si="1"/>
        <v>0</v>
      </c>
      <c r="Q11" s="7">
        <f t="shared" si="1"/>
        <v>2332800</v>
      </c>
      <c r="R11" s="7">
        <f t="shared" si="1"/>
        <v>2222506.6112000002</v>
      </c>
      <c r="S11" s="7">
        <f t="shared" si="1"/>
        <v>0</v>
      </c>
      <c r="T11" s="7">
        <f t="shared" si="1"/>
        <v>0</v>
      </c>
      <c r="U11" s="8">
        <f t="shared" ref="U11:V74" si="9">IF(G11="","",SUM(I11,K11,M11,O11,Q11,S11))</f>
        <v>11459520</v>
      </c>
      <c r="V11" s="8">
        <f t="shared" si="9"/>
        <v>11017803.706879999</v>
      </c>
      <c r="W11" s="7">
        <f t="shared" si="2"/>
        <v>11457561.6</v>
      </c>
      <c r="X11" s="7">
        <f t="shared" si="2"/>
        <v>11015862.6939904</v>
      </c>
      <c r="Y11" s="10">
        <f t="shared" si="3"/>
        <v>7.0582959641255605E-2</v>
      </c>
      <c r="Z11" s="10">
        <f t="shared" ref="Z11:Z74" si="10">IF($G11="","",IF($G11=1,(V11-$C$2-H11)/($C$2+H11),(V11-V10-H11)/(V10+H11)))</f>
        <v>4.9749735021601287E-2</v>
      </c>
      <c r="AA11" s="10">
        <f t="shared" ref="AA11:AA74" si="11">IF($G11="","",Z11-Y11)</f>
        <v>-2.0833224619654318E-2</v>
      </c>
      <c r="AB11" s="10">
        <f t="shared" ref="AB11:AB74" si="12">IF($G11="","",IF($G11=1,(W11-$C$2-H11)/($C$2+H11),(W11-W10-H11)/(W10+H11)))</f>
        <v>7.0399999999999963E-2</v>
      </c>
      <c r="AC11" s="10">
        <f t="shared" ref="AC11:AC74" si="13">IF($G11="","",IF($G11=1,(X11-$C$2-H11)/($C$2+H11),(X11-X10-H11)/(X10+H11)))</f>
        <v>4.9564800000000006E-2</v>
      </c>
      <c r="AD11" s="10">
        <f t="shared" ref="AD11:AD74" si="14">IF($G11="","",AC11-AB11)</f>
        <v>-2.0835199999999957E-2</v>
      </c>
      <c r="AE11" s="10">
        <f t="shared" si="4"/>
        <v>0.14595200000000008</v>
      </c>
      <c r="AF11" s="10">
        <f t="shared" si="5"/>
        <v>0.10178037068799983</v>
      </c>
      <c r="AG11" s="10">
        <f t="shared" ref="AG11:AG74" si="15">IF($G11="","",AF11-AE11)</f>
        <v>-4.4171629312000249E-2</v>
      </c>
      <c r="AH11" s="10">
        <f t="shared" si="6"/>
        <v>0.14575616000000013</v>
      </c>
      <c r="AI11" s="10">
        <f t="shared" si="7"/>
        <v>0.10158626939903992</v>
      </c>
      <c r="AJ11" s="10">
        <f t="shared" ref="AJ11:AJ74" si="16">IF($G11="","",AI11-AH11)</f>
        <v>-4.4169890600960215E-2</v>
      </c>
      <c r="AK11" s="10">
        <f t="shared" si="8"/>
        <v>7.0491475911882207E-2</v>
      </c>
      <c r="AL11" s="10">
        <f t="shared" ref="AL11:AL74" si="17">IF($G11="","",(1+AF11)^(1/G11)-1)</f>
        <v>4.9657263437927979E-2</v>
      </c>
      <c r="AM11" s="10">
        <f t="shared" ref="AM11:AM74" si="18">IF($G11="","",AL11-AK11)</f>
        <v>-2.0834212473954228E-2</v>
      </c>
      <c r="AN11" s="10">
        <f t="shared" ref="AN11:AN74" si="19">IF($G11="","",(1+AH11)^(1/G11)-1)</f>
        <v>7.0400000000000018E-2</v>
      </c>
      <c r="AO11" s="10">
        <f t="shared" ref="AO11:AO74" si="20">IF($G11="","",(1+AI11)^(1/G11)-1)</f>
        <v>4.9564799999999964E-2</v>
      </c>
      <c r="AP11" s="10">
        <f t="shared" ref="AP11:AP74" si="21">IF($G11="","",AO11-AN11)</f>
        <v>-2.0835200000000054E-2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6046617.6000000006</v>
      </c>
      <c r="J12" s="7">
        <f t="shared" si="1"/>
        <v>5732423.5179491322</v>
      </c>
      <c r="K12" s="7">
        <f t="shared" si="1"/>
        <v>0</v>
      </c>
      <c r="L12" s="7">
        <f t="shared" si="1"/>
        <v>0</v>
      </c>
      <c r="M12" s="7">
        <f t="shared" si="1"/>
        <v>3704400</v>
      </c>
      <c r="N12" s="7">
        <f t="shared" si="1"/>
        <v>3492654.1258752006</v>
      </c>
      <c r="O12" s="7">
        <f t="shared" si="1"/>
        <v>0</v>
      </c>
      <c r="P12" s="7">
        <f t="shared" si="1"/>
        <v>0</v>
      </c>
      <c r="Q12" s="7">
        <f t="shared" si="1"/>
        <v>2519424</v>
      </c>
      <c r="R12" s="7">
        <f t="shared" si="1"/>
        <v>2342877.5692625921</v>
      </c>
      <c r="S12" s="7">
        <f t="shared" si="1"/>
        <v>0</v>
      </c>
      <c r="T12" s="7">
        <f t="shared" si="1"/>
        <v>0</v>
      </c>
      <c r="U12" s="8">
        <f t="shared" si="9"/>
        <v>12270441.600000001</v>
      </c>
      <c r="V12" s="8">
        <f t="shared" si="9"/>
        <v>11567955.213086925</v>
      </c>
      <c r="W12" s="7">
        <f t="shared" si="2"/>
        <v>12264173.93664</v>
      </c>
      <c r="X12" s="7">
        <f t="shared" si="2"/>
        <v>11561861.725245494</v>
      </c>
      <c r="Y12" s="10">
        <f t="shared" si="3"/>
        <v>7.0764011058054924E-2</v>
      </c>
      <c r="Z12" s="10">
        <f t="shared" si="10"/>
        <v>4.993295586337114E-2</v>
      </c>
      <c r="AA12" s="10">
        <f t="shared" si="11"/>
        <v>-2.0831055194683784E-2</v>
      </c>
      <c r="AB12" s="10">
        <f t="shared" si="12"/>
        <v>7.0400000000000032E-2</v>
      </c>
      <c r="AC12" s="10">
        <f t="shared" si="13"/>
        <v>4.9564799999999902E-2</v>
      </c>
      <c r="AD12" s="10">
        <f t="shared" si="14"/>
        <v>-2.083520000000013E-2</v>
      </c>
      <c r="AE12" s="10">
        <f t="shared" si="4"/>
        <v>0.22704416000000038</v>
      </c>
      <c r="AF12" s="10">
        <f t="shared" si="5"/>
        <v>0.15679552130869245</v>
      </c>
      <c r="AG12" s="10">
        <f t="shared" si="15"/>
        <v>-7.024863869130793E-2</v>
      </c>
      <c r="AH12" s="10">
        <f t="shared" si="6"/>
        <v>0.22641739366400015</v>
      </c>
      <c r="AI12" s="10">
        <f t="shared" si="7"/>
        <v>0.15618617252454947</v>
      </c>
      <c r="AJ12" s="10">
        <f t="shared" si="16"/>
        <v>-7.0231221139450684E-2</v>
      </c>
      <c r="AK12" s="10">
        <f t="shared" si="8"/>
        <v>7.058231325231934E-2</v>
      </c>
      <c r="AL12" s="10">
        <f t="shared" si="17"/>
        <v>4.9749152868627133E-2</v>
      </c>
      <c r="AM12" s="10">
        <f t="shared" si="18"/>
        <v>-2.0833160383692206E-2</v>
      </c>
      <c r="AN12" s="10">
        <f t="shared" si="19"/>
        <v>7.0400000000000018E-2</v>
      </c>
      <c r="AO12" s="10">
        <f t="shared" si="20"/>
        <v>4.9564799999999964E-2</v>
      </c>
      <c r="AP12" s="10">
        <f t="shared" si="21"/>
        <v>-2.0835200000000054E-2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6530347.0080000013</v>
      </c>
      <c r="J13" s="7">
        <f t="shared" si="1"/>
        <v>6081872.0556033105</v>
      </c>
      <c r="K13" s="7">
        <f t="shared" si="1"/>
        <v>0</v>
      </c>
      <c r="L13" s="7">
        <f t="shared" si="1"/>
        <v>0</v>
      </c>
      <c r="M13" s="7">
        <f t="shared" si="1"/>
        <v>3889620</v>
      </c>
      <c r="N13" s="7">
        <f t="shared" si="1"/>
        <v>3596036.688001107</v>
      </c>
      <c r="O13" s="7">
        <f t="shared" si="1"/>
        <v>0</v>
      </c>
      <c r="P13" s="7">
        <f t="shared" si="1"/>
        <v>0</v>
      </c>
      <c r="Q13" s="7">
        <f t="shared" si="1"/>
        <v>2720977.9200000004</v>
      </c>
      <c r="R13" s="7">
        <f t="shared" si="1"/>
        <v>2469767.8184138541</v>
      </c>
      <c r="S13" s="7">
        <f t="shared" si="1"/>
        <v>0</v>
      </c>
      <c r="T13" s="7">
        <f t="shared" si="1"/>
        <v>0</v>
      </c>
      <c r="U13" s="8">
        <f t="shared" si="9"/>
        <v>13140944.928000001</v>
      </c>
      <c r="V13" s="8">
        <f t="shared" si="9"/>
        <v>12147676.562018272</v>
      </c>
      <c r="W13" s="7">
        <f t="shared" si="2"/>
        <v>13127571.781779457</v>
      </c>
      <c r="X13" s="7">
        <f t="shared" si="2"/>
        <v>12134923.089284942</v>
      </c>
      <c r="Y13" s="10">
        <f t="shared" si="3"/>
        <v>7.0943113245410791E-2</v>
      </c>
      <c r="Z13" s="10">
        <f t="shared" si="10"/>
        <v>5.0114418516723026E-2</v>
      </c>
      <c r="AA13" s="10">
        <f t="shared" si="11"/>
        <v>-2.0828694728687765E-2</v>
      </c>
      <c r="AB13" s="10">
        <f t="shared" si="12"/>
        <v>7.0400000000000074E-2</v>
      </c>
      <c r="AC13" s="10">
        <f t="shared" si="13"/>
        <v>4.9564799999999937E-2</v>
      </c>
      <c r="AD13" s="10">
        <f t="shared" si="14"/>
        <v>-2.0835200000000137E-2</v>
      </c>
      <c r="AE13" s="10">
        <f t="shared" si="4"/>
        <v>0.31409449280000046</v>
      </c>
      <c r="AF13" s="10">
        <f t="shared" si="5"/>
        <v>0.21476765620182703</v>
      </c>
      <c r="AG13" s="10">
        <f t="shared" si="15"/>
        <v>-9.9326836598173429E-2</v>
      </c>
      <c r="AH13" s="10">
        <f t="shared" si="6"/>
        <v>0.31275717817794568</v>
      </c>
      <c r="AI13" s="10">
        <f t="shared" si="7"/>
        <v>0.21349230892849413</v>
      </c>
      <c r="AJ13" s="10">
        <f t="shared" si="16"/>
        <v>-9.9264869249451548E-2</v>
      </c>
      <c r="AK13" s="10">
        <f t="shared" si="8"/>
        <v>7.0672501853373371E-2</v>
      </c>
      <c r="AL13" s="10">
        <f t="shared" si="17"/>
        <v>4.9840457367812396E-2</v>
      </c>
      <c r="AM13" s="10">
        <f t="shared" si="18"/>
        <v>-2.0832044485560974E-2</v>
      </c>
      <c r="AN13" s="10">
        <f t="shared" si="19"/>
        <v>7.0400000000000018E-2</v>
      </c>
      <c r="AO13" s="10">
        <f t="shared" si="20"/>
        <v>4.9564799999999964E-2</v>
      </c>
      <c r="AP13" s="10">
        <f t="shared" si="21"/>
        <v>-2.0835200000000054E-2</v>
      </c>
    </row>
    <row r="14" spans="2:42" x14ac:dyDescent="0.45">
      <c r="B14" t="s">
        <v>7</v>
      </c>
      <c r="C14" s="4">
        <f>'Return Simulator'!D61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7052774.7686400022</v>
      </c>
      <c r="J14" s="7">
        <f t="shared" si="1"/>
        <v>6452622.9761128873</v>
      </c>
      <c r="K14" s="7">
        <f t="shared" si="1"/>
        <v>0</v>
      </c>
      <c r="L14" s="7">
        <f t="shared" si="1"/>
        <v>0</v>
      </c>
      <c r="M14" s="7">
        <f t="shared" si="1"/>
        <v>4084101</v>
      </c>
      <c r="N14" s="7">
        <f t="shared" si="1"/>
        <v>3702479.37396594</v>
      </c>
      <c r="O14" s="7">
        <f t="shared" si="1"/>
        <v>0</v>
      </c>
      <c r="P14" s="7">
        <f t="shared" si="1"/>
        <v>0</v>
      </c>
      <c r="Q14" s="7">
        <f t="shared" si="1"/>
        <v>2938656.1536000008</v>
      </c>
      <c r="R14" s="7">
        <f t="shared" si="1"/>
        <v>2603530.4434591485</v>
      </c>
      <c r="S14" s="7">
        <f t="shared" si="1"/>
        <v>0</v>
      </c>
      <c r="T14" s="7">
        <f t="shared" si="1"/>
        <v>0</v>
      </c>
      <c r="U14" s="8">
        <f t="shared" si="9"/>
        <v>14075531.922240004</v>
      </c>
      <c r="V14" s="8">
        <f t="shared" si="9"/>
        <v>12758632.793537974</v>
      </c>
      <c r="W14" s="7">
        <f t="shared" si="2"/>
        <v>14051752.835216731</v>
      </c>
      <c r="X14" s="7">
        <f t="shared" si="2"/>
        <v>12736388.125220731</v>
      </c>
      <c r="Y14" s="10">
        <f t="shared" si="3"/>
        <v>7.1120227606207856E-2</v>
      </c>
      <c r="Z14" s="10">
        <f t="shared" si="10"/>
        <v>5.029408120973182E-2</v>
      </c>
      <c r="AA14" s="10">
        <f t="shared" si="11"/>
        <v>-2.0826146396476036E-2</v>
      </c>
      <c r="AB14" s="10">
        <f t="shared" si="12"/>
        <v>7.0400000000000018E-2</v>
      </c>
      <c r="AC14" s="10">
        <f t="shared" si="13"/>
        <v>4.9564799999999923E-2</v>
      </c>
      <c r="AD14" s="10">
        <f t="shared" si="14"/>
        <v>-2.0835200000000095E-2</v>
      </c>
      <c r="AE14" s="10">
        <f t="shared" si="4"/>
        <v>0.40755319222400099</v>
      </c>
      <c r="AF14" s="10">
        <f t="shared" si="5"/>
        <v>0.2758632793537974</v>
      </c>
      <c r="AG14" s="10">
        <f t="shared" si="15"/>
        <v>-0.1316899128702036</v>
      </c>
      <c r="AH14" s="10">
        <f t="shared" si="6"/>
        <v>0.40517528352167309</v>
      </c>
      <c r="AI14" s="10">
        <f t="shared" si="7"/>
        <v>0.27363881252207323</v>
      </c>
      <c r="AJ14" s="10">
        <f t="shared" si="16"/>
        <v>-0.13153647099959986</v>
      </c>
      <c r="AK14" s="10">
        <f t="shared" si="8"/>
        <v>7.0762032029570987E-2</v>
      </c>
      <c r="AL14" s="10">
        <f t="shared" si="17"/>
        <v>4.9931166459813658E-2</v>
      </c>
      <c r="AM14" s="10">
        <f t="shared" si="18"/>
        <v>-2.0830865569757329E-2</v>
      </c>
      <c r="AN14" s="10">
        <f t="shared" si="19"/>
        <v>7.0400000000000018E-2</v>
      </c>
      <c r="AO14" s="10">
        <f t="shared" si="20"/>
        <v>4.9564799999999964E-2</v>
      </c>
      <c r="AP14" s="10">
        <f t="shared" si="21"/>
        <v>-2.0835200000000054E-2</v>
      </c>
    </row>
    <row r="15" spans="2:42" x14ac:dyDescent="0.45">
      <c r="B15" t="s">
        <v>8</v>
      </c>
      <c r="C15" s="4">
        <f>'Return Simulator'!D62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7616996.7501312029</v>
      </c>
      <c r="J15" s="7">
        <f t="shared" si="1"/>
        <v>6845974.8727367278</v>
      </c>
      <c r="K15" s="7">
        <f t="shared" si="1"/>
        <v>0</v>
      </c>
      <c r="L15" s="7">
        <f t="shared" si="1"/>
        <v>0</v>
      </c>
      <c r="M15" s="7">
        <f t="shared" si="1"/>
        <v>4288306.05</v>
      </c>
      <c r="N15" s="7">
        <f t="shared" si="1"/>
        <v>3812072.7634353321</v>
      </c>
      <c r="O15" s="7">
        <f t="shared" si="1"/>
        <v>0</v>
      </c>
      <c r="P15" s="7">
        <f t="shared" si="1"/>
        <v>0</v>
      </c>
      <c r="Q15" s="7">
        <f t="shared" si="1"/>
        <v>3173748.6458880012</v>
      </c>
      <c r="R15" s="7">
        <f t="shared" si="1"/>
        <v>2744537.6522768959</v>
      </c>
      <c r="S15" s="7">
        <f t="shared" si="1"/>
        <v>0</v>
      </c>
      <c r="T15" s="7">
        <f t="shared" si="1"/>
        <v>0</v>
      </c>
      <c r="U15" s="8">
        <f t="shared" si="9"/>
        <v>15079051.446019202</v>
      </c>
      <c r="V15" s="8">
        <f t="shared" si="9"/>
        <v>13402585.288448956</v>
      </c>
      <c r="W15" s="7">
        <f t="shared" si="2"/>
        <v>15040996.234815989</v>
      </c>
      <c r="X15" s="7">
        <f t="shared" si="2"/>
        <v>13367664.655369671</v>
      </c>
      <c r="Y15" s="10">
        <f t="shared" si="3"/>
        <v>7.129531795481138E-2</v>
      </c>
      <c r="Z15" s="10">
        <f t="shared" si="10"/>
        <v>5.0471904422010813E-2</v>
      </c>
      <c r="AA15" s="10">
        <f t="shared" si="11"/>
        <v>-2.0823413532800567E-2</v>
      </c>
      <c r="AB15" s="10">
        <f t="shared" si="12"/>
        <v>7.0400000000000004E-2</v>
      </c>
      <c r="AC15" s="10">
        <f t="shared" si="13"/>
        <v>4.9564799999999971E-2</v>
      </c>
      <c r="AD15" s="10">
        <f t="shared" si="14"/>
        <v>-2.0835200000000033E-2</v>
      </c>
      <c r="AE15" s="10">
        <f t="shared" si="4"/>
        <v>0.50790514460192093</v>
      </c>
      <c r="AF15" s="10">
        <f t="shared" si="5"/>
        <v>0.34025852884489538</v>
      </c>
      <c r="AG15" s="10">
        <f t="shared" si="15"/>
        <v>-0.16764661575702555</v>
      </c>
      <c r="AH15" s="10">
        <f t="shared" si="6"/>
        <v>0.50409962348159887</v>
      </c>
      <c r="AI15" s="10">
        <f t="shared" si="7"/>
        <v>0.33676646553696732</v>
      </c>
      <c r="AJ15" s="10">
        <f t="shared" si="16"/>
        <v>-0.16733315794463155</v>
      </c>
      <c r="AK15" s="10">
        <f t="shared" si="8"/>
        <v>7.0850894578311951E-2</v>
      </c>
      <c r="AL15" s="10">
        <f t="shared" si="17"/>
        <v>5.0021270119868122E-2</v>
      </c>
      <c r="AM15" s="10">
        <f t="shared" si="18"/>
        <v>-2.0829624458443829E-2</v>
      </c>
      <c r="AN15" s="10">
        <f t="shared" si="19"/>
        <v>7.0400000000000018E-2</v>
      </c>
      <c r="AO15" s="10">
        <f t="shared" si="20"/>
        <v>4.9564799999999964E-2</v>
      </c>
      <c r="AP15" s="10">
        <f t="shared" si="21"/>
        <v>-2.0835200000000054E-2</v>
      </c>
    </row>
    <row r="16" spans="2:42" x14ac:dyDescent="0.45">
      <c r="B16" t="s">
        <v>9</v>
      </c>
      <c r="C16" s="4">
        <f>'Return Simulator'!D63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8226356.4901417</v>
      </c>
      <c r="J16" s="7">
        <f t="shared" si="1"/>
        <v>7263305.5009787576</v>
      </c>
      <c r="K16" s="7">
        <f t="shared" si="1"/>
        <v>0</v>
      </c>
      <c r="L16" s="7">
        <f t="shared" si="1"/>
        <v>0</v>
      </c>
      <c r="M16" s="7">
        <f t="shared" si="1"/>
        <v>4502721.3525</v>
      </c>
      <c r="N16" s="7">
        <f t="shared" si="1"/>
        <v>3924910.1172330184</v>
      </c>
      <c r="O16" s="7">
        <f t="shared" si="1"/>
        <v>0</v>
      </c>
      <c r="P16" s="7">
        <f t="shared" si="1"/>
        <v>0</v>
      </c>
      <c r="Q16" s="7">
        <f t="shared" si="1"/>
        <v>3427648.5375590413</v>
      </c>
      <c r="R16" s="7">
        <f t="shared" si="1"/>
        <v>2893181.8115242124</v>
      </c>
      <c r="S16" s="7">
        <f t="shared" si="1"/>
        <v>0</v>
      </c>
      <c r="T16" s="7">
        <f t="shared" si="1"/>
        <v>0</v>
      </c>
      <c r="U16" s="8">
        <f t="shared" si="9"/>
        <v>16156726.380200742</v>
      </c>
      <c r="V16" s="8">
        <f t="shared" si="9"/>
        <v>14081397.429735988</v>
      </c>
      <c r="W16" s="7">
        <f t="shared" si="2"/>
        <v>16099882.369747035</v>
      </c>
      <c r="X16" s="7">
        <f t="shared" si="2"/>
        <v>14030230.280480137</v>
      </c>
      <c r="Y16" s="10">
        <f t="shared" si="3"/>
        <v>7.146835051524679E-2</v>
      </c>
      <c r="Z16" s="10">
        <f t="shared" si="10"/>
        <v>5.064785089426501E-2</v>
      </c>
      <c r="AA16" s="10">
        <f t="shared" si="11"/>
        <v>-2.0820499620981779E-2</v>
      </c>
      <c r="AB16" s="10">
        <f t="shared" si="12"/>
        <v>7.040000000000006E-2</v>
      </c>
      <c r="AC16" s="10">
        <f t="shared" si="13"/>
        <v>4.9564799999999951E-2</v>
      </c>
      <c r="AD16" s="10">
        <f t="shared" si="14"/>
        <v>-2.0835200000000109E-2</v>
      </c>
      <c r="AE16" s="10">
        <f t="shared" si="4"/>
        <v>0.61567263802007477</v>
      </c>
      <c r="AF16" s="10">
        <f t="shared" si="5"/>
        <v>0.40813974297359845</v>
      </c>
      <c r="AG16" s="10">
        <f t="shared" si="15"/>
        <v>-0.20753289504647632</v>
      </c>
      <c r="AH16" s="10">
        <f t="shared" si="6"/>
        <v>0.60998823697470339</v>
      </c>
      <c r="AI16" s="10">
        <f t="shared" si="7"/>
        <v>0.40302302804801404</v>
      </c>
      <c r="AJ16" s="10">
        <f t="shared" si="16"/>
        <v>-0.20696520892668935</v>
      </c>
      <c r="AK16" s="10">
        <f t="shared" si="8"/>
        <v>7.0939080779508279E-2</v>
      </c>
      <c r="AL16" s="10">
        <f t="shared" si="17"/>
        <v>5.0110758775653741E-2</v>
      </c>
      <c r="AM16" s="10">
        <f t="shared" si="18"/>
        <v>-2.0828322003854538E-2</v>
      </c>
      <c r="AN16" s="10">
        <f t="shared" si="19"/>
        <v>7.0400000000000018E-2</v>
      </c>
      <c r="AO16" s="10">
        <f t="shared" si="20"/>
        <v>4.9564799999999964E-2</v>
      </c>
      <c r="AP16" s="10">
        <f t="shared" si="21"/>
        <v>-2.0835200000000054E-2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8884465.0093530361</v>
      </c>
      <c r="J17" s="7">
        <f t="shared" si="1"/>
        <v>7706076.6043184223</v>
      </c>
      <c r="K17" s="7">
        <f t="shared" si="1"/>
        <v>0</v>
      </c>
      <c r="L17" s="7">
        <f t="shared" si="1"/>
        <v>0</v>
      </c>
      <c r="M17" s="7">
        <f t="shared" si="1"/>
        <v>4727857.4201250002</v>
      </c>
      <c r="N17" s="7">
        <f t="shared" si="1"/>
        <v>4041087.4567031162</v>
      </c>
      <c r="O17" s="7">
        <f t="shared" si="1"/>
        <v>0</v>
      </c>
      <c r="P17" s="7">
        <f t="shared" si="1"/>
        <v>0</v>
      </c>
      <c r="Q17" s="7">
        <f t="shared" si="1"/>
        <v>3701860.4205637649</v>
      </c>
      <c r="R17" s="7">
        <f t="shared" si="1"/>
        <v>3049876.5384363635</v>
      </c>
      <c r="S17" s="7">
        <f t="shared" si="1"/>
        <v>0</v>
      </c>
      <c r="T17" s="7">
        <f t="shared" si="1"/>
        <v>0</v>
      </c>
      <c r="U17" s="8">
        <f t="shared" si="9"/>
        <v>17314182.850041799</v>
      </c>
      <c r="V17" s="8">
        <f t="shared" si="9"/>
        <v>14797040.599457901</v>
      </c>
      <c r="W17" s="7">
        <f t="shared" si="2"/>
        <v>17233314.088577226</v>
      </c>
      <c r="X17" s="7">
        <f t="shared" si="2"/>
        <v>14725635.838286078</v>
      </c>
      <c r="Y17" s="10">
        <f t="shared" si="3"/>
        <v>7.1639293914110114E-2</v>
      </c>
      <c r="Z17" s="10">
        <f t="shared" si="10"/>
        <v>5.0821885632648472E-2</v>
      </c>
      <c r="AA17" s="10">
        <f t="shared" si="11"/>
        <v>-2.0817408281461641E-2</v>
      </c>
      <c r="AB17" s="10">
        <f t="shared" si="12"/>
        <v>7.0399999999999963E-2</v>
      </c>
      <c r="AC17" s="10">
        <f t="shared" si="13"/>
        <v>4.9564799999999902E-2</v>
      </c>
      <c r="AD17" s="10">
        <f t="shared" si="14"/>
        <v>-2.0835200000000061E-2</v>
      </c>
      <c r="AE17" s="10">
        <f t="shared" si="4"/>
        <v>0.7314182850041806</v>
      </c>
      <c r="AF17" s="10">
        <f t="shared" si="5"/>
        <v>0.4797040599457898</v>
      </c>
      <c r="AG17" s="10">
        <f t="shared" si="15"/>
        <v>-0.25171422505839081</v>
      </c>
      <c r="AH17" s="10">
        <f t="shared" si="6"/>
        <v>0.72333140885772251</v>
      </c>
      <c r="AI17" s="10">
        <f t="shared" si="7"/>
        <v>0.47256358382860819</v>
      </c>
      <c r="AJ17" s="10">
        <f t="shared" si="16"/>
        <v>-0.25076782502911432</v>
      </c>
      <c r="AK17" s="10">
        <f t="shared" si="8"/>
        <v>7.1026582394472459E-2</v>
      </c>
      <c r="AL17" s="10">
        <f t="shared" si="17"/>
        <v>5.0199623308082364E-2</v>
      </c>
      <c r="AM17" s="10">
        <f t="shared" si="18"/>
        <v>-2.0826959086390096E-2</v>
      </c>
      <c r="AN17" s="10">
        <f t="shared" si="19"/>
        <v>7.0400000000000018E-2</v>
      </c>
      <c r="AO17" s="10">
        <f t="shared" si="20"/>
        <v>4.9564799999999964E-2</v>
      </c>
      <c r="AP17" s="10">
        <f t="shared" si="21"/>
        <v>-2.0835200000000054E-2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9595222.2101012804</v>
      </c>
      <c r="J18" s="7">
        <f t="shared" si="1"/>
        <v>8175839.0341176726</v>
      </c>
      <c r="K18" s="7">
        <f t="shared" si="1"/>
        <v>0</v>
      </c>
      <c r="L18" s="7">
        <f t="shared" si="1"/>
        <v>0</v>
      </c>
      <c r="M18" s="7">
        <f t="shared" si="1"/>
        <v>4964250.2911312506</v>
      </c>
      <c r="N18" s="7">
        <f t="shared" si="1"/>
        <v>4160703.6454215287</v>
      </c>
      <c r="O18" s="7">
        <f t="shared" si="1"/>
        <v>0</v>
      </c>
      <c r="P18" s="7">
        <f t="shared" si="1"/>
        <v>0</v>
      </c>
      <c r="Q18" s="7">
        <f t="shared" si="1"/>
        <v>3998009.2542088665</v>
      </c>
      <c r="R18" s="7">
        <f t="shared" si="1"/>
        <v>3215057.8517580768</v>
      </c>
      <c r="S18" s="7">
        <f t="shared" si="1"/>
        <v>0</v>
      </c>
      <c r="T18" s="7">
        <f t="shared" si="1"/>
        <v>0</v>
      </c>
      <c r="U18" s="8">
        <f t="shared" si="9"/>
        <v>18557481.755441397</v>
      </c>
      <c r="V18" s="8">
        <f t="shared" si="9"/>
        <v>15551600.531297278</v>
      </c>
      <c r="W18" s="7">
        <f t="shared" si="2"/>
        <v>18446539.400413062</v>
      </c>
      <c r="X18" s="7">
        <f t="shared" si="2"/>
        <v>15455509.033483559</v>
      </c>
      <c r="Y18" s="10">
        <f t="shared" si="3"/>
        <v>7.1808119168419005E-2</v>
      </c>
      <c r="Z18" s="10">
        <f t="shared" si="10"/>
        <v>5.0993975908062351E-2</v>
      </c>
      <c r="AA18" s="10">
        <f t="shared" si="11"/>
        <v>-2.0814143260356653E-2</v>
      </c>
      <c r="AB18" s="10">
        <f t="shared" si="12"/>
        <v>7.039999999999999E-2</v>
      </c>
      <c r="AC18" s="10">
        <f t="shared" si="13"/>
        <v>4.9564799999999992E-2</v>
      </c>
      <c r="AD18" s="10">
        <f t="shared" si="14"/>
        <v>-2.0835199999999998E-2</v>
      </c>
      <c r="AE18" s="10">
        <f t="shared" si="4"/>
        <v>0.85574817554414051</v>
      </c>
      <c r="AF18" s="10">
        <f t="shared" si="5"/>
        <v>0.5551600531297276</v>
      </c>
      <c r="AG18" s="10">
        <f t="shared" si="15"/>
        <v>-0.30058812241441291</v>
      </c>
      <c r="AH18" s="10">
        <f t="shared" si="6"/>
        <v>0.84465394004130623</v>
      </c>
      <c r="AI18" s="10">
        <f t="shared" si="7"/>
        <v>0.54555090334835632</v>
      </c>
      <c r="AJ18" s="10">
        <f t="shared" si="16"/>
        <v>-0.29910303669294991</v>
      </c>
      <c r="AK18" s="10">
        <f t="shared" si="8"/>
        <v>7.1113391664079595E-2</v>
      </c>
      <c r="AL18" s="10">
        <f t="shared" si="17"/>
        <v>5.0287855051368568E-2</v>
      </c>
      <c r="AM18" s="10">
        <f t="shared" si="18"/>
        <v>-2.0825536612711026E-2</v>
      </c>
      <c r="AN18" s="10">
        <f t="shared" si="19"/>
        <v>7.0400000000000018E-2</v>
      </c>
      <c r="AO18" s="10">
        <f t="shared" si="20"/>
        <v>4.9564799999999964E-2</v>
      </c>
      <c r="AP18" s="10">
        <f t="shared" si="21"/>
        <v>-2.0835200000000054E-2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10362839.986909384</v>
      </c>
      <c r="J19" s="7">
        <f t="shared" si="1"/>
        <v>8674238.1816374846</v>
      </c>
      <c r="K19" s="7">
        <f t="shared" si="1"/>
        <v>0</v>
      </c>
      <c r="L19" s="7">
        <f t="shared" si="1"/>
        <v>0</v>
      </c>
      <c r="M19" s="7">
        <f t="shared" si="1"/>
        <v>5212462.8056878131</v>
      </c>
      <c r="N19" s="7">
        <f t="shared" si="1"/>
        <v>4283860.473326006</v>
      </c>
      <c r="O19" s="7">
        <f t="shared" si="1"/>
        <v>0</v>
      </c>
      <c r="P19" s="7">
        <f t="shared" si="1"/>
        <v>0</v>
      </c>
      <c r="Q19" s="7">
        <f t="shared" si="1"/>
        <v>4317849.9945455762</v>
      </c>
      <c r="R19" s="7">
        <f t="shared" si="1"/>
        <v>3389185.3850092944</v>
      </c>
      <c r="S19" s="7">
        <f t="shared" si="1"/>
        <v>0</v>
      </c>
      <c r="T19" s="7">
        <f t="shared" si="1"/>
        <v>0</v>
      </c>
      <c r="U19" s="8">
        <f t="shared" si="9"/>
        <v>19893152.787142772</v>
      </c>
      <c r="V19" s="8">
        <f t="shared" si="9"/>
        <v>16347284.039972784</v>
      </c>
      <c r="W19" s="7">
        <f t="shared" si="2"/>
        <v>19745175.774202142</v>
      </c>
      <c r="X19" s="7">
        <f t="shared" si="2"/>
        <v>16221558.247626364</v>
      </c>
      <c r="Y19" s="10">
        <f t="shared" si="3"/>
        <v>7.1974799668588191E-2</v>
      </c>
      <c r="Z19" s="10">
        <f t="shared" si="10"/>
        <v>5.1164091250557112E-2</v>
      </c>
      <c r="AA19" s="10">
        <f t="shared" si="11"/>
        <v>-2.0810708418031079E-2</v>
      </c>
      <c r="AB19" s="10">
        <f t="shared" si="12"/>
        <v>7.039999999999999E-2</v>
      </c>
      <c r="AC19" s="10">
        <f t="shared" si="13"/>
        <v>4.9564799999999937E-2</v>
      </c>
      <c r="AD19" s="10">
        <f t="shared" si="14"/>
        <v>-2.0835200000000054E-2</v>
      </c>
      <c r="AE19" s="10">
        <f t="shared" si="4"/>
        <v>0.98931527871427805</v>
      </c>
      <c r="AF19" s="10">
        <f t="shared" si="5"/>
        <v>0.63472840399727826</v>
      </c>
      <c r="AG19" s="10">
        <f t="shared" si="15"/>
        <v>-0.35458687471699979</v>
      </c>
      <c r="AH19" s="10">
        <f t="shared" si="6"/>
        <v>0.97451757742021416</v>
      </c>
      <c r="AI19" s="10">
        <f t="shared" si="7"/>
        <v>0.62215582476263687</v>
      </c>
      <c r="AJ19" s="10">
        <f t="shared" si="16"/>
        <v>-0.3523617526575773</v>
      </c>
      <c r="AK19" s="10">
        <f t="shared" si="8"/>
        <v>7.1199501306231427E-2</v>
      </c>
      <c r="AL19" s="10">
        <f t="shared" si="17"/>
        <v>5.0375445792396611E-2</v>
      </c>
      <c r="AM19" s="10">
        <f t="shared" si="18"/>
        <v>-2.0824055513834816E-2</v>
      </c>
      <c r="AN19" s="10">
        <f t="shared" si="19"/>
        <v>7.0400000000000018E-2</v>
      </c>
      <c r="AO19" s="10">
        <f t="shared" si="20"/>
        <v>4.9564799999999964E-2</v>
      </c>
      <c r="AP19" s="10">
        <f t="shared" si="21"/>
        <v>-2.0835200000000054E-2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11191867.185862135</v>
      </c>
      <c r="J20" s="7">
        <f t="shared" si="1"/>
        <v>9203019.7411901057</v>
      </c>
      <c r="K20" s="7">
        <f t="shared" si="1"/>
        <v>0</v>
      </c>
      <c r="L20" s="7">
        <f t="shared" si="1"/>
        <v>0</v>
      </c>
      <c r="M20" s="7">
        <f t="shared" si="1"/>
        <v>5473085.9459722042</v>
      </c>
      <c r="N20" s="7">
        <f t="shared" si="1"/>
        <v>4410662.7433364559</v>
      </c>
      <c r="O20" s="7">
        <f t="shared" si="1"/>
        <v>0</v>
      </c>
      <c r="P20" s="7">
        <f t="shared" si="1"/>
        <v>0</v>
      </c>
      <c r="Q20" s="7">
        <f t="shared" si="1"/>
        <v>4663277.9941092227</v>
      </c>
      <c r="R20" s="7">
        <f t="shared" si="1"/>
        <v>3572743.6654613977</v>
      </c>
      <c r="S20" s="7">
        <f t="shared" si="1"/>
        <v>0</v>
      </c>
      <c r="T20" s="7">
        <f t="shared" si="1"/>
        <v>0</v>
      </c>
      <c r="U20" s="8">
        <f t="shared" si="9"/>
        <v>21328231.125943564</v>
      </c>
      <c r="V20" s="8">
        <f t="shared" si="9"/>
        <v>17186426.149987958</v>
      </c>
      <c r="W20" s="7">
        <f t="shared" si="2"/>
        <v>21135236.148705974</v>
      </c>
      <c r="X20" s="7">
        <f t="shared" si="2"/>
        <v>17025576.537858315</v>
      </c>
      <c r="Y20" s="10">
        <f t="shared" si="3"/>
        <v>7.2139311156766625E-2</v>
      </c>
      <c r="Z20" s="10">
        <f t="shared" si="10"/>
        <v>5.1332203439010619E-2</v>
      </c>
      <c r="AA20" s="10">
        <f t="shared" si="11"/>
        <v>-2.0807107717756006E-2</v>
      </c>
      <c r="AB20" s="10">
        <f t="shared" si="12"/>
        <v>7.0400000000000074E-2</v>
      </c>
      <c r="AC20" s="10">
        <f t="shared" si="13"/>
        <v>4.9564799999999958E-2</v>
      </c>
      <c r="AD20" s="10">
        <f t="shared" si="14"/>
        <v>-2.0835200000000116E-2</v>
      </c>
      <c r="AE20" s="10">
        <f t="shared" si="4"/>
        <v>1.1328231125943571</v>
      </c>
      <c r="AF20" s="10">
        <f t="shared" si="5"/>
        <v>0.71864261499879589</v>
      </c>
      <c r="AG20" s="10">
        <f t="shared" si="15"/>
        <v>-0.41418049759556119</v>
      </c>
      <c r="AH20" s="10">
        <f t="shared" si="6"/>
        <v>1.1135236148705974</v>
      </c>
      <c r="AI20" s="10">
        <f t="shared" si="7"/>
        <v>0.70255765378583201</v>
      </c>
      <c r="AJ20" s="10">
        <f t="shared" si="16"/>
        <v>-0.41096596108476535</v>
      </c>
      <c r="AK20" s="10">
        <f t="shared" si="8"/>
        <v>7.1284904512645797E-2</v>
      </c>
      <c r="AL20" s="10">
        <f t="shared" si="17"/>
        <v>5.0462387769403261E-2</v>
      </c>
      <c r="AM20" s="10">
        <f t="shared" si="18"/>
        <v>-2.0822516743242536E-2</v>
      </c>
      <c r="AN20" s="10">
        <f t="shared" si="19"/>
        <v>7.0400000000000018E-2</v>
      </c>
      <c r="AO20" s="10">
        <f t="shared" si="20"/>
        <v>4.9564799999999964E-2</v>
      </c>
      <c r="AP20" s="10">
        <f t="shared" si="21"/>
        <v>-2.0835200000000054E-2</v>
      </c>
    </row>
    <row r="21" spans="2:42" x14ac:dyDescent="0.45">
      <c r="B21" s="32" t="s">
        <v>42</v>
      </c>
      <c r="C21" s="33" t="s">
        <v>76</v>
      </c>
      <c r="D21" s="33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12087216.560731107</v>
      </c>
      <c r="J21" s="7">
        <f t="shared" si="1"/>
        <v>9764035.8246130534</v>
      </c>
      <c r="K21" s="7">
        <f t="shared" si="1"/>
        <v>0</v>
      </c>
      <c r="L21" s="7">
        <f t="shared" si="1"/>
        <v>0</v>
      </c>
      <c r="M21" s="7">
        <f t="shared" si="1"/>
        <v>5746740.2432708144</v>
      </c>
      <c r="N21" s="7">
        <f t="shared" si="1"/>
        <v>4541218.3605392156</v>
      </c>
      <c r="O21" s="7">
        <f t="shared" si="1"/>
        <v>0</v>
      </c>
      <c r="P21" s="7">
        <f t="shared" si="1"/>
        <v>0</v>
      </c>
      <c r="Q21" s="7">
        <f t="shared" si="1"/>
        <v>5036340.2336379606</v>
      </c>
      <c r="R21" s="7">
        <f t="shared" si="1"/>
        <v>3766243.4623827869</v>
      </c>
      <c r="S21" s="7">
        <f t="shared" si="1"/>
        <v>0</v>
      </c>
      <c r="T21" s="7">
        <f t="shared" si="1"/>
        <v>0</v>
      </c>
      <c r="U21" s="8">
        <f t="shared" si="9"/>
        <v>22870297.037639879</v>
      </c>
      <c r="V21" s="8">
        <f t="shared" si="9"/>
        <v>18071497.647535056</v>
      </c>
      <c r="W21" s="7">
        <f t="shared" si="2"/>
        <v>22623156.773574874</v>
      </c>
      <c r="X21" s="7">
        <f t="shared" si="2"/>
        <v>17869445.833841953</v>
      </c>
      <c r="Y21" s="10">
        <f t="shared" si="3"/>
        <v>7.230163170074394E-2</v>
      </c>
      <c r="Z21" s="10">
        <f t="shared" si="10"/>
        <v>5.1498286486263908E-2</v>
      </c>
      <c r="AA21" s="10">
        <f t="shared" si="11"/>
        <v>-2.0803345214480032E-2</v>
      </c>
      <c r="AB21" s="10">
        <f t="shared" si="12"/>
        <v>7.0399999999999949E-2</v>
      </c>
      <c r="AC21" s="10">
        <f t="shared" si="13"/>
        <v>4.956479999999993E-2</v>
      </c>
      <c r="AD21" s="10">
        <f t="shared" si="14"/>
        <v>-2.0835200000000019E-2</v>
      </c>
      <c r="AE21" s="10">
        <f t="shared" si="4"/>
        <v>1.2870297037639884</v>
      </c>
      <c r="AF21" s="10">
        <f t="shared" si="5"/>
        <v>0.80714976475350553</v>
      </c>
      <c r="AG21" s="10">
        <f t="shared" si="15"/>
        <v>-0.47987993901048287</v>
      </c>
      <c r="AH21" s="10">
        <f t="shared" si="6"/>
        <v>1.2623156773574875</v>
      </c>
      <c r="AI21" s="10">
        <f t="shared" si="7"/>
        <v>0.78694458338419593</v>
      </c>
      <c r="AJ21" s="10">
        <f t="shared" si="16"/>
        <v>-0.47537109397329158</v>
      </c>
      <c r="AK21" s="10">
        <f t="shared" si="8"/>
        <v>7.1369594945001724E-2</v>
      </c>
      <c r="AL21" s="10">
        <f t="shared" si="17"/>
        <v>5.0548673670002708E-2</v>
      </c>
      <c r="AM21" s="10">
        <f t="shared" si="18"/>
        <v>-2.0820921274999016E-2</v>
      </c>
      <c r="AN21" s="10">
        <f t="shared" si="19"/>
        <v>7.0400000000000018E-2</v>
      </c>
      <c r="AO21" s="10">
        <f t="shared" si="20"/>
        <v>4.9564799999999964E-2</v>
      </c>
      <c r="AP21" s="10">
        <f t="shared" si="21"/>
        <v>-2.0835200000000054E-2</v>
      </c>
    </row>
    <row r="22" spans="2:42" x14ac:dyDescent="0.45">
      <c r="B22" t="s">
        <v>43</v>
      </c>
      <c r="C22" s="8">
        <f>_xlfn.XLOOKUP(C3,G:G,V:V)</f>
        <v>27153621.883681335</v>
      </c>
      <c r="D22" s="8">
        <f>_xlfn.XLOOKUP(C3,G:G,X:X)</f>
        <v>26313895.198113486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13054193.885589598</v>
      </c>
      <c r="J22" s="7">
        <f t="shared" si="1"/>
        <v>10359251.448481465</v>
      </c>
      <c r="K22" s="7">
        <f t="shared" si="1"/>
        <v>0</v>
      </c>
      <c r="L22" s="7">
        <f t="shared" si="1"/>
        <v>0</v>
      </c>
      <c r="M22" s="7">
        <f t="shared" si="1"/>
        <v>6034077.2554343557</v>
      </c>
      <c r="N22" s="7">
        <f t="shared" si="1"/>
        <v>4675638.4240111765</v>
      </c>
      <c r="O22" s="7">
        <f t="shared" si="1"/>
        <v>0</v>
      </c>
      <c r="P22" s="7">
        <f t="shared" si="1"/>
        <v>0</v>
      </c>
      <c r="Q22" s="7">
        <f t="shared" si="1"/>
        <v>5439247.4523289977</v>
      </c>
      <c r="R22" s="7">
        <f t="shared" si="1"/>
        <v>3970223.2083054385</v>
      </c>
      <c r="S22" s="7">
        <f t="shared" si="1"/>
        <v>0</v>
      </c>
      <c r="T22" s="7">
        <f t="shared" si="1"/>
        <v>0</v>
      </c>
      <c r="U22" s="8">
        <f t="shared" si="9"/>
        <v>24527518.593352951</v>
      </c>
      <c r="V22" s="8">
        <f t="shared" si="9"/>
        <v>19005113.080798078</v>
      </c>
      <c r="W22" s="7">
        <f t="shared" si="2"/>
        <v>24215827.010434546</v>
      </c>
      <c r="X22" s="7">
        <f t="shared" si="2"/>
        <v>18755141.342707161</v>
      </c>
      <c r="Y22" s="10">
        <f t="shared" si="3"/>
        <v>7.2461741663679372E-2</v>
      </c>
      <c r="Z22" s="10">
        <f t="shared" si="10"/>
        <v>5.1662316619915959E-2</v>
      </c>
      <c r="AA22" s="10">
        <f t="shared" si="11"/>
        <v>-2.0799425043763413E-2</v>
      </c>
      <c r="AB22" s="10">
        <f t="shared" si="12"/>
        <v>7.0400000000000032E-2</v>
      </c>
      <c r="AC22" s="10">
        <f t="shared" si="13"/>
        <v>4.9564799999999874E-2</v>
      </c>
      <c r="AD22" s="10">
        <f t="shared" si="14"/>
        <v>-2.0835200000000158E-2</v>
      </c>
      <c r="AE22" s="10">
        <f t="shared" si="4"/>
        <v>1.4527518593352959</v>
      </c>
      <c r="AF22" s="10">
        <f t="shared" si="5"/>
        <v>0.90051130807980773</v>
      </c>
      <c r="AG22" s="10">
        <f t="shared" si="15"/>
        <v>-0.55224055125548821</v>
      </c>
      <c r="AH22" s="10">
        <f t="shared" si="6"/>
        <v>1.4215827010434547</v>
      </c>
      <c r="AI22" s="10">
        <f t="shared" si="7"/>
        <v>0.87551413427071689</v>
      </c>
      <c r="AJ22" s="10">
        <f t="shared" si="16"/>
        <v>-0.54606856677273785</v>
      </c>
      <c r="AK22" s="10">
        <f t="shared" si="8"/>
        <v>7.1453566730468987E-2</v>
      </c>
      <c r="AL22" s="10">
        <f t="shared" si="17"/>
        <v>5.0634296628576214E-2</v>
      </c>
      <c r="AM22" s="10">
        <f t="shared" si="18"/>
        <v>-2.0819270101892773E-2</v>
      </c>
      <c r="AN22" s="10">
        <f t="shared" si="19"/>
        <v>7.0400000000000018E-2</v>
      </c>
      <c r="AO22" s="10">
        <f t="shared" si="20"/>
        <v>4.9564799999999964E-2</v>
      </c>
      <c r="AP22" s="10">
        <f t="shared" si="21"/>
        <v>-2.0835200000000054E-2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14098529.396436766</v>
      </c>
      <c r="J23" s="7">
        <f t="shared" si="1"/>
        <v>10990751.416780895</v>
      </c>
      <c r="K23" s="7">
        <f t="shared" si="1"/>
        <v>0</v>
      </c>
      <c r="L23" s="7">
        <f t="shared" si="1"/>
        <v>0</v>
      </c>
      <c r="M23" s="7">
        <f t="shared" si="1"/>
        <v>6335781.1182060735</v>
      </c>
      <c r="N23" s="7">
        <f t="shared" si="1"/>
        <v>4814037.3213619078</v>
      </c>
      <c r="O23" s="7">
        <f t="shared" si="1"/>
        <v>0</v>
      </c>
      <c r="P23" s="7">
        <f t="shared" si="1"/>
        <v>0</v>
      </c>
      <c r="Q23" s="7">
        <f t="shared" si="1"/>
        <v>5874387.2485153181</v>
      </c>
      <c r="R23" s="7">
        <f t="shared" si="1"/>
        <v>4185250.4972672611</v>
      </c>
      <c r="S23" s="7">
        <f t="shared" si="1"/>
        <v>0</v>
      </c>
      <c r="T23" s="7">
        <f t="shared" si="1"/>
        <v>0</v>
      </c>
      <c r="U23" s="8">
        <f t="shared" si="9"/>
        <v>26308697.763158157</v>
      </c>
      <c r="V23" s="8">
        <f t="shared" si="9"/>
        <v>19990039.235410064</v>
      </c>
      <c r="W23" s="7">
        <f t="shared" si="2"/>
        <v>25920621.231969137</v>
      </c>
      <c r="X23" s="7">
        <f t="shared" si="2"/>
        <v>19684736.172330171</v>
      </c>
      <c r="Y23" s="10">
        <f t="shared" si="3"/>
        <v>7.2619623669877176E-2</v>
      </c>
      <c r="Z23" s="10">
        <f t="shared" si="10"/>
        <v>5.1824272258980231E-2</v>
      </c>
      <c r="AA23" s="10">
        <f t="shared" si="11"/>
        <v>-2.0795351410896945E-2</v>
      </c>
      <c r="AB23" s="10">
        <f t="shared" si="12"/>
        <v>7.0399999999999963E-2</v>
      </c>
      <c r="AC23" s="10">
        <f t="shared" si="13"/>
        <v>4.9564799999999902E-2</v>
      </c>
      <c r="AD23" s="10">
        <f t="shared" si="14"/>
        <v>-2.0835200000000061E-2</v>
      </c>
      <c r="AE23" s="10">
        <f t="shared" si="4"/>
        <v>1.6308697763158162</v>
      </c>
      <c r="AF23" s="10">
        <f t="shared" si="5"/>
        <v>0.9990039235410062</v>
      </c>
      <c r="AG23" s="10">
        <f t="shared" si="15"/>
        <v>-0.63186585277481</v>
      </c>
      <c r="AH23" s="10">
        <f t="shared" si="6"/>
        <v>1.5920621231969139</v>
      </c>
      <c r="AI23" s="10">
        <f t="shared" si="7"/>
        <v>0.96847361723301795</v>
      </c>
      <c r="AJ23" s="10">
        <f t="shared" si="16"/>
        <v>-0.62358850596389592</v>
      </c>
      <c r="AK23" s="10">
        <f t="shared" si="8"/>
        <v>7.1536814456651499E-2</v>
      </c>
      <c r="AL23" s="10">
        <f t="shared" si="17"/>
        <v>5.0719250223051349E-2</v>
      </c>
      <c r="AM23" s="10">
        <f t="shared" si="18"/>
        <v>-2.081756423360015E-2</v>
      </c>
      <c r="AN23" s="10">
        <f t="shared" si="19"/>
        <v>7.0400000000000018E-2</v>
      </c>
      <c r="AO23" s="10">
        <f t="shared" si="20"/>
        <v>4.9564799999999964E-2</v>
      </c>
      <c r="AP23" s="10">
        <f t="shared" si="21"/>
        <v>-2.0835200000000054E-2</v>
      </c>
    </row>
    <row r="24" spans="2:42" x14ac:dyDescent="0.45">
      <c r="B24" t="s">
        <v>62</v>
      </c>
      <c r="C24" s="9">
        <f>_xlfn.XLOOKUP(C3,G:G,AE:AE)</f>
        <v>3.0185061234637454</v>
      </c>
      <c r="D24" s="9">
        <f>_xlfn.XLOOKUP(C3,G:G,AH:AH)</f>
        <v>2.8987196635413923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15226411.748151708</v>
      </c>
      <c r="J24" s="7">
        <f t="shared" si="1"/>
        <v>11660747.623147856</v>
      </c>
      <c r="K24" s="7">
        <f t="shared" si="1"/>
        <v>0</v>
      </c>
      <c r="L24" s="7">
        <f t="shared" si="1"/>
        <v>0</v>
      </c>
      <c r="M24" s="7">
        <f t="shared" si="1"/>
        <v>6652570.1741163777</v>
      </c>
      <c r="N24" s="7">
        <f t="shared" si="1"/>
        <v>4956532.8260742202</v>
      </c>
      <c r="O24" s="7">
        <f t="shared" si="1"/>
        <v>0</v>
      </c>
      <c r="P24" s="7">
        <f t="shared" si="1"/>
        <v>0</v>
      </c>
      <c r="Q24" s="7">
        <f t="shared" si="1"/>
        <v>6344338.2283965442</v>
      </c>
      <c r="R24" s="7">
        <f t="shared" si="1"/>
        <v>4411923.6641992563</v>
      </c>
      <c r="S24" s="7">
        <f t="shared" si="1"/>
        <v>0</v>
      </c>
      <c r="T24" s="7">
        <f t="shared" si="1"/>
        <v>0</v>
      </c>
      <c r="U24" s="8">
        <f t="shared" si="9"/>
        <v>28223320.150664628</v>
      </c>
      <c r="V24" s="8">
        <f t="shared" si="9"/>
        <v>21029204.113421332</v>
      </c>
      <c r="W24" s="7">
        <f t="shared" si="2"/>
        <v>27745432.966699764</v>
      </c>
      <c r="X24" s="7">
        <f t="shared" si="2"/>
        <v>20660406.18376448</v>
      </c>
      <c r="Y24" s="10">
        <f t="shared" si="3"/>
        <v>7.2775262566877968E-2</v>
      </c>
      <c r="Z24" s="10">
        <f t="shared" si="10"/>
        <v>5.1984133986615999E-2</v>
      </c>
      <c r="AA24" s="10">
        <f t="shared" si="11"/>
        <v>-2.0791128580261969E-2</v>
      </c>
      <c r="AB24" s="10">
        <f t="shared" si="12"/>
        <v>7.0400000000000004E-2</v>
      </c>
      <c r="AC24" s="10">
        <f t="shared" si="13"/>
        <v>4.9564799999999937E-2</v>
      </c>
      <c r="AD24" s="10">
        <f t="shared" si="14"/>
        <v>-2.0835200000000068E-2</v>
      </c>
      <c r="AE24" s="10">
        <f t="shared" si="4"/>
        <v>1.8223320150664635</v>
      </c>
      <c r="AF24" s="10">
        <f t="shared" si="5"/>
        <v>1.1029204113421329</v>
      </c>
      <c r="AG24" s="10">
        <f t="shared" si="15"/>
        <v>-0.71941160372433055</v>
      </c>
      <c r="AH24" s="10">
        <f t="shared" si="6"/>
        <v>1.7745432966699766</v>
      </c>
      <c r="AI24" s="10">
        <f t="shared" si="7"/>
        <v>1.0660406183764488</v>
      </c>
      <c r="AJ24" s="10">
        <f t="shared" si="16"/>
        <v>-0.70850267829352775</v>
      </c>
      <c r="AK24" s="10">
        <f t="shared" si="8"/>
        <v>7.161933316597513E-2</v>
      </c>
      <c r="AL24" s="10">
        <f t="shared" si="17"/>
        <v>5.0803528471097925E-2</v>
      </c>
      <c r="AM24" s="10">
        <f t="shared" si="18"/>
        <v>-2.0815804694877205E-2</v>
      </c>
      <c r="AN24" s="10">
        <f t="shared" si="19"/>
        <v>7.0400000000000018E-2</v>
      </c>
      <c r="AO24" s="10">
        <f t="shared" si="20"/>
        <v>4.9564799999999964E-2</v>
      </c>
      <c r="AP24" s="10">
        <f t="shared" si="21"/>
        <v>-2.0835200000000054E-2</v>
      </c>
    </row>
    <row r="25" spans="2:42" x14ac:dyDescent="0.45">
      <c r="B25" t="s">
        <v>64</v>
      </c>
      <c r="C25" s="9">
        <f>_xlfn.XLOOKUP(C3,G:G,AF:AF)</f>
        <v>1.7153621883681338</v>
      </c>
      <c r="D25" s="9">
        <f>_xlfn.XLOOKUP(C3,G:G,AI:AI)</f>
        <v>1.6313895198113504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16444524.688003846</v>
      </c>
      <c r="J25" s="7">
        <f t="shared" si="1"/>
        <v>12371586.798254948</v>
      </c>
      <c r="K25" s="7">
        <f t="shared" si="1"/>
        <v>0</v>
      </c>
      <c r="L25" s="7">
        <f t="shared" si="1"/>
        <v>0</v>
      </c>
      <c r="M25" s="7">
        <f t="shared" si="1"/>
        <v>6985198.6828221967</v>
      </c>
      <c r="N25" s="7">
        <f t="shared" si="1"/>
        <v>5103246.1977260178</v>
      </c>
      <c r="O25" s="7">
        <f t="shared" si="1"/>
        <v>0</v>
      </c>
      <c r="P25" s="7">
        <f t="shared" si="1"/>
        <v>0</v>
      </c>
      <c r="Q25" s="7">
        <f t="shared" si="1"/>
        <v>6851885.286668268</v>
      </c>
      <c r="R25" s="7">
        <f t="shared" si="1"/>
        <v>4650873.4498522878</v>
      </c>
      <c r="S25" s="7">
        <f t="shared" si="1"/>
        <v>0</v>
      </c>
      <c r="T25" s="7">
        <f t="shared" si="1"/>
        <v>0</v>
      </c>
      <c r="U25" s="8">
        <f t="shared" si="9"/>
        <v>30281608.65749431</v>
      </c>
      <c r="V25" s="8">
        <f t="shared" si="9"/>
        <v>22125706.445833255</v>
      </c>
      <c r="W25" s="7">
        <f t="shared" si="2"/>
        <v>29698711.447555427</v>
      </c>
      <c r="X25" s="7">
        <f t="shared" si="2"/>
        <v>21684435.084181529</v>
      </c>
      <c r="Y25" s="10">
        <f t="shared" si="3"/>
        <v>7.2928645384097809E-2</v>
      </c>
      <c r="Z25" s="10">
        <f t="shared" si="10"/>
        <v>5.2141884519162997E-2</v>
      </c>
      <c r="AA25" s="10">
        <f t="shared" si="11"/>
        <v>-2.0786760864934813E-2</v>
      </c>
      <c r="AB25" s="10">
        <f t="shared" si="12"/>
        <v>7.0399999999999963E-2</v>
      </c>
      <c r="AC25" s="10">
        <f t="shared" si="13"/>
        <v>4.9564799999999944E-2</v>
      </c>
      <c r="AD25" s="10">
        <f t="shared" si="14"/>
        <v>-2.0835200000000019E-2</v>
      </c>
      <c r="AE25" s="10">
        <f t="shared" si="4"/>
        <v>2.0281608657494319</v>
      </c>
      <c r="AF25" s="10">
        <f t="shared" si="5"/>
        <v>1.2125706445833253</v>
      </c>
      <c r="AG25" s="10">
        <f t="shared" si="15"/>
        <v>-0.81559022116610658</v>
      </c>
      <c r="AH25" s="10">
        <f t="shared" si="6"/>
        <v>1.969871144755543</v>
      </c>
      <c r="AI25" s="10">
        <f t="shared" si="7"/>
        <v>1.1684435084181537</v>
      </c>
      <c r="AJ25" s="10">
        <f t="shared" si="16"/>
        <v>-0.80142763633738934</v>
      </c>
      <c r="AK25" s="10">
        <f t="shared" si="8"/>
        <v>7.1701118349551951E-2</v>
      </c>
      <c r="AL25" s="10">
        <f t="shared" si="17"/>
        <v>5.0887125825766377E-2</v>
      </c>
      <c r="AM25" s="10">
        <f t="shared" si="18"/>
        <v>-2.0813992523785574E-2</v>
      </c>
      <c r="AN25" s="10">
        <f t="shared" si="19"/>
        <v>7.0400000000000018E-2</v>
      </c>
      <c r="AO25" s="10">
        <f t="shared" si="20"/>
        <v>4.9564799999999964E-2</v>
      </c>
      <c r="AP25" s="10">
        <f t="shared" si="21"/>
        <v>-2.0835200000000054E-2</v>
      </c>
    </row>
    <row r="26" spans="2:42" x14ac:dyDescent="0.45">
      <c r="B26" t="s">
        <v>63</v>
      </c>
      <c r="C26" s="9">
        <f>_xlfn.XLOOKUP(C3,G:G,AG:AG)</f>
        <v>-1.3031439350956115</v>
      </c>
      <c r="D26" s="9">
        <f>_xlfn.XLOOKUP(C3,G:G,AJ:AJ)</f>
        <v>-1.2673301437300419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17760086.663044155</v>
      </c>
      <c r="J26" s="7">
        <f t="shared" si="1"/>
        <v>13125758.729476569</v>
      </c>
      <c r="K26" s="7">
        <f t="shared" si="1"/>
        <v>0</v>
      </c>
      <c r="L26" s="7">
        <f t="shared" si="1"/>
        <v>0</v>
      </c>
      <c r="M26" s="7">
        <f t="shared" si="1"/>
        <v>7334458.6169633064</v>
      </c>
      <c r="N26" s="7">
        <f t="shared" si="1"/>
        <v>5254302.2851787079</v>
      </c>
      <c r="O26" s="7">
        <f t="shared" si="1"/>
        <v>0</v>
      </c>
      <c r="P26" s="7">
        <f t="shared" si="1"/>
        <v>0</v>
      </c>
      <c r="Q26" s="7">
        <f t="shared" si="1"/>
        <v>7400036.1096017295</v>
      </c>
      <c r="R26" s="7">
        <f t="shared" si="1"/>
        <v>4902764.755896288</v>
      </c>
      <c r="S26" s="7">
        <f t="shared" si="1"/>
        <v>0</v>
      </c>
      <c r="T26" s="7">
        <f t="shared" si="1"/>
        <v>0</v>
      </c>
      <c r="U26" s="8">
        <f t="shared" si="9"/>
        <v>32494581.389609188</v>
      </c>
      <c r="V26" s="8">
        <f t="shared" si="9"/>
        <v>23282825.770551566</v>
      </c>
      <c r="W26" s="7">
        <f t="shared" ref="W26:X41" si="22">IF($G26="","",IF($G26=1,(($C$2+$H26)*W$3)*(1+(W$4-W$5)),((W25+($H26*W$3))*(1+(W$4-W$5)))))</f>
        <v>31789500.733463328</v>
      </c>
      <c r="X26" s="7">
        <f t="shared" si="22"/>
        <v>22759219.772241969</v>
      </c>
      <c r="Y26" s="10">
        <f t="shared" si="3"/>
        <v>7.3079761288282655E-2</v>
      </c>
      <c r="Z26" s="10">
        <f t="shared" si="10"/>
        <v>5.2297508671693589E-2</v>
      </c>
      <c r="AA26" s="10">
        <f t="shared" si="11"/>
        <v>-2.0782252616589066E-2</v>
      </c>
      <c r="AB26" s="10">
        <f t="shared" si="12"/>
        <v>7.039999999999999E-2</v>
      </c>
      <c r="AC26" s="10">
        <f t="shared" si="13"/>
        <v>4.9564799999999978E-2</v>
      </c>
      <c r="AD26" s="10">
        <f t="shared" si="14"/>
        <v>-2.0835200000000012E-2</v>
      </c>
      <c r="AE26" s="10">
        <f t="shared" si="4"/>
        <v>2.2494581389609198</v>
      </c>
      <c r="AF26" s="10">
        <f t="shared" si="5"/>
        <v>1.3282825770551567</v>
      </c>
      <c r="AG26" s="10">
        <f t="shared" si="15"/>
        <v>-0.92117556190576311</v>
      </c>
      <c r="AH26" s="10">
        <f t="shared" si="6"/>
        <v>2.1789500733463334</v>
      </c>
      <c r="AI26" s="10">
        <f t="shared" si="7"/>
        <v>1.2759219772241979</v>
      </c>
      <c r="AJ26" s="10">
        <f t="shared" si="16"/>
        <v>-0.90302809612213553</v>
      </c>
      <c r="AK26" s="10">
        <f t="shared" si="8"/>
        <v>7.1782165940550868E-2</v>
      </c>
      <c r="AL26" s="10">
        <f t="shared" si="17"/>
        <v>5.0970037170598781E-2</v>
      </c>
      <c r="AM26" s="10">
        <f t="shared" si="18"/>
        <v>-2.0812128769952087E-2</v>
      </c>
      <c r="AN26" s="10">
        <f t="shared" si="19"/>
        <v>7.0400000000000018E-2</v>
      </c>
      <c r="AO26" s="10">
        <f t="shared" si="20"/>
        <v>4.9564799999999964E-2</v>
      </c>
      <c r="AP26" s="10">
        <f t="shared" si="21"/>
        <v>-2.0835200000000054E-2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19180893.596087687</v>
      </c>
      <c r="J27" s="7">
        <f t="shared" si="1"/>
        <v>13925904.98162546</v>
      </c>
      <c r="K27" s="7">
        <f t="shared" si="1"/>
        <v>0</v>
      </c>
      <c r="L27" s="7">
        <f t="shared" si="1"/>
        <v>0</v>
      </c>
      <c r="M27" s="7">
        <f t="shared" si="1"/>
        <v>7701181.5478114719</v>
      </c>
      <c r="N27" s="7">
        <f t="shared" si="1"/>
        <v>5409829.6328199981</v>
      </c>
      <c r="O27" s="7">
        <f t="shared" si="1"/>
        <v>0</v>
      </c>
      <c r="P27" s="7">
        <f t="shared" si="1"/>
        <v>0</v>
      </c>
      <c r="Q27" s="7">
        <f t="shared" si="1"/>
        <v>7992038.9983698688</v>
      </c>
      <c r="R27" s="7">
        <f t="shared" si="1"/>
        <v>5168298.495075631</v>
      </c>
      <c r="S27" s="7">
        <f t="shared" si="1"/>
        <v>0</v>
      </c>
      <c r="T27" s="7">
        <f t="shared" si="1"/>
        <v>0</v>
      </c>
      <c r="U27" s="8">
        <f t="shared" si="9"/>
        <v>34874114.14226903</v>
      </c>
      <c r="V27" s="8">
        <f t="shared" si="9"/>
        <v>24504033.109521091</v>
      </c>
      <c r="W27" s="7">
        <f t="shared" si="22"/>
        <v>34027481.585099146</v>
      </c>
      <c r="X27" s="7">
        <f t="shared" si="22"/>
        <v>23887275.948409185</v>
      </c>
      <c r="Y27" s="10">
        <f t="shared" si="3"/>
        <v>7.3228601536031696E-2</v>
      </c>
      <c r="Z27" s="10">
        <f t="shared" si="10"/>
        <v>5.2450993320326461E-2</v>
      </c>
      <c r="AA27" s="10">
        <f t="shared" si="11"/>
        <v>-2.0777608215705234E-2</v>
      </c>
      <c r="AB27" s="10">
        <f t="shared" si="12"/>
        <v>7.0399999999999976E-2</v>
      </c>
      <c r="AC27" s="10">
        <f t="shared" si="13"/>
        <v>4.9564799999999888E-2</v>
      </c>
      <c r="AD27" s="10">
        <f t="shared" si="14"/>
        <v>-2.0835200000000088E-2</v>
      </c>
      <c r="AE27" s="10">
        <f t="shared" si="4"/>
        <v>2.4874114142269041</v>
      </c>
      <c r="AF27" s="10">
        <f t="shared" si="5"/>
        <v>1.4504033109521095</v>
      </c>
      <c r="AG27" s="10">
        <f t="shared" si="15"/>
        <v>-1.0370081032747946</v>
      </c>
      <c r="AH27" s="10">
        <f t="shared" si="6"/>
        <v>2.4027481585099153</v>
      </c>
      <c r="AI27" s="10">
        <f t="shared" si="7"/>
        <v>1.3887275948409199</v>
      </c>
      <c r="AJ27" s="10">
        <f t="shared" si="16"/>
        <v>-1.0140205636689954</v>
      </c>
      <c r="AK27" s="10">
        <f t="shared" si="8"/>
        <v>7.1862472307108627E-2</v>
      </c>
      <c r="AL27" s="10">
        <f t="shared" si="17"/>
        <v>5.1052257814236279E-2</v>
      </c>
      <c r="AM27" s="10">
        <f t="shared" si="18"/>
        <v>-2.0810214492872348E-2</v>
      </c>
      <c r="AN27" s="10">
        <f t="shared" si="19"/>
        <v>7.0400000000000018E-2</v>
      </c>
      <c r="AO27" s="10">
        <f t="shared" si="20"/>
        <v>4.9564799999999964E-2</v>
      </c>
      <c r="AP27" s="10">
        <f t="shared" si="21"/>
        <v>-2.0835200000000054E-2</v>
      </c>
    </row>
    <row r="28" spans="2:42" x14ac:dyDescent="0.45">
      <c r="B28" t="s">
        <v>65</v>
      </c>
      <c r="C28" s="9">
        <f>_xlfn.XLOOKUP(C3,G:G,AK:AK)</f>
        <v>7.2020848968773032E-2</v>
      </c>
      <c r="D28" s="9">
        <f>_xlfn.XLOOKUP(C3,G:G,AN:AN)</f>
        <v>7.0400000000000018E-2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20715365.083774704</v>
      </c>
      <c r="J28" s="7">
        <f t="shared" si="1"/>
        <v>14774828.149305347</v>
      </c>
      <c r="K28" s="7">
        <f t="shared" si="1"/>
        <v>0</v>
      </c>
      <c r="L28" s="7">
        <f t="shared" si="1"/>
        <v>0</v>
      </c>
      <c r="M28" s="7">
        <f t="shared" si="1"/>
        <v>8086240.6252020458</v>
      </c>
      <c r="N28" s="7">
        <f t="shared" si="1"/>
        <v>5569960.5899514705</v>
      </c>
      <c r="O28" s="7">
        <f t="shared" si="1"/>
        <v>0</v>
      </c>
      <c r="P28" s="7">
        <f t="shared" si="1"/>
        <v>0</v>
      </c>
      <c r="Q28" s="7">
        <f t="shared" si="1"/>
        <v>8631402.1182394587</v>
      </c>
      <c r="R28" s="7">
        <f t="shared" si="1"/>
        <v>5448213.5415689275</v>
      </c>
      <c r="S28" s="7">
        <f t="shared" si="1"/>
        <v>0</v>
      </c>
      <c r="T28" s="7">
        <f t="shared" si="1"/>
        <v>0</v>
      </c>
      <c r="U28" s="8">
        <f t="shared" si="9"/>
        <v>37433007.827216208</v>
      </c>
      <c r="V28" s="8">
        <f t="shared" si="9"/>
        <v>25793002.280825745</v>
      </c>
      <c r="W28" s="7">
        <f t="shared" si="22"/>
        <v>36423016.288690127</v>
      </c>
      <c r="X28" s="7">
        <f t="shared" si="22"/>
        <v>25071244.003336895</v>
      </c>
      <c r="Y28" s="10">
        <f t="shared" si="3"/>
        <v>7.3375159423639119E-2</v>
      </c>
      <c r="Z28" s="10">
        <f t="shared" si="10"/>
        <v>5.260232736152412E-2</v>
      </c>
      <c r="AA28" s="10">
        <f t="shared" si="11"/>
        <v>-2.0772832062114999E-2</v>
      </c>
      <c r="AB28" s="10">
        <f t="shared" si="12"/>
        <v>7.040000000000006E-2</v>
      </c>
      <c r="AC28" s="10">
        <f t="shared" si="13"/>
        <v>4.9564799999999951E-2</v>
      </c>
      <c r="AD28" s="10">
        <f t="shared" si="14"/>
        <v>-2.0835200000000109E-2</v>
      </c>
      <c r="AE28" s="10">
        <f t="shared" si="4"/>
        <v>2.7433007827216223</v>
      </c>
      <c r="AF28" s="10">
        <f t="shared" si="5"/>
        <v>1.579300228082575</v>
      </c>
      <c r="AG28" s="10">
        <f t="shared" si="15"/>
        <v>-1.1640005546390473</v>
      </c>
      <c r="AH28" s="10">
        <f t="shared" si="6"/>
        <v>2.6423016288690135</v>
      </c>
      <c r="AI28" s="10">
        <f t="shared" si="7"/>
        <v>1.5071244003336912</v>
      </c>
      <c r="AJ28" s="10">
        <f t="shared" si="16"/>
        <v>-1.1351772285353223</v>
      </c>
      <c r="AK28" s="10">
        <f t="shared" si="8"/>
        <v>7.1942034244810493E-2</v>
      </c>
      <c r="AL28" s="10">
        <f t="shared" si="17"/>
        <v>5.1133783484557993E-2</v>
      </c>
      <c r="AM28" s="10">
        <f t="shared" si="18"/>
        <v>-2.08082507602525E-2</v>
      </c>
      <c r="AN28" s="10">
        <f t="shared" si="19"/>
        <v>7.0400000000000018E-2</v>
      </c>
      <c r="AO28" s="10">
        <f t="shared" si="20"/>
        <v>4.9564799999999964E-2</v>
      </c>
      <c r="AP28" s="10">
        <f t="shared" si="21"/>
        <v>-2.0835200000000054E-2</v>
      </c>
    </row>
    <row r="29" spans="2:42" x14ac:dyDescent="0.45">
      <c r="B29" t="s">
        <v>66</v>
      </c>
      <c r="C29" s="9">
        <f>_xlfn.XLOOKUP(C3,G:G,AL:AL)</f>
        <v>5.1214610322372733E-2</v>
      </c>
      <c r="D29" s="9">
        <f>_xlfn.XLOOKUP(C3,G:G,AO:AO)</f>
        <v>4.9564799999999964E-2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22372594.290476684</v>
      </c>
      <c r="J29" s="7">
        <f t="shared" si="1"/>
        <v>15675501.673287001</v>
      </c>
      <c r="K29" s="7">
        <f t="shared" si="1"/>
        <v>0</v>
      </c>
      <c r="L29" s="7">
        <f t="shared" si="1"/>
        <v>0</v>
      </c>
      <c r="M29" s="7">
        <f t="shared" si="1"/>
        <v>8490552.6564621478</v>
      </c>
      <c r="N29" s="7">
        <f t="shared" si="1"/>
        <v>5734831.4234140348</v>
      </c>
      <c r="O29" s="7">
        <f t="shared" si="1"/>
        <v>0</v>
      </c>
      <c r="P29" s="7">
        <f t="shared" si="1"/>
        <v>0</v>
      </c>
      <c r="Q29" s="7">
        <f t="shared" si="1"/>
        <v>9321914.2876986153</v>
      </c>
      <c r="R29" s="7">
        <f t="shared" si="1"/>
        <v>5743288.7869803002</v>
      </c>
      <c r="S29" s="7">
        <f t="shared" si="1"/>
        <v>0</v>
      </c>
      <c r="T29" s="7">
        <f t="shared" si="1"/>
        <v>0</v>
      </c>
      <c r="U29" s="8">
        <f t="shared" si="9"/>
        <v>40185061.234637447</v>
      </c>
      <c r="V29" s="8">
        <f t="shared" si="9"/>
        <v>27153621.883681335</v>
      </c>
      <c r="W29" s="7">
        <f t="shared" si="22"/>
        <v>38987196.635413915</v>
      </c>
      <c r="X29" s="7">
        <f t="shared" si="22"/>
        <v>26313895.198113486</v>
      </c>
      <c r="Y29" s="10">
        <f t="shared" si="3"/>
        <v>7.3519430234519345E-2</v>
      </c>
      <c r="Z29" s="10">
        <f t="shared" si="10"/>
        <v>5.2751501668615752E-2</v>
      </c>
      <c r="AA29" s="10">
        <f t="shared" si="11"/>
        <v>-2.0767928565903593E-2</v>
      </c>
      <c r="AB29" s="10">
        <f t="shared" si="12"/>
        <v>7.0400000000000074E-2</v>
      </c>
      <c r="AC29" s="10">
        <f t="shared" si="13"/>
        <v>4.9564799999999937E-2</v>
      </c>
      <c r="AD29" s="10">
        <f t="shared" si="14"/>
        <v>-2.0835200000000137E-2</v>
      </c>
      <c r="AE29" s="10">
        <f t="shared" si="4"/>
        <v>3.0185061234637454</v>
      </c>
      <c r="AF29" s="10">
        <f t="shared" si="5"/>
        <v>1.7153621883681338</v>
      </c>
      <c r="AG29" s="10">
        <f t="shared" si="15"/>
        <v>-1.3031439350956115</v>
      </c>
      <c r="AH29" s="10">
        <f t="shared" si="6"/>
        <v>2.8987196635413923</v>
      </c>
      <c r="AI29" s="10">
        <f t="shared" si="7"/>
        <v>1.6313895198113504</v>
      </c>
      <c r="AJ29" s="10">
        <f t="shared" si="16"/>
        <v>-1.2673301437300419</v>
      </c>
      <c r="AK29" s="10">
        <f t="shared" si="8"/>
        <v>7.2020848968773032E-2</v>
      </c>
      <c r="AL29" s="10">
        <f t="shared" si="17"/>
        <v>5.1214610322372733E-2</v>
      </c>
      <c r="AM29" s="10">
        <f t="shared" si="18"/>
        <v>-2.0806238646400299E-2</v>
      </c>
      <c r="AN29" s="10">
        <f t="shared" si="19"/>
        <v>7.0400000000000018E-2</v>
      </c>
      <c r="AO29" s="10">
        <f t="shared" si="20"/>
        <v>4.9564799999999964E-2</v>
      </c>
      <c r="AP29" s="10">
        <f t="shared" si="21"/>
        <v>-2.0835200000000054E-2</v>
      </c>
    </row>
    <row r="30" spans="2:42" x14ac:dyDescent="0.45">
      <c r="B30" t="s">
        <v>67</v>
      </c>
      <c r="C30" s="9">
        <f>_xlfn.XLOOKUP(C3,G:G,AM:AM)</f>
        <v>-2.0806238646400299E-2</v>
      </c>
      <c r="D30" s="9">
        <f>_xlfn.XLOOKUP(C3,G:G,AP:AP)</f>
        <v>-2.0835200000000054E-2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9"/>
        <v/>
      </c>
      <c r="V30" s="8" t="str">
        <f t="shared" si="9"/>
        <v/>
      </c>
      <c r="W30" s="7" t="str">
        <f t="shared" si="22"/>
        <v/>
      </c>
      <c r="X30" s="7" t="str">
        <f t="shared" si="22"/>
        <v/>
      </c>
      <c r="Y30" s="10" t="str">
        <f t="shared" si="3"/>
        <v/>
      </c>
      <c r="Z30" s="10" t="str">
        <f t="shared" si="10"/>
        <v/>
      </c>
      <c r="AA30" s="10" t="str">
        <f t="shared" si="11"/>
        <v/>
      </c>
      <c r="AB30" s="10" t="str">
        <f t="shared" si="12"/>
        <v/>
      </c>
      <c r="AC30" s="10" t="str">
        <f t="shared" si="13"/>
        <v/>
      </c>
      <c r="AD30" s="10" t="str">
        <f t="shared" si="14"/>
        <v/>
      </c>
      <c r="AE30" s="10" t="str">
        <f t="shared" si="4"/>
        <v/>
      </c>
      <c r="AF30" s="10" t="str">
        <f t="shared" si="5"/>
        <v/>
      </c>
      <c r="AG30" s="10" t="str">
        <f t="shared" si="15"/>
        <v/>
      </c>
      <c r="AH30" s="10" t="str">
        <f t="shared" si="6"/>
        <v/>
      </c>
      <c r="AI30" s="10" t="str">
        <f t="shared" si="7"/>
        <v/>
      </c>
      <c r="AJ30" s="10" t="str">
        <f t="shared" si="16"/>
        <v/>
      </c>
      <c r="AK30" s="10" t="str">
        <f t="shared" si="8"/>
        <v/>
      </c>
      <c r="AL30" s="10" t="str">
        <f t="shared" si="17"/>
        <v/>
      </c>
      <c r="AM30" s="10" t="str">
        <f t="shared" si="18"/>
        <v/>
      </c>
      <c r="AN30" s="10" t="str">
        <f t="shared" si="19"/>
        <v/>
      </c>
      <c r="AO30" s="10" t="str">
        <f t="shared" si="20"/>
        <v/>
      </c>
      <c r="AP30" s="10" t="str">
        <f t="shared" si="21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9"/>
        <v/>
      </c>
      <c r="V31" s="8" t="str">
        <f t="shared" si="9"/>
        <v/>
      </c>
      <c r="W31" s="7" t="str">
        <f t="shared" si="22"/>
        <v/>
      </c>
      <c r="X31" s="7" t="str">
        <f t="shared" si="22"/>
        <v/>
      </c>
      <c r="Y31" s="10" t="str">
        <f t="shared" si="3"/>
        <v/>
      </c>
      <c r="Z31" s="10" t="str">
        <f t="shared" si="10"/>
        <v/>
      </c>
      <c r="AA31" s="10" t="str">
        <f t="shared" si="11"/>
        <v/>
      </c>
      <c r="AB31" s="10" t="str">
        <f t="shared" si="12"/>
        <v/>
      </c>
      <c r="AC31" s="10" t="str">
        <f t="shared" si="13"/>
        <v/>
      </c>
      <c r="AD31" s="10" t="str">
        <f t="shared" si="14"/>
        <v/>
      </c>
      <c r="AE31" s="10" t="str">
        <f t="shared" si="4"/>
        <v/>
      </c>
      <c r="AF31" s="10" t="str">
        <f t="shared" si="5"/>
        <v/>
      </c>
      <c r="AG31" s="10" t="str">
        <f t="shared" si="15"/>
        <v/>
      </c>
      <c r="AH31" s="10" t="str">
        <f t="shared" si="6"/>
        <v/>
      </c>
      <c r="AI31" s="10" t="str">
        <f t="shared" si="7"/>
        <v/>
      </c>
      <c r="AJ31" s="10" t="str">
        <f t="shared" si="16"/>
        <v/>
      </c>
      <c r="AK31" s="10" t="str">
        <f t="shared" si="8"/>
        <v/>
      </c>
      <c r="AL31" s="10" t="str">
        <f t="shared" si="17"/>
        <v/>
      </c>
      <c r="AM31" s="10" t="str">
        <f t="shared" si="18"/>
        <v/>
      </c>
      <c r="AN31" s="10" t="str">
        <f t="shared" si="19"/>
        <v/>
      </c>
      <c r="AO31" s="10" t="str">
        <f t="shared" si="20"/>
        <v/>
      </c>
      <c r="AP31" s="10" t="str">
        <f t="shared" si="21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9"/>
        <v/>
      </c>
      <c r="V32" s="8" t="str">
        <f t="shared" si="9"/>
        <v/>
      </c>
      <c r="W32" s="7" t="str">
        <f t="shared" si="22"/>
        <v/>
      </c>
      <c r="X32" s="7" t="str">
        <f t="shared" si="22"/>
        <v/>
      </c>
      <c r="Y32" s="10" t="str">
        <f t="shared" si="3"/>
        <v/>
      </c>
      <c r="Z32" s="10" t="str">
        <f t="shared" si="10"/>
        <v/>
      </c>
      <c r="AA32" s="10" t="str">
        <f t="shared" si="11"/>
        <v/>
      </c>
      <c r="AB32" s="10" t="str">
        <f t="shared" si="12"/>
        <v/>
      </c>
      <c r="AC32" s="10" t="str">
        <f t="shared" si="13"/>
        <v/>
      </c>
      <c r="AD32" s="10" t="str">
        <f t="shared" si="14"/>
        <v/>
      </c>
      <c r="AE32" s="10" t="str">
        <f t="shared" si="4"/>
        <v/>
      </c>
      <c r="AF32" s="10" t="str">
        <f t="shared" si="5"/>
        <v/>
      </c>
      <c r="AG32" s="10" t="str">
        <f t="shared" si="15"/>
        <v/>
      </c>
      <c r="AH32" s="10" t="str">
        <f t="shared" si="6"/>
        <v/>
      </c>
      <c r="AI32" s="10" t="str">
        <f t="shared" si="7"/>
        <v/>
      </c>
      <c r="AJ32" s="10" t="str">
        <f t="shared" si="16"/>
        <v/>
      </c>
      <c r="AK32" s="10" t="str">
        <f t="shared" si="8"/>
        <v/>
      </c>
      <c r="AL32" s="10" t="str">
        <f t="shared" si="17"/>
        <v/>
      </c>
      <c r="AM32" s="10" t="str">
        <f t="shared" si="18"/>
        <v/>
      </c>
      <c r="AN32" s="10" t="str">
        <f t="shared" si="19"/>
        <v/>
      </c>
      <c r="AO32" s="10" t="str">
        <f t="shared" si="20"/>
        <v/>
      </c>
      <c r="AP32" s="10" t="str">
        <f t="shared" si="21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9"/>
        <v/>
      </c>
      <c r="V33" s="8" t="str">
        <f t="shared" si="9"/>
        <v/>
      </c>
      <c r="W33" s="7" t="str">
        <f t="shared" si="22"/>
        <v/>
      </c>
      <c r="X33" s="7" t="str">
        <f t="shared" si="22"/>
        <v/>
      </c>
      <c r="Y33" s="10" t="str">
        <f t="shared" si="3"/>
        <v/>
      </c>
      <c r="Z33" s="10" t="str">
        <f t="shared" si="10"/>
        <v/>
      </c>
      <c r="AA33" s="10" t="str">
        <f t="shared" si="11"/>
        <v/>
      </c>
      <c r="AB33" s="10" t="str">
        <f t="shared" si="12"/>
        <v/>
      </c>
      <c r="AC33" s="10" t="str">
        <f t="shared" si="13"/>
        <v/>
      </c>
      <c r="AD33" s="10" t="str">
        <f t="shared" si="14"/>
        <v/>
      </c>
      <c r="AE33" s="10" t="str">
        <f t="shared" si="4"/>
        <v/>
      </c>
      <c r="AF33" s="10" t="str">
        <f t="shared" si="5"/>
        <v/>
      </c>
      <c r="AG33" s="10" t="str">
        <f t="shared" si="15"/>
        <v/>
      </c>
      <c r="AH33" s="10" t="str">
        <f t="shared" si="6"/>
        <v/>
      </c>
      <c r="AI33" s="10" t="str">
        <f t="shared" si="7"/>
        <v/>
      </c>
      <c r="AJ33" s="10" t="str">
        <f t="shared" si="16"/>
        <v/>
      </c>
      <c r="AK33" s="10" t="str">
        <f t="shared" si="8"/>
        <v/>
      </c>
      <c r="AL33" s="10" t="str">
        <f t="shared" si="17"/>
        <v/>
      </c>
      <c r="AM33" s="10" t="str">
        <f t="shared" si="18"/>
        <v/>
      </c>
      <c r="AN33" s="10" t="str">
        <f t="shared" si="19"/>
        <v/>
      </c>
      <c r="AO33" s="10" t="str">
        <f t="shared" si="20"/>
        <v/>
      </c>
      <c r="AP33" s="10" t="str">
        <f t="shared" si="21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9"/>
        <v/>
      </c>
      <c r="V34" s="8" t="str">
        <f t="shared" si="9"/>
        <v/>
      </c>
      <c r="W34" s="7" t="str">
        <f t="shared" si="22"/>
        <v/>
      </c>
      <c r="X34" s="7" t="str">
        <f t="shared" si="22"/>
        <v/>
      </c>
      <c r="Y34" s="10" t="str">
        <f t="shared" si="3"/>
        <v/>
      </c>
      <c r="Z34" s="10" t="str">
        <f t="shared" si="10"/>
        <v/>
      </c>
      <c r="AA34" s="10" t="str">
        <f t="shared" si="11"/>
        <v/>
      </c>
      <c r="AB34" s="10" t="str">
        <f t="shared" si="12"/>
        <v/>
      </c>
      <c r="AC34" s="10" t="str">
        <f t="shared" si="13"/>
        <v/>
      </c>
      <c r="AD34" s="10" t="str">
        <f t="shared" si="14"/>
        <v/>
      </c>
      <c r="AE34" s="10" t="str">
        <f t="shared" si="4"/>
        <v/>
      </c>
      <c r="AF34" s="10" t="str">
        <f t="shared" si="5"/>
        <v/>
      </c>
      <c r="AG34" s="10" t="str">
        <f t="shared" si="15"/>
        <v/>
      </c>
      <c r="AH34" s="10" t="str">
        <f t="shared" si="6"/>
        <v/>
      </c>
      <c r="AI34" s="10" t="str">
        <f t="shared" si="7"/>
        <v/>
      </c>
      <c r="AJ34" s="10" t="str">
        <f t="shared" si="16"/>
        <v/>
      </c>
      <c r="AK34" s="10" t="str">
        <f t="shared" si="8"/>
        <v/>
      </c>
      <c r="AL34" s="10" t="str">
        <f t="shared" si="17"/>
        <v/>
      </c>
      <c r="AM34" s="10" t="str">
        <f t="shared" si="18"/>
        <v/>
      </c>
      <c r="AN34" s="10" t="str">
        <f t="shared" si="19"/>
        <v/>
      </c>
      <c r="AO34" s="10" t="str">
        <f t="shared" si="20"/>
        <v/>
      </c>
      <c r="AP34" s="10" t="str">
        <f t="shared" si="21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9"/>
        <v/>
      </c>
      <c r="V35" s="8" t="str">
        <f t="shared" si="9"/>
        <v/>
      </c>
      <c r="W35" s="7" t="str">
        <f t="shared" si="22"/>
        <v/>
      </c>
      <c r="X35" s="7" t="str">
        <f t="shared" si="22"/>
        <v/>
      </c>
      <c r="Y35" s="10" t="str">
        <f t="shared" si="3"/>
        <v/>
      </c>
      <c r="Z35" s="10" t="str">
        <f t="shared" si="10"/>
        <v/>
      </c>
      <c r="AA35" s="10" t="str">
        <f t="shared" si="11"/>
        <v/>
      </c>
      <c r="AB35" s="10" t="str">
        <f t="shared" si="12"/>
        <v/>
      </c>
      <c r="AC35" s="10" t="str">
        <f t="shared" si="13"/>
        <v/>
      </c>
      <c r="AD35" s="10" t="str">
        <f t="shared" si="14"/>
        <v/>
      </c>
      <c r="AE35" s="10" t="str">
        <f t="shared" si="4"/>
        <v/>
      </c>
      <c r="AF35" s="10" t="str">
        <f t="shared" si="5"/>
        <v/>
      </c>
      <c r="AG35" s="10" t="str">
        <f t="shared" si="15"/>
        <v/>
      </c>
      <c r="AH35" s="10" t="str">
        <f t="shared" si="6"/>
        <v/>
      </c>
      <c r="AI35" s="10" t="str">
        <f t="shared" si="7"/>
        <v/>
      </c>
      <c r="AJ35" s="10" t="str">
        <f t="shared" si="16"/>
        <v/>
      </c>
      <c r="AK35" s="10" t="str">
        <f t="shared" si="8"/>
        <v/>
      </c>
      <c r="AL35" s="10" t="str">
        <f t="shared" si="17"/>
        <v/>
      </c>
      <c r="AM35" s="10" t="str">
        <f t="shared" si="18"/>
        <v/>
      </c>
      <c r="AN35" s="10" t="str">
        <f t="shared" si="19"/>
        <v/>
      </c>
      <c r="AO35" s="10" t="str">
        <f t="shared" si="20"/>
        <v/>
      </c>
      <c r="AP35" s="10" t="str">
        <f t="shared" si="21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9"/>
        <v/>
      </c>
      <c r="V36" s="8" t="str">
        <f t="shared" si="9"/>
        <v/>
      </c>
      <c r="W36" s="7" t="str">
        <f t="shared" si="22"/>
        <v/>
      </c>
      <c r="X36" s="7" t="str">
        <f t="shared" si="22"/>
        <v/>
      </c>
      <c r="Y36" s="10" t="str">
        <f t="shared" si="3"/>
        <v/>
      </c>
      <c r="Z36" s="10" t="str">
        <f t="shared" si="10"/>
        <v/>
      </c>
      <c r="AA36" s="10" t="str">
        <f t="shared" si="11"/>
        <v/>
      </c>
      <c r="AB36" s="10" t="str">
        <f t="shared" si="12"/>
        <v/>
      </c>
      <c r="AC36" s="10" t="str">
        <f t="shared" si="13"/>
        <v/>
      </c>
      <c r="AD36" s="10" t="str">
        <f t="shared" si="14"/>
        <v/>
      </c>
      <c r="AE36" s="10" t="str">
        <f t="shared" si="4"/>
        <v/>
      </c>
      <c r="AF36" s="10" t="str">
        <f t="shared" si="5"/>
        <v/>
      </c>
      <c r="AG36" s="10" t="str">
        <f t="shared" si="15"/>
        <v/>
      </c>
      <c r="AH36" s="10" t="str">
        <f t="shared" si="6"/>
        <v/>
      </c>
      <c r="AI36" s="10" t="str">
        <f t="shared" si="7"/>
        <v/>
      </c>
      <c r="AJ36" s="10" t="str">
        <f t="shared" si="16"/>
        <v/>
      </c>
      <c r="AK36" s="10" t="str">
        <f t="shared" si="8"/>
        <v/>
      </c>
      <c r="AL36" s="10" t="str">
        <f t="shared" si="17"/>
        <v/>
      </c>
      <c r="AM36" s="10" t="str">
        <f t="shared" si="18"/>
        <v/>
      </c>
      <c r="AN36" s="10" t="str">
        <f t="shared" si="19"/>
        <v/>
      </c>
      <c r="AO36" s="10" t="str">
        <f t="shared" si="20"/>
        <v/>
      </c>
      <c r="AP36" s="10" t="str">
        <f t="shared" si="21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9"/>
        <v/>
      </c>
      <c r="V37" s="8" t="str">
        <f t="shared" si="9"/>
        <v/>
      </c>
      <c r="W37" s="7" t="str">
        <f t="shared" si="22"/>
        <v/>
      </c>
      <c r="X37" s="7" t="str">
        <f t="shared" si="22"/>
        <v/>
      </c>
      <c r="Y37" s="10" t="str">
        <f t="shared" si="3"/>
        <v/>
      </c>
      <c r="Z37" s="10" t="str">
        <f t="shared" si="10"/>
        <v/>
      </c>
      <c r="AA37" s="10" t="str">
        <f t="shared" si="11"/>
        <v/>
      </c>
      <c r="AB37" s="10" t="str">
        <f t="shared" si="12"/>
        <v/>
      </c>
      <c r="AC37" s="10" t="str">
        <f t="shared" si="13"/>
        <v/>
      </c>
      <c r="AD37" s="10" t="str">
        <f t="shared" si="14"/>
        <v/>
      </c>
      <c r="AE37" s="10" t="str">
        <f t="shared" si="4"/>
        <v/>
      </c>
      <c r="AF37" s="10" t="str">
        <f t="shared" si="5"/>
        <v/>
      </c>
      <c r="AG37" s="10" t="str">
        <f t="shared" si="15"/>
        <v/>
      </c>
      <c r="AH37" s="10" t="str">
        <f t="shared" si="6"/>
        <v/>
      </c>
      <c r="AI37" s="10" t="str">
        <f t="shared" si="7"/>
        <v/>
      </c>
      <c r="AJ37" s="10" t="str">
        <f t="shared" si="16"/>
        <v/>
      </c>
      <c r="AK37" s="10" t="str">
        <f t="shared" si="8"/>
        <v/>
      </c>
      <c r="AL37" s="10" t="str">
        <f t="shared" si="17"/>
        <v/>
      </c>
      <c r="AM37" s="10" t="str">
        <f t="shared" si="18"/>
        <v/>
      </c>
      <c r="AN37" s="10" t="str">
        <f t="shared" si="19"/>
        <v/>
      </c>
      <c r="AO37" s="10" t="str">
        <f t="shared" si="20"/>
        <v/>
      </c>
      <c r="AP37" s="10" t="str">
        <f t="shared" si="21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9"/>
        <v/>
      </c>
      <c r="V38" s="8" t="str">
        <f t="shared" si="9"/>
        <v/>
      </c>
      <c r="W38" s="7" t="str">
        <f t="shared" si="22"/>
        <v/>
      </c>
      <c r="X38" s="7" t="str">
        <f t="shared" si="22"/>
        <v/>
      </c>
      <c r="Y38" s="10" t="str">
        <f t="shared" si="3"/>
        <v/>
      </c>
      <c r="Z38" s="10" t="str">
        <f t="shared" si="10"/>
        <v/>
      </c>
      <c r="AA38" s="10" t="str">
        <f t="shared" si="11"/>
        <v/>
      </c>
      <c r="AB38" s="10" t="str">
        <f t="shared" si="12"/>
        <v/>
      </c>
      <c r="AC38" s="10" t="str">
        <f t="shared" si="13"/>
        <v/>
      </c>
      <c r="AD38" s="10" t="str">
        <f t="shared" si="14"/>
        <v/>
      </c>
      <c r="AE38" s="10" t="str">
        <f t="shared" si="4"/>
        <v/>
      </c>
      <c r="AF38" s="10" t="str">
        <f t="shared" si="5"/>
        <v/>
      </c>
      <c r="AG38" s="10" t="str">
        <f t="shared" si="15"/>
        <v/>
      </c>
      <c r="AH38" s="10" t="str">
        <f t="shared" si="6"/>
        <v/>
      </c>
      <c r="AI38" s="10" t="str">
        <f t="shared" si="7"/>
        <v/>
      </c>
      <c r="AJ38" s="10" t="str">
        <f t="shared" si="16"/>
        <v/>
      </c>
      <c r="AK38" s="10" t="str">
        <f t="shared" si="8"/>
        <v/>
      </c>
      <c r="AL38" s="10" t="str">
        <f t="shared" si="17"/>
        <v/>
      </c>
      <c r="AM38" s="10" t="str">
        <f t="shared" si="18"/>
        <v/>
      </c>
      <c r="AN38" s="10" t="str">
        <f t="shared" si="19"/>
        <v/>
      </c>
      <c r="AO38" s="10" t="str">
        <f t="shared" si="20"/>
        <v/>
      </c>
      <c r="AP38" s="10" t="str">
        <f t="shared" si="21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9"/>
        <v/>
      </c>
      <c r="V39" s="8" t="str">
        <f t="shared" si="9"/>
        <v/>
      </c>
      <c r="W39" s="7" t="str">
        <f t="shared" si="22"/>
        <v/>
      </c>
      <c r="X39" s="7" t="str">
        <f t="shared" si="22"/>
        <v/>
      </c>
      <c r="Y39" s="10" t="str">
        <f t="shared" si="3"/>
        <v/>
      </c>
      <c r="Z39" s="10" t="str">
        <f t="shared" si="10"/>
        <v/>
      </c>
      <c r="AA39" s="10" t="str">
        <f t="shared" si="11"/>
        <v/>
      </c>
      <c r="AB39" s="10" t="str">
        <f t="shared" si="12"/>
        <v/>
      </c>
      <c r="AC39" s="10" t="str">
        <f t="shared" si="13"/>
        <v/>
      </c>
      <c r="AD39" s="10" t="str">
        <f t="shared" si="14"/>
        <v/>
      </c>
      <c r="AE39" s="10" t="str">
        <f t="shared" si="4"/>
        <v/>
      </c>
      <c r="AF39" s="10" t="str">
        <f t="shared" si="5"/>
        <v/>
      </c>
      <c r="AG39" s="10" t="str">
        <f t="shared" si="15"/>
        <v/>
      </c>
      <c r="AH39" s="10" t="str">
        <f t="shared" si="6"/>
        <v/>
      </c>
      <c r="AI39" s="10" t="str">
        <f t="shared" si="7"/>
        <v/>
      </c>
      <c r="AJ39" s="10" t="str">
        <f t="shared" si="16"/>
        <v/>
      </c>
      <c r="AK39" s="10" t="str">
        <f t="shared" si="8"/>
        <v/>
      </c>
      <c r="AL39" s="10" t="str">
        <f t="shared" si="17"/>
        <v/>
      </c>
      <c r="AM39" s="10" t="str">
        <f t="shared" si="18"/>
        <v/>
      </c>
      <c r="AN39" s="10" t="str">
        <f t="shared" si="19"/>
        <v/>
      </c>
      <c r="AO39" s="10" t="str">
        <f t="shared" si="20"/>
        <v/>
      </c>
      <c r="AP39" s="10" t="str">
        <f t="shared" si="21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9"/>
        <v/>
      </c>
      <c r="V40" s="8" t="str">
        <f t="shared" si="9"/>
        <v/>
      </c>
      <c r="W40" s="7" t="str">
        <f t="shared" si="22"/>
        <v/>
      </c>
      <c r="X40" s="7" t="str">
        <f t="shared" si="22"/>
        <v/>
      </c>
      <c r="Y40" s="10" t="str">
        <f t="shared" si="3"/>
        <v/>
      </c>
      <c r="Z40" s="10" t="str">
        <f t="shared" si="10"/>
        <v/>
      </c>
      <c r="AA40" s="10" t="str">
        <f t="shared" si="11"/>
        <v/>
      </c>
      <c r="AB40" s="10" t="str">
        <f t="shared" si="12"/>
        <v/>
      </c>
      <c r="AC40" s="10" t="str">
        <f t="shared" si="13"/>
        <v/>
      </c>
      <c r="AD40" s="10" t="str">
        <f t="shared" si="14"/>
        <v/>
      </c>
      <c r="AE40" s="10" t="str">
        <f t="shared" si="4"/>
        <v/>
      </c>
      <c r="AF40" s="10" t="str">
        <f t="shared" si="5"/>
        <v/>
      </c>
      <c r="AG40" s="10" t="str">
        <f t="shared" si="15"/>
        <v/>
      </c>
      <c r="AH40" s="10" t="str">
        <f t="shared" si="6"/>
        <v/>
      </c>
      <c r="AI40" s="10" t="str">
        <f t="shared" si="7"/>
        <v/>
      </c>
      <c r="AJ40" s="10" t="str">
        <f t="shared" si="16"/>
        <v/>
      </c>
      <c r="AK40" s="10" t="str">
        <f t="shared" si="8"/>
        <v/>
      </c>
      <c r="AL40" s="10" t="str">
        <f t="shared" si="17"/>
        <v/>
      </c>
      <c r="AM40" s="10" t="str">
        <f t="shared" si="18"/>
        <v/>
      </c>
      <c r="AN40" s="10" t="str">
        <f t="shared" si="19"/>
        <v/>
      </c>
      <c r="AO40" s="10" t="str">
        <f t="shared" si="20"/>
        <v/>
      </c>
      <c r="AP40" s="10" t="str">
        <f t="shared" si="21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9"/>
        <v/>
      </c>
      <c r="V41" s="8" t="str">
        <f t="shared" si="9"/>
        <v/>
      </c>
      <c r="W41" s="7" t="str">
        <f t="shared" si="22"/>
        <v/>
      </c>
      <c r="X41" s="7" t="str">
        <f t="shared" si="22"/>
        <v/>
      </c>
      <c r="Y41" s="10" t="str">
        <f t="shared" si="3"/>
        <v/>
      </c>
      <c r="Z41" s="10" t="str">
        <f t="shared" si="10"/>
        <v/>
      </c>
      <c r="AA41" s="10" t="str">
        <f t="shared" si="11"/>
        <v/>
      </c>
      <c r="AB41" s="10" t="str">
        <f t="shared" si="12"/>
        <v/>
      </c>
      <c r="AC41" s="10" t="str">
        <f t="shared" si="13"/>
        <v/>
      </c>
      <c r="AD41" s="10" t="str">
        <f t="shared" si="14"/>
        <v/>
      </c>
      <c r="AE41" s="10" t="str">
        <f t="shared" si="4"/>
        <v/>
      </c>
      <c r="AF41" s="10" t="str">
        <f t="shared" si="5"/>
        <v/>
      </c>
      <c r="AG41" s="10" t="str">
        <f t="shared" si="15"/>
        <v/>
      </c>
      <c r="AH41" s="10" t="str">
        <f t="shared" si="6"/>
        <v/>
      </c>
      <c r="AI41" s="10" t="str">
        <f t="shared" si="7"/>
        <v/>
      </c>
      <c r="AJ41" s="10" t="str">
        <f t="shared" si="16"/>
        <v/>
      </c>
      <c r="AK41" s="10" t="str">
        <f t="shared" si="8"/>
        <v/>
      </c>
      <c r="AL41" s="10" t="str">
        <f t="shared" si="17"/>
        <v/>
      </c>
      <c r="AM41" s="10" t="str">
        <f t="shared" si="18"/>
        <v/>
      </c>
      <c r="AN41" s="10" t="str">
        <f t="shared" si="19"/>
        <v/>
      </c>
      <c r="AO41" s="10" t="str">
        <f t="shared" si="20"/>
        <v/>
      </c>
      <c r="AP41" s="10" t="str">
        <f t="shared" si="21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9"/>
        <v/>
      </c>
      <c r="V42" s="8" t="str">
        <f t="shared" si="9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10"/>
        <v/>
      </c>
      <c r="AA42" s="10" t="str">
        <f t="shared" si="11"/>
        <v/>
      </c>
      <c r="AB42" s="10" t="str">
        <f t="shared" si="12"/>
        <v/>
      </c>
      <c r="AC42" s="10" t="str">
        <f t="shared" si="13"/>
        <v/>
      </c>
      <c r="AD42" s="10" t="str">
        <f t="shared" si="14"/>
        <v/>
      </c>
      <c r="AE42" s="10" t="str">
        <f t="shared" ref="AE42:AE73" si="25">IF($G42="","",IF($G42=1,Y42,(1+Y42)*(1+AE41)-1))</f>
        <v/>
      </c>
      <c r="AF42" s="10" t="str">
        <f t="shared" ref="AF42:AF73" si="26">IF($G42="","",IF($G42=1,Z42,(1+Z42)*(1+AF41)-1))</f>
        <v/>
      </c>
      <c r="AG42" s="10" t="str">
        <f t="shared" si="15"/>
        <v/>
      </c>
      <c r="AH42" s="10" t="str">
        <f t="shared" si="6"/>
        <v/>
      </c>
      <c r="AI42" s="10" t="str">
        <f t="shared" si="7"/>
        <v/>
      </c>
      <c r="AJ42" s="10" t="str">
        <f t="shared" si="16"/>
        <v/>
      </c>
      <c r="AK42" s="10" t="str">
        <f t="shared" ref="AK42:AK73" si="27">IF($G42="","",(1+AE42)^(1/G42)-1)</f>
        <v/>
      </c>
      <c r="AL42" s="10" t="str">
        <f t="shared" si="17"/>
        <v/>
      </c>
      <c r="AM42" s="10" t="str">
        <f t="shared" si="18"/>
        <v/>
      </c>
      <c r="AN42" s="10" t="str">
        <f t="shared" si="19"/>
        <v/>
      </c>
      <c r="AO42" s="10" t="str">
        <f t="shared" si="20"/>
        <v/>
      </c>
      <c r="AP42" s="10" t="str">
        <f t="shared" si="21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9"/>
        <v/>
      </c>
      <c r="V43" s="8" t="str">
        <f t="shared" si="9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10"/>
        <v/>
      </c>
      <c r="AA43" s="10" t="str">
        <f t="shared" si="11"/>
        <v/>
      </c>
      <c r="AB43" s="10" t="str">
        <f t="shared" si="12"/>
        <v/>
      </c>
      <c r="AC43" s="10" t="str">
        <f t="shared" si="13"/>
        <v/>
      </c>
      <c r="AD43" s="10" t="str">
        <f t="shared" si="14"/>
        <v/>
      </c>
      <c r="AE43" s="10" t="str">
        <f t="shared" si="25"/>
        <v/>
      </c>
      <c r="AF43" s="10" t="str">
        <f t="shared" si="26"/>
        <v/>
      </c>
      <c r="AG43" s="10" t="str">
        <f t="shared" si="15"/>
        <v/>
      </c>
      <c r="AH43" s="10" t="str">
        <f t="shared" si="6"/>
        <v/>
      </c>
      <c r="AI43" s="10" t="str">
        <f t="shared" si="7"/>
        <v/>
      </c>
      <c r="AJ43" s="10" t="str">
        <f t="shared" si="16"/>
        <v/>
      </c>
      <c r="AK43" s="10" t="str">
        <f t="shared" si="27"/>
        <v/>
      </c>
      <c r="AL43" s="10" t="str">
        <f t="shared" si="17"/>
        <v/>
      </c>
      <c r="AM43" s="10" t="str">
        <f t="shared" si="18"/>
        <v/>
      </c>
      <c r="AN43" s="10" t="str">
        <f t="shared" si="19"/>
        <v/>
      </c>
      <c r="AO43" s="10" t="str">
        <f t="shared" si="20"/>
        <v/>
      </c>
      <c r="AP43" s="10" t="str">
        <f t="shared" si="21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9"/>
        <v/>
      </c>
      <c r="V44" s="8" t="str">
        <f t="shared" si="9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10"/>
        <v/>
      </c>
      <c r="AA44" s="10" t="str">
        <f t="shared" si="11"/>
        <v/>
      </c>
      <c r="AB44" s="10" t="str">
        <f t="shared" si="12"/>
        <v/>
      </c>
      <c r="AC44" s="10" t="str">
        <f t="shared" si="13"/>
        <v/>
      </c>
      <c r="AD44" s="10" t="str">
        <f t="shared" si="14"/>
        <v/>
      </c>
      <c r="AE44" s="10" t="str">
        <f t="shared" si="25"/>
        <v/>
      </c>
      <c r="AF44" s="10" t="str">
        <f t="shared" si="26"/>
        <v/>
      </c>
      <c r="AG44" s="10" t="str">
        <f t="shared" si="15"/>
        <v/>
      </c>
      <c r="AH44" s="10" t="str">
        <f t="shared" si="6"/>
        <v/>
      </c>
      <c r="AI44" s="10" t="str">
        <f t="shared" si="7"/>
        <v/>
      </c>
      <c r="AJ44" s="10" t="str">
        <f t="shared" si="16"/>
        <v/>
      </c>
      <c r="AK44" s="10" t="str">
        <f t="shared" si="27"/>
        <v/>
      </c>
      <c r="AL44" s="10" t="str">
        <f t="shared" si="17"/>
        <v/>
      </c>
      <c r="AM44" s="10" t="str">
        <f t="shared" si="18"/>
        <v/>
      </c>
      <c r="AN44" s="10" t="str">
        <f t="shared" si="19"/>
        <v/>
      </c>
      <c r="AO44" s="10" t="str">
        <f t="shared" si="20"/>
        <v/>
      </c>
      <c r="AP44" s="10" t="str">
        <f t="shared" si="21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9"/>
        <v/>
      </c>
      <c r="V45" s="8" t="str">
        <f t="shared" si="9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10"/>
        <v/>
      </c>
      <c r="AA45" s="10" t="str">
        <f t="shared" si="11"/>
        <v/>
      </c>
      <c r="AB45" s="10" t="str">
        <f t="shared" si="12"/>
        <v/>
      </c>
      <c r="AC45" s="10" t="str">
        <f t="shared" si="13"/>
        <v/>
      </c>
      <c r="AD45" s="10" t="str">
        <f t="shared" si="14"/>
        <v/>
      </c>
      <c r="AE45" s="10" t="str">
        <f t="shared" si="25"/>
        <v/>
      </c>
      <c r="AF45" s="10" t="str">
        <f t="shared" si="26"/>
        <v/>
      </c>
      <c r="AG45" s="10" t="str">
        <f t="shared" si="15"/>
        <v/>
      </c>
      <c r="AH45" s="10" t="str">
        <f t="shared" si="6"/>
        <v/>
      </c>
      <c r="AI45" s="10" t="str">
        <f t="shared" si="7"/>
        <v/>
      </c>
      <c r="AJ45" s="10" t="str">
        <f t="shared" si="16"/>
        <v/>
      </c>
      <c r="AK45" s="10" t="str">
        <f t="shared" si="27"/>
        <v/>
      </c>
      <c r="AL45" s="10" t="str">
        <f t="shared" si="17"/>
        <v/>
      </c>
      <c r="AM45" s="10" t="str">
        <f t="shared" si="18"/>
        <v/>
      </c>
      <c r="AN45" s="10" t="str">
        <f t="shared" si="19"/>
        <v/>
      </c>
      <c r="AO45" s="10" t="str">
        <f t="shared" si="20"/>
        <v/>
      </c>
      <c r="AP45" s="10" t="str">
        <f t="shared" si="21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9"/>
        <v/>
      </c>
      <c r="V46" s="8" t="str">
        <f t="shared" si="9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10"/>
        <v/>
      </c>
      <c r="AA46" s="10" t="str">
        <f t="shared" si="11"/>
        <v/>
      </c>
      <c r="AB46" s="10" t="str">
        <f t="shared" si="12"/>
        <v/>
      </c>
      <c r="AC46" s="10" t="str">
        <f t="shared" si="13"/>
        <v/>
      </c>
      <c r="AD46" s="10" t="str">
        <f t="shared" si="14"/>
        <v/>
      </c>
      <c r="AE46" s="10" t="str">
        <f t="shared" si="25"/>
        <v/>
      </c>
      <c r="AF46" s="10" t="str">
        <f t="shared" si="26"/>
        <v/>
      </c>
      <c r="AG46" s="10" t="str">
        <f t="shared" si="15"/>
        <v/>
      </c>
      <c r="AH46" s="10" t="str">
        <f t="shared" si="6"/>
        <v/>
      </c>
      <c r="AI46" s="10" t="str">
        <f t="shared" si="7"/>
        <v/>
      </c>
      <c r="AJ46" s="10" t="str">
        <f t="shared" si="16"/>
        <v/>
      </c>
      <c r="AK46" s="10" t="str">
        <f t="shared" si="27"/>
        <v/>
      </c>
      <c r="AL46" s="10" t="str">
        <f t="shared" si="17"/>
        <v/>
      </c>
      <c r="AM46" s="10" t="str">
        <f t="shared" si="18"/>
        <v/>
      </c>
      <c r="AN46" s="10" t="str">
        <f t="shared" si="19"/>
        <v/>
      </c>
      <c r="AO46" s="10" t="str">
        <f t="shared" si="20"/>
        <v/>
      </c>
      <c r="AP46" s="10" t="str">
        <f t="shared" si="21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9"/>
        <v/>
      </c>
      <c r="V47" s="8" t="str">
        <f t="shared" si="9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10"/>
        <v/>
      </c>
      <c r="AA47" s="10" t="str">
        <f t="shared" si="11"/>
        <v/>
      </c>
      <c r="AB47" s="10" t="str">
        <f t="shared" si="12"/>
        <v/>
      </c>
      <c r="AC47" s="10" t="str">
        <f t="shared" si="13"/>
        <v/>
      </c>
      <c r="AD47" s="10" t="str">
        <f t="shared" si="14"/>
        <v/>
      </c>
      <c r="AE47" s="10" t="str">
        <f t="shared" si="25"/>
        <v/>
      </c>
      <c r="AF47" s="10" t="str">
        <f t="shared" si="26"/>
        <v/>
      </c>
      <c r="AG47" s="10" t="str">
        <f t="shared" si="15"/>
        <v/>
      </c>
      <c r="AH47" s="10" t="str">
        <f t="shared" si="6"/>
        <v/>
      </c>
      <c r="AI47" s="10" t="str">
        <f t="shared" si="7"/>
        <v/>
      </c>
      <c r="AJ47" s="10" t="str">
        <f t="shared" si="16"/>
        <v/>
      </c>
      <c r="AK47" s="10" t="str">
        <f t="shared" si="27"/>
        <v/>
      </c>
      <c r="AL47" s="10" t="str">
        <f t="shared" si="17"/>
        <v/>
      </c>
      <c r="AM47" s="10" t="str">
        <f t="shared" si="18"/>
        <v/>
      </c>
      <c r="AN47" s="10" t="str">
        <f t="shared" si="19"/>
        <v/>
      </c>
      <c r="AO47" s="10" t="str">
        <f t="shared" si="20"/>
        <v/>
      </c>
      <c r="AP47" s="10" t="str">
        <f t="shared" si="21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9"/>
        <v/>
      </c>
      <c r="V48" s="8" t="str">
        <f t="shared" si="9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10"/>
        <v/>
      </c>
      <c r="AA48" s="10" t="str">
        <f t="shared" si="11"/>
        <v/>
      </c>
      <c r="AB48" s="10" t="str">
        <f t="shared" si="12"/>
        <v/>
      </c>
      <c r="AC48" s="10" t="str">
        <f t="shared" si="13"/>
        <v/>
      </c>
      <c r="AD48" s="10" t="str">
        <f t="shared" si="14"/>
        <v/>
      </c>
      <c r="AE48" s="10" t="str">
        <f t="shared" si="25"/>
        <v/>
      </c>
      <c r="AF48" s="10" t="str">
        <f t="shared" si="26"/>
        <v/>
      </c>
      <c r="AG48" s="10" t="str">
        <f t="shared" si="15"/>
        <v/>
      </c>
      <c r="AH48" s="10" t="str">
        <f t="shared" si="6"/>
        <v/>
      </c>
      <c r="AI48" s="10" t="str">
        <f t="shared" si="7"/>
        <v/>
      </c>
      <c r="AJ48" s="10" t="str">
        <f t="shared" si="16"/>
        <v/>
      </c>
      <c r="AK48" s="10" t="str">
        <f t="shared" si="27"/>
        <v/>
      </c>
      <c r="AL48" s="10" t="str">
        <f t="shared" si="17"/>
        <v/>
      </c>
      <c r="AM48" s="10" t="str">
        <f t="shared" si="18"/>
        <v/>
      </c>
      <c r="AN48" s="10" t="str">
        <f t="shared" si="19"/>
        <v/>
      </c>
      <c r="AO48" s="10" t="str">
        <f t="shared" si="20"/>
        <v/>
      </c>
      <c r="AP48" s="10" t="str">
        <f t="shared" si="21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9"/>
        <v/>
      </c>
      <c r="V49" s="8" t="str">
        <f t="shared" si="9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10"/>
        <v/>
      </c>
      <c r="AA49" s="10" t="str">
        <f t="shared" si="11"/>
        <v/>
      </c>
      <c r="AB49" s="10" t="str">
        <f t="shared" si="12"/>
        <v/>
      </c>
      <c r="AC49" s="10" t="str">
        <f t="shared" si="13"/>
        <v/>
      </c>
      <c r="AD49" s="10" t="str">
        <f t="shared" si="14"/>
        <v/>
      </c>
      <c r="AE49" s="10" t="str">
        <f t="shared" si="25"/>
        <v/>
      </c>
      <c r="AF49" s="10" t="str">
        <f t="shared" si="26"/>
        <v/>
      </c>
      <c r="AG49" s="10" t="str">
        <f t="shared" si="15"/>
        <v/>
      </c>
      <c r="AH49" s="10" t="str">
        <f t="shared" si="6"/>
        <v/>
      </c>
      <c r="AI49" s="10" t="str">
        <f t="shared" si="7"/>
        <v/>
      </c>
      <c r="AJ49" s="10" t="str">
        <f t="shared" si="16"/>
        <v/>
      </c>
      <c r="AK49" s="10" t="str">
        <f t="shared" si="27"/>
        <v/>
      </c>
      <c r="AL49" s="10" t="str">
        <f t="shared" si="17"/>
        <v/>
      </c>
      <c r="AM49" s="10" t="str">
        <f t="shared" si="18"/>
        <v/>
      </c>
      <c r="AN49" s="10" t="str">
        <f t="shared" si="19"/>
        <v/>
      </c>
      <c r="AO49" s="10" t="str">
        <f t="shared" si="20"/>
        <v/>
      </c>
      <c r="AP49" s="10" t="str">
        <f t="shared" si="21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9"/>
        <v/>
      </c>
      <c r="V50" s="8" t="str">
        <f t="shared" si="9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10"/>
        <v/>
      </c>
      <c r="AA50" s="10" t="str">
        <f t="shared" si="11"/>
        <v/>
      </c>
      <c r="AB50" s="10" t="str">
        <f t="shared" si="12"/>
        <v/>
      </c>
      <c r="AC50" s="10" t="str">
        <f t="shared" si="13"/>
        <v/>
      </c>
      <c r="AD50" s="10" t="str">
        <f t="shared" si="14"/>
        <v/>
      </c>
      <c r="AE50" s="10" t="str">
        <f t="shared" si="25"/>
        <v/>
      </c>
      <c r="AF50" s="10" t="str">
        <f t="shared" si="26"/>
        <v/>
      </c>
      <c r="AG50" s="10" t="str">
        <f t="shared" si="15"/>
        <v/>
      </c>
      <c r="AH50" s="10" t="str">
        <f t="shared" si="6"/>
        <v/>
      </c>
      <c r="AI50" s="10" t="str">
        <f t="shared" si="7"/>
        <v/>
      </c>
      <c r="AJ50" s="10" t="str">
        <f t="shared" si="16"/>
        <v/>
      </c>
      <c r="AK50" s="10" t="str">
        <f t="shared" si="27"/>
        <v/>
      </c>
      <c r="AL50" s="10" t="str">
        <f t="shared" si="17"/>
        <v/>
      </c>
      <c r="AM50" s="10" t="str">
        <f t="shared" si="18"/>
        <v/>
      </c>
      <c r="AN50" s="10" t="str">
        <f t="shared" si="19"/>
        <v/>
      </c>
      <c r="AO50" s="10" t="str">
        <f t="shared" si="20"/>
        <v/>
      </c>
      <c r="AP50" s="10" t="str">
        <f t="shared" si="21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9"/>
        <v/>
      </c>
      <c r="V51" s="8" t="str">
        <f t="shared" si="9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10"/>
        <v/>
      </c>
      <c r="AA51" s="10" t="str">
        <f t="shared" si="11"/>
        <v/>
      </c>
      <c r="AB51" s="10" t="str">
        <f t="shared" si="12"/>
        <v/>
      </c>
      <c r="AC51" s="10" t="str">
        <f t="shared" si="13"/>
        <v/>
      </c>
      <c r="AD51" s="10" t="str">
        <f t="shared" si="14"/>
        <v/>
      </c>
      <c r="AE51" s="10" t="str">
        <f t="shared" si="25"/>
        <v/>
      </c>
      <c r="AF51" s="10" t="str">
        <f t="shared" si="26"/>
        <v/>
      </c>
      <c r="AG51" s="10" t="str">
        <f t="shared" si="15"/>
        <v/>
      </c>
      <c r="AH51" s="10" t="str">
        <f t="shared" si="6"/>
        <v/>
      </c>
      <c r="AI51" s="10" t="str">
        <f t="shared" si="7"/>
        <v/>
      </c>
      <c r="AJ51" s="10" t="str">
        <f t="shared" si="16"/>
        <v/>
      </c>
      <c r="AK51" s="10" t="str">
        <f t="shared" si="27"/>
        <v/>
      </c>
      <c r="AL51" s="10" t="str">
        <f t="shared" si="17"/>
        <v/>
      </c>
      <c r="AM51" s="10" t="str">
        <f t="shared" si="18"/>
        <v/>
      </c>
      <c r="AN51" s="10" t="str">
        <f t="shared" si="19"/>
        <v/>
      </c>
      <c r="AO51" s="10" t="str">
        <f t="shared" si="20"/>
        <v/>
      </c>
      <c r="AP51" s="10" t="str">
        <f t="shared" si="21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8">IF($G52="","",IF($G52=1,(($C$2+$H52)*O$3)*(1+(O$4-O$5)),((O51+($H52*O$3))*(1+(O$4-O$5)))))</f>
        <v/>
      </c>
      <c r="P52" s="7" t="str">
        <f t="shared" si="28"/>
        <v/>
      </c>
      <c r="Q52" s="7" t="str">
        <f t="shared" si="28"/>
        <v/>
      </c>
      <c r="R52" s="7" t="str">
        <f t="shared" si="28"/>
        <v/>
      </c>
      <c r="S52" s="7" t="str">
        <f t="shared" si="28"/>
        <v/>
      </c>
      <c r="T52" s="7" t="str">
        <f t="shared" si="28"/>
        <v/>
      </c>
      <c r="U52" s="8" t="str">
        <f t="shared" si="9"/>
        <v/>
      </c>
      <c r="V52" s="8" t="str">
        <f t="shared" si="9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10"/>
        <v/>
      </c>
      <c r="AA52" s="10" t="str">
        <f t="shared" si="11"/>
        <v/>
      </c>
      <c r="AB52" s="10" t="str">
        <f t="shared" si="12"/>
        <v/>
      </c>
      <c r="AC52" s="10" t="str">
        <f t="shared" si="13"/>
        <v/>
      </c>
      <c r="AD52" s="10" t="str">
        <f t="shared" si="14"/>
        <v/>
      </c>
      <c r="AE52" s="10" t="str">
        <f t="shared" si="25"/>
        <v/>
      </c>
      <c r="AF52" s="10" t="str">
        <f t="shared" si="26"/>
        <v/>
      </c>
      <c r="AG52" s="10" t="str">
        <f t="shared" si="15"/>
        <v/>
      </c>
      <c r="AH52" s="10" t="str">
        <f t="shared" si="6"/>
        <v/>
      </c>
      <c r="AI52" s="10" t="str">
        <f t="shared" si="7"/>
        <v/>
      </c>
      <c r="AJ52" s="10" t="str">
        <f t="shared" si="16"/>
        <v/>
      </c>
      <c r="AK52" s="10" t="str">
        <f t="shared" si="27"/>
        <v/>
      </c>
      <c r="AL52" s="10" t="str">
        <f t="shared" si="17"/>
        <v/>
      </c>
      <c r="AM52" s="10" t="str">
        <f t="shared" si="18"/>
        <v/>
      </c>
      <c r="AN52" s="10" t="str">
        <f t="shared" si="19"/>
        <v/>
      </c>
      <c r="AO52" s="10" t="str">
        <f t="shared" si="20"/>
        <v/>
      </c>
      <c r="AP52" s="10" t="str">
        <f t="shared" si="21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8"/>
        <v/>
      </c>
      <c r="J53" s="7" t="str">
        <f t="shared" si="28"/>
        <v/>
      </c>
      <c r="K53" s="7" t="str">
        <f t="shared" si="28"/>
        <v/>
      </c>
      <c r="L53" s="7" t="str">
        <f t="shared" si="28"/>
        <v/>
      </c>
      <c r="M53" s="7" t="str">
        <f t="shared" si="28"/>
        <v/>
      </c>
      <c r="N53" s="7" t="str">
        <f t="shared" si="28"/>
        <v/>
      </c>
      <c r="O53" s="7" t="str">
        <f t="shared" si="28"/>
        <v/>
      </c>
      <c r="P53" s="7" t="str">
        <f t="shared" si="28"/>
        <v/>
      </c>
      <c r="Q53" s="7" t="str">
        <f t="shared" si="28"/>
        <v/>
      </c>
      <c r="R53" s="7" t="str">
        <f t="shared" si="28"/>
        <v/>
      </c>
      <c r="S53" s="7" t="str">
        <f t="shared" si="28"/>
        <v/>
      </c>
      <c r="T53" s="7" t="str">
        <f t="shared" si="28"/>
        <v/>
      </c>
      <c r="U53" s="8" t="str">
        <f t="shared" si="9"/>
        <v/>
      </c>
      <c r="V53" s="8" t="str">
        <f t="shared" si="9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10"/>
        <v/>
      </c>
      <c r="AA53" s="10" t="str">
        <f t="shared" si="11"/>
        <v/>
      </c>
      <c r="AB53" s="10" t="str">
        <f t="shared" si="12"/>
        <v/>
      </c>
      <c r="AC53" s="10" t="str">
        <f t="shared" si="13"/>
        <v/>
      </c>
      <c r="AD53" s="10" t="str">
        <f t="shared" si="14"/>
        <v/>
      </c>
      <c r="AE53" s="10" t="str">
        <f t="shared" si="25"/>
        <v/>
      </c>
      <c r="AF53" s="10" t="str">
        <f t="shared" si="26"/>
        <v/>
      </c>
      <c r="AG53" s="10" t="str">
        <f t="shared" si="15"/>
        <v/>
      </c>
      <c r="AH53" s="10" t="str">
        <f t="shared" si="6"/>
        <v/>
      </c>
      <c r="AI53" s="10" t="str">
        <f t="shared" si="7"/>
        <v/>
      </c>
      <c r="AJ53" s="10" t="str">
        <f t="shared" si="16"/>
        <v/>
      </c>
      <c r="AK53" s="10" t="str">
        <f t="shared" si="27"/>
        <v/>
      </c>
      <c r="AL53" s="10" t="str">
        <f t="shared" si="17"/>
        <v/>
      </c>
      <c r="AM53" s="10" t="str">
        <f t="shared" si="18"/>
        <v/>
      </c>
      <c r="AN53" s="10" t="str">
        <f t="shared" si="19"/>
        <v/>
      </c>
      <c r="AO53" s="10" t="str">
        <f t="shared" si="20"/>
        <v/>
      </c>
      <c r="AP53" s="10" t="str">
        <f t="shared" si="21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8"/>
        <v/>
      </c>
      <c r="J54" s="7" t="str">
        <f t="shared" si="28"/>
        <v/>
      </c>
      <c r="K54" s="7" t="str">
        <f t="shared" si="28"/>
        <v/>
      </c>
      <c r="L54" s="7" t="str">
        <f t="shared" si="28"/>
        <v/>
      </c>
      <c r="M54" s="7" t="str">
        <f t="shared" si="28"/>
        <v/>
      </c>
      <c r="N54" s="7" t="str">
        <f t="shared" si="28"/>
        <v/>
      </c>
      <c r="O54" s="7" t="str">
        <f t="shared" si="28"/>
        <v/>
      </c>
      <c r="P54" s="7" t="str">
        <f t="shared" si="28"/>
        <v/>
      </c>
      <c r="Q54" s="7" t="str">
        <f t="shared" si="28"/>
        <v/>
      </c>
      <c r="R54" s="7" t="str">
        <f t="shared" si="28"/>
        <v/>
      </c>
      <c r="S54" s="7" t="str">
        <f t="shared" si="28"/>
        <v/>
      </c>
      <c r="T54" s="7" t="str">
        <f t="shared" si="28"/>
        <v/>
      </c>
      <c r="U54" s="8" t="str">
        <f t="shared" si="9"/>
        <v/>
      </c>
      <c r="V54" s="8" t="str">
        <f t="shared" si="9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10"/>
        <v/>
      </c>
      <c r="AA54" s="10" t="str">
        <f t="shared" si="11"/>
        <v/>
      </c>
      <c r="AB54" s="10" t="str">
        <f t="shared" si="12"/>
        <v/>
      </c>
      <c r="AC54" s="10" t="str">
        <f t="shared" si="13"/>
        <v/>
      </c>
      <c r="AD54" s="10" t="str">
        <f t="shared" si="14"/>
        <v/>
      </c>
      <c r="AE54" s="10" t="str">
        <f t="shared" si="25"/>
        <v/>
      </c>
      <c r="AF54" s="10" t="str">
        <f t="shared" si="26"/>
        <v/>
      </c>
      <c r="AG54" s="10" t="str">
        <f t="shared" si="15"/>
        <v/>
      </c>
      <c r="AH54" s="10" t="str">
        <f t="shared" si="6"/>
        <v/>
      </c>
      <c r="AI54" s="10" t="str">
        <f t="shared" si="7"/>
        <v/>
      </c>
      <c r="AJ54" s="10" t="str">
        <f t="shared" si="16"/>
        <v/>
      </c>
      <c r="AK54" s="10" t="str">
        <f t="shared" si="27"/>
        <v/>
      </c>
      <c r="AL54" s="10" t="str">
        <f t="shared" si="17"/>
        <v/>
      </c>
      <c r="AM54" s="10" t="str">
        <f t="shared" si="18"/>
        <v/>
      </c>
      <c r="AN54" s="10" t="str">
        <f t="shared" si="19"/>
        <v/>
      </c>
      <c r="AO54" s="10" t="str">
        <f t="shared" si="20"/>
        <v/>
      </c>
      <c r="AP54" s="10" t="str">
        <f t="shared" si="21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8"/>
        <v/>
      </c>
      <c r="J55" s="7" t="str">
        <f t="shared" si="28"/>
        <v/>
      </c>
      <c r="K55" s="7" t="str">
        <f t="shared" si="28"/>
        <v/>
      </c>
      <c r="L55" s="7" t="str">
        <f t="shared" si="28"/>
        <v/>
      </c>
      <c r="M55" s="7" t="str">
        <f t="shared" si="28"/>
        <v/>
      </c>
      <c r="N55" s="7" t="str">
        <f t="shared" si="28"/>
        <v/>
      </c>
      <c r="O55" s="7" t="str">
        <f t="shared" si="28"/>
        <v/>
      </c>
      <c r="P55" s="7" t="str">
        <f t="shared" si="28"/>
        <v/>
      </c>
      <c r="Q55" s="7" t="str">
        <f t="shared" si="28"/>
        <v/>
      </c>
      <c r="R55" s="7" t="str">
        <f t="shared" si="28"/>
        <v/>
      </c>
      <c r="S55" s="7" t="str">
        <f t="shared" si="28"/>
        <v/>
      </c>
      <c r="T55" s="7" t="str">
        <f t="shared" si="28"/>
        <v/>
      </c>
      <c r="U55" s="8" t="str">
        <f t="shared" si="9"/>
        <v/>
      </c>
      <c r="V55" s="8" t="str">
        <f t="shared" si="9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10"/>
        <v/>
      </c>
      <c r="AA55" s="10" t="str">
        <f t="shared" si="11"/>
        <v/>
      </c>
      <c r="AB55" s="10" t="str">
        <f t="shared" si="12"/>
        <v/>
      </c>
      <c r="AC55" s="10" t="str">
        <f t="shared" si="13"/>
        <v/>
      </c>
      <c r="AD55" s="10" t="str">
        <f t="shared" si="14"/>
        <v/>
      </c>
      <c r="AE55" s="10" t="str">
        <f t="shared" si="25"/>
        <v/>
      </c>
      <c r="AF55" s="10" t="str">
        <f t="shared" si="26"/>
        <v/>
      </c>
      <c r="AG55" s="10" t="str">
        <f t="shared" si="15"/>
        <v/>
      </c>
      <c r="AH55" s="10" t="str">
        <f t="shared" si="6"/>
        <v/>
      </c>
      <c r="AI55" s="10" t="str">
        <f t="shared" si="7"/>
        <v/>
      </c>
      <c r="AJ55" s="10" t="str">
        <f t="shared" si="16"/>
        <v/>
      </c>
      <c r="AK55" s="10" t="str">
        <f t="shared" si="27"/>
        <v/>
      </c>
      <c r="AL55" s="10" t="str">
        <f t="shared" si="17"/>
        <v/>
      </c>
      <c r="AM55" s="10" t="str">
        <f t="shared" si="18"/>
        <v/>
      </c>
      <c r="AN55" s="10" t="str">
        <f t="shared" si="19"/>
        <v/>
      </c>
      <c r="AO55" s="10" t="str">
        <f t="shared" si="20"/>
        <v/>
      </c>
      <c r="AP55" s="10" t="str">
        <f t="shared" si="21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8"/>
        <v/>
      </c>
      <c r="J56" s="7" t="str">
        <f t="shared" si="28"/>
        <v/>
      </c>
      <c r="K56" s="7" t="str">
        <f t="shared" si="28"/>
        <v/>
      </c>
      <c r="L56" s="7" t="str">
        <f t="shared" si="28"/>
        <v/>
      </c>
      <c r="M56" s="7" t="str">
        <f t="shared" si="28"/>
        <v/>
      </c>
      <c r="N56" s="7" t="str">
        <f t="shared" si="28"/>
        <v/>
      </c>
      <c r="O56" s="7" t="str">
        <f t="shared" si="28"/>
        <v/>
      </c>
      <c r="P56" s="7" t="str">
        <f t="shared" si="28"/>
        <v/>
      </c>
      <c r="Q56" s="7" t="str">
        <f t="shared" si="28"/>
        <v/>
      </c>
      <c r="R56" s="7" t="str">
        <f t="shared" si="28"/>
        <v/>
      </c>
      <c r="S56" s="7" t="str">
        <f t="shared" si="28"/>
        <v/>
      </c>
      <c r="T56" s="7" t="str">
        <f t="shared" si="28"/>
        <v/>
      </c>
      <c r="U56" s="8" t="str">
        <f t="shared" si="9"/>
        <v/>
      </c>
      <c r="V56" s="8" t="str">
        <f t="shared" si="9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10"/>
        <v/>
      </c>
      <c r="AA56" s="10" t="str">
        <f t="shared" si="11"/>
        <v/>
      </c>
      <c r="AB56" s="10" t="str">
        <f t="shared" si="12"/>
        <v/>
      </c>
      <c r="AC56" s="10" t="str">
        <f t="shared" si="13"/>
        <v/>
      </c>
      <c r="AD56" s="10" t="str">
        <f t="shared" si="14"/>
        <v/>
      </c>
      <c r="AE56" s="10" t="str">
        <f t="shared" si="25"/>
        <v/>
      </c>
      <c r="AF56" s="10" t="str">
        <f t="shared" si="26"/>
        <v/>
      </c>
      <c r="AG56" s="10" t="str">
        <f t="shared" si="15"/>
        <v/>
      </c>
      <c r="AH56" s="10" t="str">
        <f t="shared" si="6"/>
        <v/>
      </c>
      <c r="AI56" s="10" t="str">
        <f t="shared" si="7"/>
        <v/>
      </c>
      <c r="AJ56" s="10" t="str">
        <f t="shared" si="16"/>
        <v/>
      </c>
      <c r="AK56" s="10" t="str">
        <f t="shared" si="27"/>
        <v/>
      </c>
      <c r="AL56" s="10" t="str">
        <f t="shared" si="17"/>
        <v/>
      </c>
      <c r="AM56" s="10" t="str">
        <f t="shared" si="18"/>
        <v/>
      </c>
      <c r="AN56" s="10" t="str">
        <f t="shared" si="19"/>
        <v/>
      </c>
      <c r="AO56" s="10" t="str">
        <f t="shared" si="20"/>
        <v/>
      </c>
      <c r="AP56" s="10" t="str">
        <f t="shared" si="21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8"/>
        <v/>
      </c>
      <c r="J57" s="7" t="str">
        <f t="shared" si="28"/>
        <v/>
      </c>
      <c r="K57" s="7" t="str">
        <f t="shared" si="28"/>
        <v/>
      </c>
      <c r="L57" s="7" t="str">
        <f t="shared" si="28"/>
        <v/>
      </c>
      <c r="M57" s="7" t="str">
        <f t="shared" si="28"/>
        <v/>
      </c>
      <c r="N57" s="7" t="str">
        <f t="shared" si="28"/>
        <v/>
      </c>
      <c r="O57" s="7" t="str">
        <f t="shared" si="28"/>
        <v/>
      </c>
      <c r="P57" s="7" t="str">
        <f t="shared" si="28"/>
        <v/>
      </c>
      <c r="Q57" s="7" t="str">
        <f t="shared" si="28"/>
        <v/>
      </c>
      <c r="R57" s="7" t="str">
        <f t="shared" si="28"/>
        <v/>
      </c>
      <c r="S57" s="7" t="str">
        <f t="shared" si="28"/>
        <v/>
      </c>
      <c r="T57" s="7" t="str">
        <f t="shared" si="28"/>
        <v/>
      </c>
      <c r="U57" s="8" t="str">
        <f t="shared" si="9"/>
        <v/>
      </c>
      <c r="V57" s="8" t="str">
        <f t="shared" si="9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10"/>
        <v/>
      </c>
      <c r="AA57" s="10" t="str">
        <f t="shared" si="11"/>
        <v/>
      </c>
      <c r="AB57" s="10" t="str">
        <f t="shared" si="12"/>
        <v/>
      </c>
      <c r="AC57" s="10" t="str">
        <f t="shared" si="13"/>
        <v/>
      </c>
      <c r="AD57" s="10" t="str">
        <f t="shared" si="14"/>
        <v/>
      </c>
      <c r="AE57" s="10" t="str">
        <f t="shared" si="25"/>
        <v/>
      </c>
      <c r="AF57" s="10" t="str">
        <f t="shared" si="26"/>
        <v/>
      </c>
      <c r="AG57" s="10" t="str">
        <f t="shared" si="15"/>
        <v/>
      </c>
      <c r="AH57" s="10" t="str">
        <f t="shared" si="6"/>
        <v/>
      </c>
      <c r="AI57" s="10" t="str">
        <f t="shared" si="7"/>
        <v/>
      </c>
      <c r="AJ57" s="10" t="str">
        <f t="shared" si="16"/>
        <v/>
      </c>
      <c r="AK57" s="10" t="str">
        <f t="shared" si="27"/>
        <v/>
      </c>
      <c r="AL57" s="10" t="str">
        <f t="shared" si="17"/>
        <v/>
      </c>
      <c r="AM57" s="10" t="str">
        <f t="shared" si="18"/>
        <v/>
      </c>
      <c r="AN57" s="10" t="str">
        <f t="shared" si="19"/>
        <v/>
      </c>
      <c r="AO57" s="10" t="str">
        <f t="shared" si="20"/>
        <v/>
      </c>
      <c r="AP57" s="10" t="str">
        <f t="shared" si="21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8"/>
        <v/>
      </c>
      <c r="J58" s="7" t="str">
        <f t="shared" si="28"/>
        <v/>
      </c>
      <c r="K58" s="7" t="str">
        <f t="shared" si="28"/>
        <v/>
      </c>
      <c r="L58" s="7" t="str">
        <f t="shared" si="28"/>
        <v/>
      </c>
      <c r="M58" s="7" t="str">
        <f t="shared" si="28"/>
        <v/>
      </c>
      <c r="N58" s="7" t="str">
        <f t="shared" si="28"/>
        <v/>
      </c>
      <c r="O58" s="7" t="str">
        <f t="shared" si="28"/>
        <v/>
      </c>
      <c r="P58" s="7" t="str">
        <f t="shared" si="28"/>
        <v/>
      </c>
      <c r="Q58" s="7" t="str">
        <f t="shared" si="28"/>
        <v/>
      </c>
      <c r="R58" s="7" t="str">
        <f t="shared" si="28"/>
        <v/>
      </c>
      <c r="S58" s="7" t="str">
        <f t="shared" si="28"/>
        <v/>
      </c>
      <c r="T58" s="7" t="str">
        <f t="shared" si="28"/>
        <v/>
      </c>
      <c r="U58" s="8" t="str">
        <f t="shared" si="9"/>
        <v/>
      </c>
      <c r="V58" s="8" t="str">
        <f t="shared" si="9"/>
        <v/>
      </c>
      <c r="W58" s="7" t="str">
        <f t="shared" ref="W58:X72" si="29">IF($G58="","",IF($G58=1,(($C$2+$H58)*W$3)*(1+(W$4-W$5)),((W57+($H58*W$3))*(1+(W$4-W$5)))))</f>
        <v/>
      </c>
      <c r="X58" s="7" t="str">
        <f t="shared" si="29"/>
        <v/>
      </c>
      <c r="Y58" s="10" t="str">
        <f t="shared" si="3"/>
        <v/>
      </c>
      <c r="Z58" s="10" t="str">
        <f t="shared" si="10"/>
        <v/>
      </c>
      <c r="AA58" s="10" t="str">
        <f t="shared" si="11"/>
        <v/>
      </c>
      <c r="AB58" s="10" t="str">
        <f t="shared" si="12"/>
        <v/>
      </c>
      <c r="AC58" s="10" t="str">
        <f t="shared" si="13"/>
        <v/>
      </c>
      <c r="AD58" s="10" t="str">
        <f t="shared" si="14"/>
        <v/>
      </c>
      <c r="AE58" s="10" t="str">
        <f t="shared" si="25"/>
        <v/>
      </c>
      <c r="AF58" s="10" t="str">
        <f t="shared" si="26"/>
        <v/>
      </c>
      <c r="AG58" s="10" t="str">
        <f t="shared" si="15"/>
        <v/>
      </c>
      <c r="AH58" s="10" t="str">
        <f t="shared" si="6"/>
        <v/>
      </c>
      <c r="AI58" s="10" t="str">
        <f t="shared" si="7"/>
        <v/>
      </c>
      <c r="AJ58" s="10" t="str">
        <f t="shared" si="16"/>
        <v/>
      </c>
      <c r="AK58" s="10" t="str">
        <f t="shared" si="27"/>
        <v/>
      </c>
      <c r="AL58" s="10" t="str">
        <f t="shared" si="17"/>
        <v/>
      </c>
      <c r="AM58" s="10" t="str">
        <f t="shared" si="18"/>
        <v/>
      </c>
      <c r="AN58" s="10" t="str">
        <f t="shared" si="19"/>
        <v/>
      </c>
      <c r="AO58" s="10" t="str">
        <f t="shared" si="20"/>
        <v/>
      </c>
      <c r="AP58" s="10" t="str">
        <f t="shared" si="21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8"/>
        <v/>
      </c>
      <c r="J59" s="7" t="str">
        <f t="shared" si="28"/>
        <v/>
      </c>
      <c r="K59" s="7" t="str">
        <f t="shared" si="28"/>
        <v/>
      </c>
      <c r="L59" s="7" t="str">
        <f t="shared" si="28"/>
        <v/>
      </c>
      <c r="M59" s="7" t="str">
        <f t="shared" si="28"/>
        <v/>
      </c>
      <c r="N59" s="7" t="str">
        <f t="shared" si="28"/>
        <v/>
      </c>
      <c r="O59" s="7" t="str">
        <f t="shared" si="28"/>
        <v/>
      </c>
      <c r="P59" s="7" t="str">
        <f t="shared" si="28"/>
        <v/>
      </c>
      <c r="Q59" s="7" t="str">
        <f t="shared" si="28"/>
        <v/>
      </c>
      <c r="R59" s="7" t="str">
        <f t="shared" si="28"/>
        <v/>
      </c>
      <c r="S59" s="7" t="str">
        <f t="shared" si="28"/>
        <v/>
      </c>
      <c r="T59" s="7" t="str">
        <f t="shared" si="28"/>
        <v/>
      </c>
      <c r="U59" s="8" t="str">
        <f t="shared" si="9"/>
        <v/>
      </c>
      <c r="V59" s="8" t="str">
        <f t="shared" si="9"/>
        <v/>
      </c>
      <c r="W59" s="7" t="str">
        <f t="shared" si="29"/>
        <v/>
      </c>
      <c r="X59" s="7" t="str">
        <f t="shared" si="29"/>
        <v/>
      </c>
      <c r="Y59" s="10" t="str">
        <f t="shared" si="3"/>
        <v/>
      </c>
      <c r="Z59" s="10" t="str">
        <f t="shared" si="10"/>
        <v/>
      </c>
      <c r="AA59" s="10" t="str">
        <f t="shared" si="11"/>
        <v/>
      </c>
      <c r="AB59" s="10" t="str">
        <f t="shared" si="12"/>
        <v/>
      </c>
      <c r="AC59" s="10" t="str">
        <f t="shared" si="13"/>
        <v/>
      </c>
      <c r="AD59" s="10" t="str">
        <f t="shared" si="14"/>
        <v/>
      </c>
      <c r="AE59" s="10" t="str">
        <f t="shared" si="25"/>
        <v/>
      </c>
      <c r="AF59" s="10" t="str">
        <f t="shared" si="26"/>
        <v/>
      </c>
      <c r="AG59" s="10" t="str">
        <f t="shared" si="15"/>
        <v/>
      </c>
      <c r="AH59" s="10" t="str">
        <f t="shared" si="6"/>
        <v/>
      </c>
      <c r="AI59" s="10" t="str">
        <f t="shared" si="7"/>
        <v/>
      </c>
      <c r="AJ59" s="10" t="str">
        <f t="shared" si="16"/>
        <v/>
      </c>
      <c r="AK59" s="10" t="str">
        <f t="shared" si="27"/>
        <v/>
      </c>
      <c r="AL59" s="10" t="str">
        <f t="shared" si="17"/>
        <v/>
      </c>
      <c r="AM59" s="10" t="str">
        <f t="shared" si="18"/>
        <v/>
      </c>
      <c r="AN59" s="10" t="str">
        <f t="shared" si="19"/>
        <v/>
      </c>
      <c r="AO59" s="10" t="str">
        <f t="shared" si="20"/>
        <v/>
      </c>
      <c r="AP59" s="10" t="str">
        <f t="shared" si="21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8"/>
        <v/>
      </c>
      <c r="J60" s="7" t="str">
        <f t="shared" si="28"/>
        <v/>
      </c>
      <c r="K60" s="7" t="str">
        <f t="shared" si="28"/>
        <v/>
      </c>
      <c r="L60" s="7" t="str">
        <f t="shared" si="28"/>
        <v/>
      </c>
      <c r="M60" s="7" t="str">
        <f t="shared" si="28"/>
        <v/>
      </c>
      <c r="N60" s="7" t="str">
        <f t="shared" si="28"/>
        <v/>
      </c>
      <c r="O60" s="7" t="str">
        <f t="shared" si="28"/>
        <v/>
      </c>
      <c r="P60" s="7" t="str">
        <f t="shared" si="28"/>
        <v/>
      </c>
      <c r="Q60" s="7" t="str">
        <f t="shared" si="28"/>
        <v/>
      </c>
      <c r="R60" s="7" t="str">
        <f t="shared" si="28"/>
        <v/>
      </c>
      <c r="S60" s="7" t="str">
        <f t="shared" si="28"/>
        <v/>
      </c>
      <c r="T60" s="7" t="str">
        <f t="shared" si="28"/>
        <v/>
      </c>
      <c r="U60" s="8" t="str">
        <f t="shared" si="9"/>
        <v/>
      </c>
      <c r="V60" s="8" t="str">
        <f t="shared" si="9"/>
        <v/>
      </c>
      <c r="W60" s="7" t="str">
        <f t="shared" si="29"/>
        <v/>
      </c>
      <c r="X60" s="7" t="str">
        <f t="shared" si="29"/>
        <v/>
      </c>
      <c r="Y60" s="10" t="str">
        <f t="shared" si="3"/>
        <v/>
      </c>
      <c r="Z60" s="10" t="str">
        <f t="shared" si="10"/>
        <v/>
      </c>
      <c r="AA60" s="10" t="str">
        <f t="shared" si="11"/>
        <v/>
      </c>
      <c r="AB60" s="10" t="str">
        <f t="shared" si="12"/>
        <v/>
      </c>
      <c r="AC60" s="10" t="str">
        <f t="shared" si="13"/>
        <v/>
      </c>
      <c r="AD60" s="10" t="str">
        <f t="shared" si="14"/>
        <v/>
      </c>
      <c r="AE60" s="10" t="str">
        <f t="shared" si="25"/>
        <v/>
      </c>
      <c r="AF60" s="10" t="str">
        <f t="shared" si="26"/>
        <v/>
      </c>
      <c r="AG60" s="10" t="str">
        <f t="shared" si="15"/>
        <v/>
      </c>
      <c r="AH60" s="10" t="str">
        <f t="shared" si="6"/>
        <v/>
      </c>
      <c r="AI60" s="10" t="str">
        <f t="shared" si="7"/>
        <v/>
      </c>
      <c r="AJ60" s="10" t="str">
        <f t="shared" si="16"/>
        <v/>
      </c>
      <c r="AK60" s="10" t="str">
        <f t="shared" si="27"/>
        <v/>
      </c>
      <c r="AL60" s="10" t="str">
        <f t="shared" si="17"/>
        <v/>
      </c>
      <c r="AM60" s="10" t="str">
        <f t="shared" si="18"/>
        <v/>
      </c>
      <c r="AN60" s="10" t="str">
        <f t="shared" si="19"/>
        <v/>
      </c>
      <c r="AO60" s="10" t="str">
        <f t="shared" si="20"/>
        <v/>
      </c>
      <c r="AP60" s="10" t="str">
        <f t="shared" si="21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8"/>
        <v/>
      </c>
      <c r="J61" s="7" t="str">
        <f t="shared" si="28"/>
        <v/>
      </c>
      <c r="K61" s="7" t="str">
        <f t="shared" si="28"/>
        <v/>
      </c>
      <c r="L61" s="7" t="str">
        <f t="shared" si="28"/>
        <v/>
      </c>
      <c r="M61" s="7" t="str">
        <f t="shared" si="28"/>
        <v/>
      </c>
      <c r="N61" s="7" t="str">
        <f t="shared" si="28"/>
        <v/>
      </c>
      <c r="O61" s="7" t="str">
        <f t="shared" si="28"/>
        <v/>
      </c>
      <c r="P61" s="7" t="str">
        <f t="shared" si="28"/>
        <v/>
      </c>
      <c r="Q61" s="7" t="str">
        <f t="shared" si="28"/>
        <v/>
      </c>
      <c r="R61" s="7" t="str">
        <f t="shared" si="28"/>
        <v/>
      </c>
      <c r="S61" s="7" t="str">
        <f t="shared" si="28"/>
        <v/>
      </c>
      <c r="T61" s="7" t="str">
        <f t="shared" si="28"/>
        <v/>
      </c>
      <c r="U61" s="8" t="str">
        <f t="shared" si="9"/>
        <v/>
      </c>
      <c r="V61" s="8" t="str">
        <f t="shared" si="9"/>
        <v/>
      </c>
      <c r="W61" s="7" t="str">
        <f t="shared" si="29"/>
        <v/>
      </c>
      <c r="X61" s="7" t="str">
        <f t="shared" si="29"/>
        <v/>
      </c>
      <c r="Y61" s="10" t="str">
        <f t="shared" si="3"/>
        <v/>
      </c>
      <c r="Z61" s="10" t="str">
        <f t="shared" si="10"/>
        <v/>
      </c>
      <c r="AA61" s="10" t="str">
        <f t="shared" si="11"/>
        <v/>
      </c>
      <c r="AB61" s="10" t="str">
        <f t="shared" si="12"/>
        <v/>
      </c>
      <c r="AC61" s="10" t="str">
        <f t="shared" si="13"/>
        <v/>
      </c>
      <c r="AD61" s="10" t="str">
        <f t="shared" si="14"/>
        <v/>
      </c>
      <c r="AE61" s="10" t="str">
        <f t="shared" si="25"/>
        <v/>
      </c>
      <c r="AF61" s="10" t="str">
        <f t="shared" si="26"/>
        <v/>
      </c>
      <c r="AG61" s="10" t="str">
        <f t="shared" si="15"/>
        <v/>
      </c>
      <c r="AH61" s="10" t="str">
        <f t="shared" si="6"/>
        <v/>
      </c>
      <c r="AI61" s="10" t="str">
        <f t="shared" si="7"/>
        <v/>
      </c>
      <c r="AJ61" s="10" t="str">
        <f t="shared" si="16"/>
        <v/>
      </c>
      <c r="AK61" s="10" t="str">
        <f t="shared" si="27"/>
        <v/>
      </c>
      <c r="AL61" s="10" t="str">
        <f t="shared" si="17"/>
        <v/>
      </c>
      <c r="AM61" s="10" t="str">
        <f t="shared" si="18"/>
        <v/>
      </c>
      <c r="AN61" s="10" t="str">
        <f t="shared" si="19"/>
        <v/>
      </c>
      <c r="AO61" s="10" t="str">
        <f t="shared" si="20"/>
        <v/>
      </c>
      <c r="AP61" s="10" t="str">
        <f t="shared" si="21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8"/>
        <v/>
      </c>
      <c r="J62" s="7" t="str">
        <f t="shared" si="28"/>
        <v/>
      </c>
      <c r="K62" s="7" t="str">
        <f t="shared" si="28"/>
        <v/>
      </c>
      <c r="L62" s="7" t="str">
        <f t="shared" si="28"/>
        <v/>
      </c>
      <c r="M62" s="7" t="str">
        <f t="shared" si="28"/>
        <v/>
      </c>
      <c r="N62" s="7" t="str">
        <f t="shared" si="28"/>
        <v/>
      </c>
      <c r="O62" s="7" t="str">
        <f t="shared" si="28"/>
        <v/>
      </c>
      <c r="P62" s="7" t="str">
        <f t="shared" si="28"/>
        <v/>
      </c>
      <c r="Q62" s="7" t="str">
        <f t="shared" si="28"/>
        <v/>
      </c>
      <c r="R62" s="7" t="str">
        <f t="shared" si="28"/>
        <v/>
      </c>
      <c r="S62" s="7" t="str">
        <f t="shared" si="28"/>
        <v/>
      </c>
      <c r="T62" s="7" t="str">
        <f t="shared" si="28"/>
        <v/>
      </c>
      <c r="U62" s="8" t="str">
        <f t="shared" si="9"/>
        <v/>
      </c>
      <c r="V62" s="8" t="str">
        <f t="shared" si="9"/>
        <v/>
      </c>
      <c r="W62" s="7" t="str">
        <f t="shared" si="29"/>
        <v/>
      </c>
      <c r="X62" s="7" t="str">
        <f t="shared" si="29"/>
        <v/>
      </c>
      <c r="Y62" s="10" t="str">
        <f t="shared" si="3"/>
        <v/>
      </c>
      <c r="Z62" s="10" t="str">
        <f t="shared" si="10"/>
        <v/>
      </c>
      <c r="AA62" s="10" t="str">
        <f t="shared" si="11"/>
        <v/>
      </c>
      <c r="AB62" s="10" t="str">
        <f t="shared" si="12"/>
        <v/>
      </c>
      <c r="AC62" s="10" t="str">
        <f t="shared" si="13"/>
        <v/>
      </c>
      <c r="AD62" s="10" t="str">
        <f t="shared" si="14"/>
        <v/>
      </c>
      <c r="AE62" s="10" t="str">
        <f t="shared" si="25"/>
        <v/>
      </c>
      <c r="AF62" s="10" t="str">
        <f t="shared" si="26"/>
        <v/>
      </c>
      <c r="AG62" s="10" t="str">
        <f t="shared" si="15"/>
        <v/>
      </c>
      <c r="AH62" s="10" t="str">
        <f t="shared" si="6"/>
        <v/>
      </c>
      <c r="AI62" s="10" t="str">
        <f t="shared" si="7"/>
        <v/>
      </c>
      <c r="AJ62" s="10" t="str">
        <f t="shared" si="16"/>
        <v/>
      </c>
      <c r="AK62" s="10" t="str">
        <f t="shared" si="27"/>
        <v/>
      </c>
      <c r="AL62" s="10" t="str">
        <f t="shared" si="17"/>
        <v/>
      </c>
      <c r="AM62" s="10" t="str">
        <f t="shared" si="18"/>
        <v/>
      </c>
      <c r="AN62" s="10" t="str">
        <f t="shared" si="19"/>
        <v/>
      </c>
      <c r="AO62" s="10" t="str">
        <f t="shared" si="20"/>
        <v/>
      </c>
      <c r="AP62" s="10" t="str">
        <f t="shared" si="21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8"/>
        <v/>
      </c>
      <c r="J63" s="7" t="str">
        <f t="shared" si="28"/>
        <v/>
      </c>
      <c r="K63" s="7" t="str">
        <f t="shared" si="28"/>
        <v/>
      </c>
      <c r="L63" s="7" t="str">
        <f t="shared" si="28"/>
        <v/>
      </c>
      <c r="M63" s="7" t="str">
        <f t="shared" si="28"/>
        <v/>
      </c>
      <c r="N63" s="7" t="str">
        <f t="shared" si="28"/>
        <v/>
      </c>
      <c r="O63" s="7" t="str">
        <f t="shared" si="28"/>
        <v/>
      </c>
      <c r="P63" s="7" t="str">
        <f t="shared" si="28"/>
        <v/>
      </c>
      <c r="Q63" s="7" t="str">
        <f t="shared" si="28"/>
        <v/>
      </c>
      <c r="R63" s="7" t="str">
        <f t="shared" si="28"/>
        <v/>
      </c>
      <c r="S63" s="7" t="str">
        <f t="shared" si="28"/>
        <v/>
      </c>
      <c r="T63" s="7" t="str">
        <f t="shared" si="28"/>
        <v/>
      </c>
      <c r="U63" s="8" t="str">
        <f t="shared" si="9"/>
        <v/>
      </c>
      <c r="V63" s="8" t="str">
        <f t="shared" si="9"/>
        <v/>
      </c>
      <c r="W63" s="7" t="str">
        <f t="shared" si="29"/>
        <v/>
      </c>
      <c r="X63" s="7" t="str">
        <f t="shared" si="29"/>
        <v/>
      </c>
      <c r="Y63" s="10" t="str">
        <f t="shared" si="3"/>
        <v/>
      </c>
      <c r="Z63" s="10" t="str">
        <f t="shared" si="10"/>
        <v/>
      </c>
      <c r="AA63" s="10" t="str">
        <f t="shared" si="11"/>
        <v/>
      </c>
      <c r="AB63" s="10" t="str">
        <f t="shared" si="12"/>
        <v/>
      </c>
      <c r="AC63" s="10" t="str">
        <f t="shared" si="13"/>
        <v/>
      </c>
      <c r="AD63" s="10" t="str">
        <f t="shared" si="14"/>
        <v/>
      </c>
      <c r="AE63" s="10" t="str">
        <f t="shared" si="25"/>
        <v/>
      </c>
      <c r="AF63" s="10" t="str">
        <f t="shared" si="26"/>
        <v/>
      </c>
      <c r="AG63" s="10" t="str">
        <f t="shared" si="15"/>
        <v/>
      </c>
      <c r="AH63" s="10" t="str">
        <f t="shared" si="6"/>
        <v/>
      </c>
      <c r="AI63" s="10" t="str">
        <f t="shared" si="7"/>
        <v/>
      </c>
      <c r="AJ63" s="10" t="str">
        <f t="shared" si="16"/>
        <v/>
      </c>
      <c r="AK63" s="10" t="str">
        <f t="shared" si="27"/>
        <v/>
      </c>
      <c r="AL63" s="10" t="str">
        <f t="shared" si="17"/>
        <v/>
      </c>
      <c r="AM63" s="10" t="str">
        <f t="shared" si="18"/>
        <v/>
      </c>
      <c r="AN63" s="10" t="str">
        <f t="shared" si="19"/>
        <v/>
      </c>
      <c r="AO63" s="10" t="str">
        <f t="shared" si="20"/>
        <v/>
      </c>
      <c r="AP63" s="10" t="str">
        <f t="shared" si="21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8"/>
        <v/>
      </c>
      <c r="J64" s="7" t="str">
        <f t="shared" si="28"/>
        <v/>
      </c>
      <c r="K64" s="7" t="str">
        <f t="shared" si="28"/>
        <v/>
      </c>
      <c r="L64" s="7" t="str">
        <f t="shared" si="28"/>
        <v/>
      </c>
      <c r="M64" s="7" t="str">
        <f t="shared" si="28"/>
        <v/>
      </c>
      <c r="N64" s="7" t="str">
        <f t="shared" si="28"/>
        <v/>
      </c>
      <c r="O64" s="7" t="str">
        <f t="shared" si="28"/>
        <v/>
      </c>
      <c r="P64" s="7" t="str">
        <f t="shared" si="28"/>
        <v/>
      </c>
      <c r="Q64" s="7" t="str">
        <f t="shared" si="28"/>
        <v/>
      </c>
      <c r="R64" s="7" t="str">
        <f t="shared" si="28"/>
        <v/>
      </c>
      <c r="S64" s="7" t="str">
        <f t="shared" si="28"/>
        <v/>
      </c>
      <c r="T64" s="7" t="str">
        <f t="shared" si="28"/>
        <v/>
      </c>
      <c r="U64" s="8" t="str">
        <f t="shared" si="9"/>
        <v/>
      </c>
      <c r="V64" s="8" t="str">
        <f t="shared" si="9"/>
        <v/>
      </c>
      <c r="W64" s="7" t="str">
        <f t="shared" si="29"/>
        <v/>
      </c>
      <c r="X64" s="7" t="str">
        <f t="shared" si="29"/>
        <v/>
      </c>
      <c r="Y64" s="10" t="str">
        <f t="shared" si="3"/>
        <v/>
      </c>
      <c r="Z64" s="10" t="str">
        <f t="shared" si="10"/>
        <v/>
      </c>
      <c r="AA64" s="10" t="str">
        <f t="shared" si="11"/>
        <v/>
      </c>
      <c r="AB64" s="10" t="str">
        <f t="shared" si="12"/>
        <v/>
      </c>
      <c r="AC64" s="10" t="str">
        <f t="shared" si="13"/>
        <v/>
      </c>
      <c r="AD64" s="10" t="str">
        <f t="shared" si="14"/>
        <v/>
      </c>
      <c r="AE64" s="10" t="str">
        <f t="shared" si="25"/>
        <v/>
      </c>
      <c r="AF64" s="10" t="str">
        <f t="shared" si="26"/>
        <v/>
      </c>
      <c r="AG64" s="10" t="str">
        <f t="shared" si="15"/>
        <v/>
      </c>
      <c r="AH64" s="10" t="str">
        <f t="shared" si="6"/>
        <v/>
      </c>
      <c r="AI64" s="10" t="str">
        <f t="shared" si="7"/>
        <v/>
      </c>
      <c r="AJ64" s="10" t="str">
        <f t="shared" si="16"/>
        <v/>
      </c>
      <c r="AK64" s="10" t="str">
        <f t="shared" si="27"/>
        <v/>
      </c>
      <c r="AL64" s="10" t="str">
        <f t="shared" si="17"/>
        <v/>
      </c>
      <c r="AM64" s="10" t="str">
        <f t="shared" si="18"/>
        <v/>
      </c>
      <c r="AN64" s="10" t="str">
        <f t="shared" si="19"/>
        <v/>
      </c>
      <c r="AO64" s="10" t="str">
        <f t="shared" si="20"/>
        <v/>
      </c>
      <c r="AP64" s="10" t="str">
        <f t="shared" si="21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8"/>
        <v/>
      </c>
      <c r="J65" s="7" t="str">
        <f t="shared" si="28"/>
        <v/>
      </c>
      <c r="K65" s="7" t="str">
        <f t="shared" si="28"/>
        <v/>
      </c>
      <c r="L65" s="7" t="str">
        <f t="shared" si="28"/>
        <v/>
      </c>
      <c r="M65" s="7" t="str">
        <f t="shared" si="28"/>
        <v/>
      </c>
      <c r="N65" s="7" t="str">
        <f t="shared" si="28"/>
        <v/>
      </c>
      <c r="O65" s="7" t="str">
        <f t="shared" si="28"/>
        <v/>
      </c>
      <c r="P65" s="7" t="str">
        <f t="shared" si="28"/>
        <v/>
      </c>
      <c r="Q65" s="7" t="str">
        <f t="shared" si="28"/>
        <v/>
      </c>
      <c r="R65" s="7" t="str">
        <f t="shared" si="28"/>
        <v/>
      </c>
      <c r="S65" s="7" t="str">
        <f t="shared" si="28"/>
        <v/>
      </c>
      <c r="T65" s="7" t="str">
        <f t="shared" si="28"/>
        <v/>
      </c>
      <c r="U65" s="8" t="str">
        <f t="shared" si="9"/>
        <v/>
      </c>
      <c r="V65" s="8" t="str">
        <f t="shared" si="9"/>
        <v/>
      </c>
      <c r="W65" s="7" t="str">
        <f t="shared" si="29"/>
        <v/>
      </c>
      <c r="X65" s="7" t="str">
        <f t="shared" si="29"/>
        <v/>
      </c>
      <c r="Y65" s="10" t="str">
        <f t="shared" si="3"/>
        <v/>
      </c>
      <c r="Z65" s="10" t="str">
        <f t="shared" si="10"/>
        <v/>
      </c>
      <c r="AA65" s="10" t="str">
        <f t="shared" si="11"/>
        <v/>
      </c>
      <c r="AB65" s="10" t="str">
        <f t="shared" si="12"/>
        <v/>
      </c>
      <c r="AC65" s="10" t="str">
        <f t="shared" si="13"/>
        <v/>
      </c>
      <c r="AD65" s="10" t="str">
        <f t="shared" si="14"/>
        <v/>
      </c>
      <c r="AE65" s="10" t="str">
        <f t="shared" si="25"/>
        <v/>
      </c>
      <c r="AF65" s="10" t="str">
        <f t="shared" si="26"/>
        <v/>
      </c>
      <c r="AG65" s="10" t="str">
        <f t="shared" si="15"/>
        <v/>
      </c>
      <c r="AH65" s="10" t="str">
        <f t="shared" si="6"/>
        <v/>
      </c>
      <c r="AI65" s="10" t="str">
        <f t="shared" si="7"/>
        <v/>
      </c>
      <c r="AJ65" s="10" t="str">
        <f t="shared" si="16"/>
        <v/>
      </c>
      <c r="AK65" s="10" t="str">
        <f t="shared" si="27"/>
        <v/>
      </c>
      <c r="AL65" s="10" t="str">
        <f t="shared" si="17"/>
        <v/>
      </c>
      <c r="AM65" s="10" t="str">
        <f t="shared" si="18"/>
        <v/>
      </c>
      <c r="AN65" s="10" t="str">
        <f t="shared" si="19"/>
        <v/>
      </c>
      <c r="AO65" s="10" t="str">
        <f t="shared" si="20"/>
        <v/>
      </c>
      <c r="AP65" s="10" t="str">
        <f t="shared" si="21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8"/>
        <v/>
      </c>
      <c r="J66" s="7" t="str">
        <f t="shared" si="28"/>
        <v/>
      </c>
      <c r="K66" s="7" t="str">
        <f t="shared" si="28"/>
        <v/>
      </c>
      <c r="L66" s="7" t="str">
        <f t="shared" si="28"/>
        <v/>
      </c>
      <c r="M66" s="7" t="str">
        <f t="shared" si="28"/>
        <v/>
      </c>
      <c r="N66" s="7" t="str">
        <f t="shared" si="28"/>
        <v/>
      </c>
      <c r="O66" s="7" t="str">
        <f t="shared" si="28"/>
        <v/>
      </c>
      <c r="P66" s="7" t="str">
        <f t="shared" si="28"/>
        <v/>
      </c>
      <c r="Q66" s="7" t="str">
        <f t="shared" si="28"/>
        <v/>
      </c>
      <c r="R66" s="7" t="str">
        <f t="shared" si="28"/>
        <v/>
      </c>
      <c r="S66" s="7" t="str">
        <f t="shared" si="28"/>
        <v/>
      </c>
      <c r="T66" s="7" t="str">
        <f t="shared" si="28"/>
        <v/>
      </c>
      <c r="U66" s="8" t="str">
        <f t="shared" si="9"/>
        <v/>
      </c>
      <c r="V66" s="8" t="str">
        <f t="shared" si="9"/>
        <v/>
      </c>
      <c r="W66" s="7" t="str">
        <f t="shared" si="29"/>
        <v/>
      </c>
      <c r="X66" s="7" t="str">
        <f t="shared" si="29"/>
        <v/>
      </c>
      <c r="Y66" s="10" t="str">
        <f t="shared" si="3"/>
        <v/>
      </c>
      <c r="Z66" s="10" t="str">
        <f t="shared" si="10"/>
        <v/>
      </c>
      <c r="AA66" s="10" t="str">
        <f t="shared" si="11"/>
        <v/>
      </c>
      <c r="AB66" s="10" t="str">
        <f t="shared" si="12"/>
        <v/>
      </c>
      <c r="AC66" s="10" t="str">
        <f t="shared" si="13"/>
        <v/>
      </c>
      <c r="AD66" s="10" t="str">
        <f t="shared" si="14"/>
        <v/>
      </c>
      <c r="AE66" s="10" t="str">
        <f t="shared" si="25"/>
        <v/>
      </c>
      <c r="AF66" s="10" t="str">
        <f t="shared" si="26"/>
        <v/>
      </c>
      <c r="AG66" s="10" t="str">
        <f t="shared" si="15"/>
        <v/>
      </c>
      <c r="AH66" s="10" t="str">
        <f t="shared" si="6"/>
        <v/>
      </c>
      <c r="AI66" s="10" t="str">
        <f t="shared" si="7"/>
        <v/>
      </c>
      <c r="AJ66" s="10" t="str">
        <f t="shared" si="16"/>
        <v/>
      </c>
      <c r="AK66" s="10" t="str">
        <f t="shared" si="27"/>
        <v/>
      </c>
      <c r="AL66" s="10" t="str">
        <f t="shared" si="17"/>
        <v/>
      </c>
      <c r="AM66" s="10" t="str">
        <f t="shared" si="18"/>
        <v/>
      </c>
      <c r="AN66" s="10" t="str">
        <f t="shared" si="19"/>
        <v/>
      </c>
      <c r="AO66" s="10" t="str">
        <f t="shared" si="20"/>
        <v/>
      </c>
      <c r="AP66" s="10" t="str">
        <f t="shared" si="21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8"/>
        <v/>
      </c>
      <c r="J67" s="7" t="str">
        <f t="shared" si="28"/>
        <v/>
      </c>
      <c r="K67" s="7" t="str">
        <f t="shared" si="28"/>
        <v/>
      </c>
      <c r="L67" s="7" t="str">
        <f t="shared" si="28"/>
        <v/>
      </c>
      <c r="M67" s="7" t="str">
        <f t="shared" si="28"/>
        <v/>
      </c>
      <c r="N67" s="7" t="str">
        <f t="shared" si="28"/>
        <v/>
      </c>
      <c r="O67" s="7" t="str">
        <f t="shared" si="28"/>
        <v/>
      </c>
      <c r="P67" s="7" t="str">
        <f t="shared" si="28"/>
        <v/>
      </c>
      <c r="Q67" s="7" t="str">
        <f t="shared" si="28"/>
        <v/>
      </c>
      <c r="R67" s="7" t="str">
        <f t="shared" si="28"/>
        <v/>
      </c>
      <c r="S67" s="7" t="str">
        <f t="shared" si="28"/>
        <v/>
      </c>
      <c r="T67" s="7" t="str">
        <f t="shared" si="28"/>
        <v/>
      </c>
      <c r="U67" s="8" t="str">
        <f t="shared" si="9"/>
        <v/>
      </c>
      <c r="V67" s="8" t="str">
        <f t="shared" si="9"/>
        <v/>
      </c>
      <c r="W67" s="7" t="str">
        <f t="shared" si="29"/>
        <v/>
      </c>
      <c r="X67" s="7" t="str">
        <f t="shared" si="29"/>
        <v/>
      </c>
      <c r="Y67" s="10" t="str">
        <f t="shared" si="3"/>
        <v/>
      </c>
      <c r="Z67" s="10" t="str">
        <f t="shared" si="10"/>
        <v/>
      </c>
      <c r="AA67" s="10" t="str">
        <f t="shared" si="11"/>
        <v/>
      </c>
      <c r="AB67" s="10" t="str">
        <f t="shared" si="12"/>
        <v/>
      </c>
      <c r="AC67" s="10" t="str">
        <f t="shared" si="13"/>
        <v/>
      </c>
      <c r="AD67" s="10" t="str">
        <f t="shared" si="14"/>
        <v/>
      </c>
      <c r="AE67" s="10" t="str">
        <f t="shared" si="25"/>
        <v/>
      </c>
      <c r="AF67" s="10" t="str">
        <f t="shared" si="26"/>
        <v/>
      </c>
      <c r="AG67" s="10" t="str">
        <f t="shared" si="15"/>
        <v/>
      </c>
      <c r="AH67" s="10" t="str">
        <f t="shared" si="6"/>
        <v/>
      </c>
      <c r="AI67" s="10" t="str">
        <f t="shared" si="7"/>
        <v/>
      </c>
      <c r="AJ67" s="10" t="str">
        <f t="shared" si="16"/>
        <v/>
      </c>
      <c r="AK67" s="10" t="str">
        <f t="shared" si="27"/>
        <v/>
      </c>
      <c r="AL67" s="10" t="str">
        <f t="shared" si="17"/>
        <v/>
      </c>
      <c r="AM67" s="10" t="str">
        <f t="shared" si="18"/>
        <v/>
      </c>
      <c r="AN67" s="10" t="str">
        <f t="shared" si="19"/>
        <v/>
      </c>
      <c r="AO67" s="10" t="str">
        <f t="shared" si="20"/>
        <v/>
      </c>
      <c r="AP67" s="10" t="str">
        <f t="shared" si="21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8"/>
        <v/>
      </c>
      <c r="J68" s="7" t="str">
        <f t="shared" si="28"/>
        <v/>
      </c>
      <c r="K68" s="7" t="str">
        <f t="shared" si="28"/>
        <v/>
      </c>
      <c r="L68" s="7" t="str">
        <f t="shared" si="28"/>
        <v/>
      </c>
      <c r="M68" s="7" t="str">
        <f t="shared" si="28"/>
        <v/>
      </c>
      <c r="N68" s="7" t="str">
        <f t="shared" si="28"/>
        <v/>
      </c>
      <c r="O68" s="7" t="str">
        <f t="shared" si="28"/>
        <v/>
      </c>
      <c r="P68" s="7" t="str">
        <f t="shared" si="28"/>
        <v/>
      </c>
      <c r="Q68" s="7" t="str">
        <f t="shared" si="28"/>
        <v/>
      </c>
      <c r="R68" s="7" t="str">
        <f t="shared" si="28"/>
        <v/>
      </c>
      <c r="S68" s="7" t="str">
        <f t="shared" si="28"/>
        <v/>
      </c>
      <c r="T68" s="7" t="str">
        <f t="shared" si="28"/>
        <v/>
      </c>
      <c r="U68" s="8" t="str">
        <f t="shared" si="9"/>
        <v/>
      </c>
      <c r="V68" s="8" t="str">
        <f t="shared" si="9"/>
        <v/>
      </c>
      <c r="W68" s="7" t="str">
        <f t="shared" si="29"/>
        <v/>
      </c>
      <c r="X68" s="7" t="str">
        <f t="shared" si="29"/>
        <v/>
      </c>
      <c r="Y68" s="10" t="str">
        <f t="shared" si="3"/>
        <v/>
      </c>
      <c r="Z68" s="10" t="str">
        <f t="shared" si="10"/>
        <v/>
      </c>
      <c r="AA68" s="10" t="str">
        <f t="shared" si="11"/>
        <v/>
      </c>
      <c r="AB68" s="10" t="str">
        <f t="shared" si="12"/>
        <v/>
      </c>
      <c r="AC68" s="10" t="str">
        <f t="shared" si="13"/>
        <v/>
      </c>
      <c r="AD68" s="10" t="str">
        <f t="shared" si="14"/>
        <v/>
      </c>
      <c r="AE68" s="10" t="str">
        <f t="shared" si="25"/>
        <v/>
      </c>
      <c r="AF68" s="10" t="str">
        <f t="shared" si="26"/>
        <v/>
      </c>
      <c r="AG68" s="10" t="str">
        <f t="shared" si="15"/>
        <v/>
      </c>
      <c r="AH68" s="10" t="str">
        <f t="shared" si="6"/>
        <v/>
      </c>
      <c r="AI68" s="10" t="str">
        <f t="shared" si="7"/>
        <v/>
      </c>
      <c r="AJ68" s="10" t="str">
        <f t="shared" si="16"/>
        <v/>
      </c>
      <c r="AK68" s="10" t="str">
        <f t="shared" si="27"/>
        <v/>
      </c>
      <c r="AL68" s="10" t="str">
        <f t="shared" si="17"/>
        <v/>
      </c>
      <c r="AM68" s="10" t="str">
        <f t="shared" si="18"/>
        <v/>
      </c>
      <c r="AN68" s="10" t="str">
        <f t="shared" si="19"/>
        <v/>
      </c>
      <c r="AO68" s="10" t="str">
        <f t="shared" si="20"/>
        <v/>
      </c>
      <c r="AP68" s="10" t="str">
        <f t="shared" si="21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8"/>
        <v/>
      </c>
      <c r="J69" s="7" t="str">
        <f t="shared" si="28"/>
        <v/>
      </c>
      <c r="K69" s="7" t="str">
        <f t="shared" si="28"/>
        <v/>
      </c>
      <c r="L69" s="7" t="str">
        <f t="shared" si="28"/>
        <v/>
      </c>
      <c r="M69" s="7" t="str">
        <f t="shared" si="28"/>
        <v/>
      </c>
      <c r="N69" s="7" t="str">
        <f t="shared" si="28"/>
        <v/>
      </c>
      <c r="O69" s="7" t="str">
        <f t="shared" si="28"/>
        <v/>
      </c>
      <c r="P69" s="7" t="str">
        <f t="shared" si="28"/>
        <v/>
      </c>
      <c r="Q69" s="7" t="str">
        <f t="shared" si="28"/>
        <v/>
      </c>
      <c r="R69" s="7" t="str">
        <f t="shared" si="28"/>
        <v/>
      </c>
      <c r="S69" s="7" t="str">
        <f t="shared" si="28"/>
        <v/>
      </c>
      <c r="T69" s="7" t="str">
        <f t="shared" si="28"/>
        <v/>
      </c>
      <c r="U69" s="8" t="str">
        <f t="shared" si="9"/>
        <v/>
      </c>
      <c r="V69" s="8" t="str">
        <f t="shared" si="9"/>
        <v/>
      </c>
      <c r="W69" s="7" t="str">
        <f t="shared" si="29"/>
        <v/>
      </c>
      <c r="X69" s="7" t="str">
        <f t="shared" si="29"/>
        <v/>
      </c>
      <c r="Y69" s="10" t="str">
        <f t="shared" si="3"/>
        <v/>
      </c>
      <c r="Z69" s="10" t="str">
        <f t="shared" si="10"/>
        <v/>
      </c>
      <c r="AA69" s="10" t="str">
        <f t="shared" si="11"/>
        <v/>
      </c>
      <c r="AB69" s="10" t="str">
        <f t="shared" si="12"/>
        <v/>
      </c>
      <c r="AC69" s="10" t="str">
        <f t="shared" si="13"/>
        <v/>
      </c>
      <c r="AD69" s="10" t="str">
        <f t="shared" si="14"/>
        <v/>
      </c>
      <c r="AE69" s="10" t="str">
        <f t="shared" si="25"/>
        <v/>
      </c>
      <c r="AF69" s="10" t="str">
        <f t="shared" si="26"/>
        <v/>
      </c>
      <c r="AG69" s="10" t="str">
        <f t="shared" si="15"/>
        <v/>
      </c>
      <c r="AH69" s="10" t="str">
        <f t="shared" si="6"/>
        <v/>
      </c>
      <c r="AI69" s="10" t="str">
        <f t="shared" si="7"/>
        <v/>
      </c>
      <c r="AJ69" s="10" t="str">
        <f t="shared" si="16"/>
        <v/>
      </c>
      <c r="AK69" s="10" t="str">
        <f t="shared" si="27"/>
        <v/>
      </c>
      <c r="AL69" s="10" t="str">
        <f t="shared" si="17"/>
        <v/>
      </c>
      <c r="AM69" s="10" t="str">
        <f t="shared" si="18"/>
        <v/>
      </c>
      <c r="AN69" s="10" t="str">
        <f t="shared" si="19"/>
        <v/>
      </c>
      <c r="AO69" s="10" t="str">
        <f t="shared" si="20"/>
        <v/>
      </c>
      <c r="AP69" s="10" t="str">
        <f t="shared" si="21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8"/>
        <v/>
      </c>
      <c r="J70" s="7" t="str">
        <f t="shared" si="28"/>
        <v/>
      </c>
      <c r="K70" s="7" t="str">
        <f t="shared" si="28"/>
        <v/>
      </c>
      <c r="L70" s="7" t="str">
        <f t="shared" si="28"/>
        <v/>
      </c>
      <c r="M70" s="7" t="str">
        <f t="shared" si="28"/>
        <v/>
      </c>
      <c r="N70" s="7" t="str">
        <f t="shared" si="28"/>
        <v/>
      </c>
      <c r="O70" s="7" t="str">
        <f t="shared" si="28"/>
        <v/>
      </c>
      <c r="P70" s="7" t="str">
        <f t="shared" si="28"/>
        <v/>
      </c>
      <c r="Q70" s="7" t="str">
        <f t="shared" si="28"/>
        <v/>
      </c>
      <c r="R70" s="7" t="str">
        <f t="shared" si="28"/>
        <v/>
      </c>
      <c r="S70" s="7" t="str">
        <f t="shared" si="28"/>
        <v/>
      </c>
      <c r="T70" s="7" t="str">
        <f t="shared" si="28"/>
        <v/>
      </c>
      <c r="U70" s="8" t="str">
        <f t="shared" si="9"/>
        <v/>
      </c>
      <c r="V70" s="8" t="str">
        <f t="shared" si="9"/>
        <v/>
      </c>
      <c r="W70" s="7" t="str">
        <f t="shared" si="29"/>
        <v/>
      </c>
      <c r="X70" s="7" t="str">
        <f t="shared" si="29"/>
        <v/>
      </c>
      <c r="Y70" s="10" t="str">
        <f t="shared" si="3"/>
        <v/>
      </c>
      <c r="Z70" s="10" t="str">
        <f t="shared" si="10"/>
        <v/>
      </c>
      <c r="AA70" s="10" t="str">
        <f t="shared" si="11"/>
        <v/>
      </c>
      <c r="AB70" s="10" t="str">
        <f t="shared" si="12"/>
        <v/>
      </c>
      <c r="AC70" s="10" t="str">
        <f t="shared" si="13"/>
        <v/>
      </c>
      <c r="AD70" s="10" t="str">
        <f t="shared" si="14"/>
        <v/>
      </c>
      <c r="AE70" s="10" t="str">
        <f t="shared" si="25"/>
        <v/>
      </c>
      <c r="AF70" s="10" t="str">
        <f t="shared" si="26"/>
        <v/>
      </c>
      <c r="AG70" s="10" t="str">
        <f t="shared" si="15"/>
        <v/>
      </c>
      <c r="AH70" s="10" t="str">
        <f t="shared" si="6"/>
        <v/>
      </c>
      <c r="AI70" s="10" t="str">
        <f t="shared" si="7"/>
        <v/>
      </c>
      <c r="AJ70" s="10" t="str">
        <f t="shared" si="16"/>
        <v/>
      </c>
      <c r="AK70" s="10" t="str">
        <f t="shared" si="27"/>
        <v/>
      </c>
      <c r="AL70" s="10" t="str">
        <f t="shared" si="17"/>
        <v/>
      </c>
      <c r="AM70" s="10" t="str">
        <f t="shared" si="18"/>
        <v/>
      </c>
      <c r="AN70" s="10" t="str">
        <f t="shared" si="19"/>
        <v/>
      </c>
      <c r="AO70" s="10" t="str">
        <f t="shared" si="20"/>
        <v/>
      </c>
      <c r="AP70" s="10" t="str">
        <f t="shared" si="21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8"/>
        <v/>
      </c>
      <c r="J71" s="7" t="str">
        <f t="shared" si="28"/>
        <v/>
      </c>
      <c r="K71" s="7" t="str">
        <f t="shared" si="28"/>
        <v/>
      </c>
      <c r="L71" s="7" t="str">
        <f t="shared" si="28"/>
        <v/>
      </c>
      <c r="M71" s="7" t="str">
        <f t="shared" si="28"/>
        <v/>
      </c>
      <c r="N71" s="7" t="str">
        <f t="shared" si="28"/>
        <v/>
      </c>
      <c r="O71" s="7" t="str">
        <f t="shared" si="28"/>
        <v/>
      </c>
      <c r="P71" s="7" t="str">
        <f t="shared" si="28"/>
        <v/>
      </c>
      <c r="Q71" s="7" t="str">
        <f t="shared" si="28"/>
        <v/>
      </c>
      <c r="R71" s="7" t="str">
        <f t="shared" si="28"/>
        <v/>
      </c>
      <c r="S71" s="7" t="str">
        <f t="shared" si="28"/>
        <v/>
      </c>
      <c r="T71" s="7" t="str">
        <f t="shared" si="28"/>
        <v/>
      </c>
      <c r="U71" s="8" t="str">
        <f t="shared" si="9"/>
        <v/>
      </c>
      <c r="V71" s="8" t="str">
        <f t="shared" si="9"/>
        <v/>
      </c>
      <c r="W71" s="7" t="str">
        <f t="shared" si="29"/>
        <v/>
      </c>
      <c r="X71" s="7" t="str">
        <f t="shared" si="29"/>
        <v/>
      </c>
      <c r="Y71" s="10" t="str">
        <f t="shared" si="3"/>
        <v/>
      </c>
      <c r="Z71" s="10" t="str">
        <f t="shared" si="10"/>
        <v/>
      </c>
      <c r="AA71" s="10" t="str">
        <f t="shared" si="11"/>
        <v/>
      </c>
      <c r="AB71" s="10" t="str">
        <f t="shared" si="12"/>
        <v/>
      </c>
      <c r="AC71" s="10" t="str">
        <f t="shared" si="13"/>
        <v/>
      </c>
      <c r="AD71" s="10" t="str">
        <f t="shared" si="14"/>
        <v/>
      </c>
      <c r="AE71" s="10" t="str">
        <f t="shared" si="25"/>
        <v/>
      </c>
      <c r="AF71" s="10" t="str">
        <f t="shared" si="26"/>
        <v/>
      </c>
      <c r="AG71" s="10" t="str">
        <f t="shared" si="15"/>
        <v/>
      </c>
      <c r="AH71" s="10" t="str">
        <f t="shared" si="6"/>
        <v/>
      </c>
      <c r="AI71" s="10" t="str">
        <f t="shared" si="7"/>
        <v/>
      </c>
      <c r="AJ71" s="10" t="str">
        <f t="shared" si="16"/>
        <v/>
      </c>
      <c r="AK71" s="10" t="str">
        <f t="shared" si="27"/>
        <v/>
      </c>
      <c r="AL71" s="10" t="str">
        <f t="shared" si="17"/>
        <v/>
      </c>
      <c r="AM71" s="10" t="str">
        <f t="shared" si="18"/>
        <v/>
      </c>
      <c r="AN71" s="10" t="str">
        <f t="shared" si="19"/>
        <v/>
      </c>
      <c r="AO71" s="10" t="str">
        <f t="shared" si="20"/>
        <v/>
      </c>
      <c r="AP71" s="10" t="str">
        <f t="shared" si="21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8"/>
        <v/>
      </c>
      <c r="J72" s="7" t="str">
        <f t="shared" si="28"/>
        <v/>
      </c>
      <c r="K72" s="7" t="str">
        <f t="shared" si="28"/>
        <v/>
      </c>
      <c r="L72" s="7" t="str">
        <f t="shared" si="28"/>
        <v/>
      </c>
      <c r="M72" s="7" t="str">
        <f t="shared" si="28"/>
        <v/>
      </c>
      <c r="N72" s="7" t="str">
        <f t="shared" si="28"/>
        <v/>
      </c>
      <c r="O72" s="7" t="str">
        <f t="shared" si="28"/>
        <v/>
      </c>
      <c r="P72" s="7" t="str">
        <f t="shared" si="28"/>
        <v/>
      </c>
      <c r="Q72" s="7" t="str">
        <f t="shared" si="28"/>
        <v/>
      </c>
      <c r="R72" s="7" t="str">
        <f t="shared" si="28"/>
        <v/>
      </c>
      <c r="S72" s="7" t="str">
        <f t="shared" si="28"/>
        <v/>
      </c>
      <c r="T72" s="7" t="str">
        <f t="shared" si="28"/>
        <v/>
      </c>
      <c r="U72" s="8" t="str">
        <f t="shared" si="9"/>
        <v/>
      </c>
      <c r="V72" s="8" t="str">
        <f t="shared" si="9"/>
        <v/>
      </c>
      <c r="W72" s="7" t="str">
        <f t="shared" si="29"/>
        <v/>
      </c>
      <c r="X72" s="7" t="str">
        <f t="shared" si="29"/>
        <v/>
      </c>
      <c r="Y72" s="10" t="str">
        <f t="shared" si="3"/>
        <v/>
      </c>
      <c r="Z72" s="10" t="str">
        <f t="shared" si="10"/>
        <v/>
      </c>
      <c r="AA72" s="10" t="str">
        <f t="shared" si="11"/>
        <v/>
      </c>
      <c r="AB72" s="10" t="str">
        <f t="shared" si="12"/>
        <v/>
      </c>
      <c r="AC72" s="10" t="str">
        <f t="shared" si="13"/>
        <v/>
      </c>
      <c r="AD72" s="10" t="str">
        <f t="shared" si="14"/>
        <v/>
      </c>
      <c r="AE72" s="10" t="str">
        <f t="shared" si="25"/>
        <v/>
      </c>
      <c r="AF72" s="10" t="str">
        <f t="shared" si="26"/>
        <v/>
      </c>
      <c r="AG72" s="10" t="str">
        <f t="shared" si="15"/>
        <v/>
      </c>
      <c r="AH72" s="10" t="str">
        <f t="shared" si="6"/>
        <v/>
      </c>
      <c r="AI72" s="10" t="str">
        <f t="shared" si="7"/>
        <v/>
      </c>
      <c r="AJ72" s="10" t="str">
        <f t="shared" si="16"/>
        <v/>
      </c>
      <c r="AK72" s="10" t="str">
        <f t="shared" si="27"/>
        <v/>
      </c>
      <c r="AL72" s="10" t="str">
        <f t="shared" si="17"/>
        <v/>
      </c>
      <c r="AM72" s="10" t="str">
        <f t="shared" si="18"/>
        <v/>
      </c>
      <c r="AN72" s="10" t="str">
        <f t="shared" si="19"/>
        <v/>
      </c>
      <c r="AO72" s="10" t="str">
        <f t="shared" si="20"/>
        <v/>
      </c>
      <c r="AP72" s="10" t="str">
        <f t="shared" si="21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8"/>
        <v/>
      </c>
      <c r="J73" s="7" t="str">
        <f t="shared" si="28"/>
        <v/>
      </c>
      <c r="K73" s="7" t="str">
        <f t="shared" si="28"/>
        <v/>
      </c>
      <c r="L73" s="7" t="str">
        <f t="shared" si="28"/>
        <v/>
      </c>
      <c r="M73" s="7" t="str">
        <f t="shared" si="28"/>
        <v/>
      </c>
      <c r="N73" s="7" t="str">
        <f t="shared" si="28"/>
        <v/>
      </c>
      <c r="O73" s="7" t="str">
        <f t="shared" si="28"/>
        <v/>
      </c>
      <c r="P73" s="7" t="str">
        <f t="shared" si="28"/>
        <v/>
      </c>
      <c r="Q73" s="7" t="str">
        <f t="shared" si="28"/>
        <v/>
      </c>
      <c r="R73" s="7" t="str">
        <f t="shared" ref="R73:T109" si="30">IF($G73="","",IF($G73=1,(($C$2+$H73)*R$3)*(1+(R$4-R$5)),((R72+($H73*R$3))*(1+(R$4-R$5)))))</f>
        <v/>
      </c>
      <c r="S73" s="7" t="str">
        <f t="shared" si="30"/>
        <v/>
      </c>
      <c r="T73" s="7" t="str">
        <f t="shared" si="30"/>
        <v/>
      </c>
      <c r="U73" s="8" t="str">
        <f t="shared" si="9"/>
        <v/>
      </c>
      <c r="V73" s="8" t="str">
        <f t="shared" si="9"/>
        <v/>
      </c>
      <c r="W73" s="7" t="str">
        <f t="shared" ref="W73:X88" si="31">IF($G73="","",IF($G73=1,(($C$2+$H73)*W$3)*(1+(W$4-W$5)),((W72+($H73*W$3))*(1+(W$4-W$5)))))</f>
        <v/>
      </c>
      <c r="X73" s="7" t="str">
        <f t="shared" si="31"/>
        <v/>
      </c>
      <c r="Y73" s="10" t="str">
        <f t="shared" si="3"/>
        <v/>
      </c>
      <c r="Z73" s="10" t="str">
        <f t="shared" si="10"/>
        <v/>
      </c>
      <c r="AA73" s="10" t="str">
        <f t="shared" si="11"/>
        <v/>
      </c>
      <c r="AB73" s="10" t="str">
        <f t="shared" si="12"/>
        <v/>
      </c>
      <c r="AC73" s="10" t="str">
        <f t="shared" si="13"/>
        <v/>
      </c>
      <c r="AD73" s="10" t="str">
        <f t="shared" si="14"/>
        <v/>
      </c>
      <c r="AE73" s="10" t="str">
        <f t="shared" si="25"/>
        <v/>
      </c>
      <c r="AF73" s="10" t="str">
        <f t="shared" si="26"/>
        <v/>
      </c>
      <c r="AG73" s="10" t="str">
        <f t="shared" si="15"/>
        <v/>
      </c>
      <c r="AH73" s="10" t="str">
        <f t="shared" si="6"/>
        <v/>
      </c>
      <c r="AI73" s="10" t="str">
        <f t="shared" si="7"/>
        <v/>
      </c>
      <c r="AJ73" s="10" t="str">
        <f t="shared" si="16"/>
        <v/>
      </c>
      <c r="AK73" s="10" t="str">
        <f t="shared" si="27"/>
        <v/>
      </c>
      <c r="AL73" s="10" t="str">
        <f t="shared" si="17"/>
        <v/>
      </c>
      <c r="AM73" s="10" t="str">
        <f t="shared" si="18"/>
        <v/>
      </c>
      <c r="AN73" s="10" t="str">
        <f t="shared" si="19"/>
        <v/>
      </c>
      <c r="AO73" s="10" t="str">
        <f t="shared" si="20"/>
        <v/>
      </c>
      <c r="AP73" s="10" t="str">
        <f t="shared" si="21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0"/>
        <v/>
      </c>
      <c r="S74" s="7" t="str">
        <f t="shared" si="32"/>
        <v/>
      </c>
      <c r="T74" s="7" t="str">
        <f t="shared" si="30"/>
        <v/>
      </c>
      <c r="U74" s="8" t="str">
        <f t="shared" si="9"/>
        <v/>
      </c>
      <c r="V74" s="8" t="str">
        <f t="shared" si="9"/>
        <v/>
      </c>
      <c r="W74" s="7" t="str">
        <f t="shared" si="31"/>
        <v/>
      </c>
      <c r="X74" s="7" t="str">
        <f t="shared" si="31"/>
        <v/>
      </c>
      <c r="Y74" s="10" t="str">
        <f t="shared" ref="Y74:Y109" si="33">IF($G74="","",IF($G74=1,(U74-$C$2-H74)/($C$2+H74),(U74-U73-H74)/(U73+H74)))</f>
        <v/>
      </c>
      <c r="Z74" s="10" t="str">
        <f t="shared" si="10"/>
        <v/>
      </c>
      <c r="AA74" s="10" t="str">
        <f t="shared" si="11"/>
        <v/>
      </c>
      <c r="AB74" s="10" t="str">
        <f t="shared" si="12"/>
        <v/>
      </c>
      <c r="AC74" s="10" t="str">
        <f t="shared" si="13"/>
        <v/>
      </c>
      <c r="AD74" s="10" t="str">
        <f t="shared" si="14"/>
        <v/>
      </c>
      <c r="AE74" s="10" t="str">
        <f t="shared" ref="AE74:AE109" si="34">IF($G74="","",IF($G74=1,Y74,(1+Y74)*(1+AE73)-1))</f>
        <v/>
      </c>
      <c r="AF74" s="10" t="str">
        <f t="shared" ref="AF74:AF109" si="35">IF($G74="","",IF($G74=1,Z74,(1+Z74)*(1+AF73)-1))</f>
        <v/>
      </c>
      <c r="AG74" s="10" t="str">
        <f t="shared" si="15"/>
        <v/>
      </c>
      <c r="AH74" s="10" t="str">
        <f t="shared" ref="AH74:AH109" si="36">IF($G74="","",IF($G74=1,AB74,(1+AB74)*(1+AH73)-1))</f>
        <v/>
      </c>
      <c r="AI74" s="10" t="str">
        <f t="shared" ref="AI74:AI109" si="37">IF($G74="","",IF($G74=1,AC74,(1+AC74)*(1+AI73)-1))</f>
        <v/>
      </c>
      <c r="AJ74" s="10" t="str">
        <f t="shared" si="16"/>
        <v/>
      </c>
      <c r="AK74" s="10" t="str">
        <f t="shared" ref="AK74:AK109" si="38">IF($G74="","",(1+AE74)^(1/G74)-1)</f>
        <v/>
      </c>
      <c r="AL74" s="10" t="str">
        <f t="shared" si="17"/>
        <v/>
      </c>
      <c r="AM74" s="10" t="str">
        <f t="shared" si="18"/>
        <v/>
      </c>
      <c r="AN74" s="10" t="str">
        <f t="shared" si="19"/>
        <v/>
      </c>
      <c r="AO74" s="10" t="str">
        <f t="shared" si="20"/>
        <v/>
      </c>
      <c r="AP74" s="10" t="str">
        <f t="shared" si="21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0"/>
        <v/>
      </c>
      <c r="S75" s="7" t="str">
        <f t="shared" si="32"/>
        <v/>
      </c>
      <c r="T75" s="7" t="str">
        <f t="shared" si="30"/>
        <v/>
      </c>
      <c r="U75" s="8" t="str">
        <f t="shared" ref="U75:V109" si="39">IF(G75="","",SUM(I75,K75,M75,O75,Q75,S75))</f>
        <v/>
      </c>
      <c r="V75" s="8" t="str">
        <f t="shared" si="39"/>
        <v/>
      </c>
      <c r="W75" s="7" t="str">
        <f t="shared" si="31"/>
        <v/>
      </c>
      <c r="X75" s="7" t="str">
        <f t="shared" si="31"/>
        <v/>
      </c>
      <c r="Y75" s="10" t="str">
        <f t="shared" si="33"/>
        <v/>
      </c>
      <c r="Z75" s="10" t="str">
        <f t="shared" ref="Z75:Z109" si="40">IF($G75="","",IF($G75=1,(V75-$C$2-H75)/($C$2+H75),(V75-V74-H75)/(V74+H75)))</f>
        <v/>
      </c>
      <c r="AA75" s="10" t="str">
        <f t="shared" ref="AA75:AA109" si="41">IF($G75="","",Z75-Y75)</f>
        <v/>
      </c>
      <c r="AB75" s="10" t="str">
        <f t="shared" ref="AB75:AB109" si="42">IF($G75="","",IF($G75=1,(W75-$C$2-H75)/($C$2+H75),(W75-W74-H75)/(W74+H75)))</f>
        <v/>
      </c>
      <c r="AC75" s="10" t="str">
        <f t="shared" ref="AC75:AC109" si="43">IF($G75="","",IF($G75=1,(X75-$C$2-H75)/($C$2+H75),(X75-X74-H75)/(X74+H75)))</f>
        <v/>
      </c>
      <c r="AD75" s="10" t="str">
        <f t="shared" ref="AD75:AD109" si="44">IF($G75="","",AC75-AB75)</f>
        <v/>
      </c>
      <c r="AE75" s="10" t="str">
        <f t="shared" si="34"/>
        <v/>
      </c>
      <c r="AF75" s="10" t="str">
        <f t="shared" si="35"/>
        <v/>
      </c>
      <c r="AG75" s="10" t="str">
        <f t="shared" ref="AG75:AG109" si="45">IF($G75="","",AF75-AE75)</f>
        <v/>
      </c>
      <c r="AH75" s="10" t="str">
        <f t="shared" si="36"/>
        <v/>
      </c>
      <c r="AI75" s="10" t="str">
        <f t="shared" si="37"/>
        <v/>
      </c>
      <c r="AJ75" s="10" t="str">
        <f t="shared" ref="AJ75:AJ109" si="46">IF($G75="","",AI75-AH75)</f>
        <v/>
      </c>
      <c r="AK75" s="10" t="str">
        <f t="shared" si="38"/>
        <v/>
      </c>
      <c r="AL75" s="10" t="str">
        <f t="shared" ref="AL75:AL109" si="47">IF($G75="","",(1+AF75)^(1/G75)-1)</f>
        <v/>
      </c>
      <c r="AM75" s="10" t="str">
        <f t="shared" ref="AM75:AM109" si="48">IF($G75="","",AL75-AK75)</f>
        <v/>
      </c>
      <c r="AN75" s="10" t="str">
        <f t="shared" ref="AN75:AN109" si="49">IF($G75="","",(1+AH75)^(1/G75)-1)</f>
        <v/>
      </c>
      <c r="AO75" s="10" t="str">
        <f t="shared" ref="AO75:AO109" si="50">IF($G75="","",(1+AI75)^(1/G75)-1)</f>
        <v/>
      </c>
      <c r="AP75" s="10" t="str">
        <f t="shared" ref="AP75:AP109" si="51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0"/>
        <v/>
      </c>
      <c r="S76" s="7" t="str">
        <f t="shared" si="32"/>
        <v/>
      </c>
      <c r="T76" s="7" t="str">
        <f t="shared" si="30"/>
        <v/>
      </c>
      <c r="U76" s="8" t="str">
        <f t="shared" si="39"/>
        <v/>
      </c>
      <c r="V76" s="8" t="str">
        <f t="shared" si="39"/>
        <v/>
      </c>
      <c r="W76" s="7" t="str">
        <f t="shared" si="31"/>
        <v/>
      </c>
      <c r="X76" s="7" t="str">
        <f t="shared" si="31"/>
        <v/>
      </c>
      <c r="Y76" s="10" t="str">
        <f t="shared" si="33"/>
        <v/>
      </c>
      <c r="Z76" s="10" t="str">
        <f t="shared" si="40"/>
        <v/>
      </c>
      <c r="AA76" s="10" t="str">
        <f t="shared" si="41"/>
        <v/>
      </c>
      <c r="AB76" s="10" t="str">
        <f t="shared" si="42"/>
        <v/>
      </c>
      <c r="AC76" s="10" t="str">
        <f t="shared" si="43"/>
        <v/>
      </c>
      <c r="AD76" s="10" t="str">
        <f t="shared" si="44"/>
        <v/>
      </c>
      <c r="AE76" s="10" t="str">
        <f t="shared" si="34"/>
        <v/>
      </c>
      <c r="AF76" s="10" t="str">
        <f t="shared" si="35"/>
        <v/>
      </c>
      <c r="AG76" s="10" t="str">
        <f t="shared" si="45"/>
        <v/>
      </c>
      <c r="AH76" s="10" t="str">
        <f t="shared" si="36"/>
        <v/>
      </c>
      <c r="AI76" s="10" t="str">
        <f t="shared" si="37"/>
        <v/>
      </c>
      <c r="AJ76" s="10" t="str">
        <f t="shared" si="46"/>
        <v/>
      </c>
      <c r="AK76" s="10" t="str">
        <f t="shared" si="38"/>
        <v/>
      </c>
      <c r="AL76" s="10" t="str">
        <f t="shared" si="47"/>
        <v/>
      </c>
      <c r="AM76" s="10" t="str">
        <f t="shared" si="48"/>
        <v/>
      </c>
      <c r="AN76" s="10" t="str">
        <f t="shared" si="49"/>
        <v/>
      </c>
      <c r="AO76" s="10" t="str">
        <f t="shared" si="50"/>
        <v/>
      </c>
      <c r="AP76" s="10" t="str">
        <f t="shared" si="51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0"/>
        <v/>
      </c>
      <c r="S77" s="7" t="str">
        <f t="shared" si="32"/>
        <v/>
      </c>
      <c r="T77" s="7" t="str">
        <f t="shared" si="30"/>
        <v/>
      </c>
      <c r="U77" s="8" t="str">
        <f t="shared" si="39"/>
        <v/>
      </c>
      <c r="V77" s="8" t="str">
        <f t="shared" si="39"/>
        <v/>
      </c>
      <c r="W77" s="7" t="str">
        <f t="shared" si="31"/>
        <v/>
      </c>
      <c r="X77" s="7" t="str">
        <f t="shared" si="31"/>
        <v/>
      </c>
      <c r="Y77" s="10" t="str">
        <f t="shared" si="33"/>
        <v/>
      </c>
      <c r="Z77" s="10" t="str">
        <f t="shared" si="40"/>
        <v/>
      </c>
      <c r="AA77" s="10" t="str">
        <f t="shared" si="41"/>
        <v/>
      </c>
      <c r="AB77" s="10" t="str">
        <f t="shared" si="42"/>
        <v/>
      </c>
      <c r="AC77" s="10" t="str">
        <f t="shared" si="43"/>
        <v/>
      </c>
      <c r="AD77" s="10" t="str">
        <f t="shared" si="44"/>
        <v/>
      </c>
      <c r="AE77" s="10" t="str">
        <f t="shared" si="34"/>
        <v/>
      </c>
      <c r="AF77" s="10" t="str">
        <f t="shared" si="35"/>
        <v/>
      </c>
      <c r="AG77" s="10" t="str">
        <f t="shared" si="45"/>
        <v/>
      </c>
      <c r="AH77" s="10" t="str">
        <f t="shared" si="36"/>
        <v/>
      </c>
      <c r="AI77" s="10" t="str">
        <f t="shared" si="37"/>
        <v/>
      </c>
      <c r="AJ77" s="10" t="str">
        <f t="shared" si="46"/>
        <v/>
      </c>
      <c r="AK77" s="10" t="str">
        <f t="shared" si="38"/>
        <v/>
      </c>
      <c r="AL77" s="10" t="str">
        <f t="shared" si="47"/>
        <v/>
      </c>
      <c r="AM77" s="10" t="str">
        <f t="shared" si="48"/>
        <v/>
      </c>
      <c r="AN77" s="10" t="str">
        <f t="shared" si="49"/>
        <v/>
      </c>
      <c r="AO77" s="10" t="str">
        <f t="shared" si="50"/>
        <v/>
      </c>
      <c r="AP77" s="10" t="str">
        <f t="shared" si="51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0"/>
        <v/>
      </c>
      <c r="S78" s="7" t="str">
        <f t="shared" si="32"/>
        <v/>
      </c>
      <c r="T78" s="7" t="str">
        <f t="shared" si="30"/>
        <v/>
      </c>
      <c r="U78" s="8" t="str">
        <f t="shared" si="39"/>
        <v/>
      </c>
      <c r="V78" s="8" t="str">
        <f t="shared" si="39"/>
        <v/>
      </c>
      <c r="W78" s="7" t="str">
        <f t="shared" si="31"/>
        <v/>
      </c>
      <c r="X78" s="7" t="str">
        <f t="shared" si="31"/>
        <v/>
      </c>
      <c r="Y78" s="10" t="str">
        <f t="shared" si="33"/>
        <v/>
      </c>
      <c r="Z78" s="10" t="str">
        <f t="shared" si="40"/>
        <v/>
      </c>
      <c r="AA78" s="10" t="str">
        <f t="shared" si="41"/>
        <v/>
      </c>
      <c r="AB78" s="10" t="str">
        <f t="shared" si="42"/>
        <v/>
      </c>
      <c r="AC78" s="10" t="str">
        <f t="shared" si="43"/>
        <v/>
      </c>
      <c r="AD78" s="10" t="str">
        <f t="shared" si="44"/>
        <v/>
      </c>
      <c r="AE78" s="10" t="str">
        <f t="shared" si="34"/>
        <v/>
      </c>
      <c r="AF78" s="10" t="str">
        <f t="shared" si="35"/>
        <v/>
      </c>
      <c r="AG78" s="10" t="str">
        <f t="shared" si="45"/>
        <v/>
      </c>
      <c r="AH78" s="10" t="str">
        <f t="shared" si="36"/>
        <v/>
      </c>
      <c r="AI78" s="10" t="str">
        <f t="shared" si="37"/>
        <v/>
      </c>
      <c r="AJ78" s="10" t="str">
        <f t="shared" si="46"/>
        <v/>
      </c>
      <c r="AK78" s="10" t="str">
        <f t="shared" si="38"/>
        <v/>
      </c>
      <c r="AL78" s="10" t="str">
        <f t="shared" si="47"/>
        <v/>
      </c>
      <c r="AM78" s="10" t="str">
        <f t="shared" si="48"/>
        <v/>
      </c>
      <c r="AN78" s="10" t="str">
        <f t="shared" si="49"/>
        <v/>
      </c>
      <c r="AO78" s="10" t="str">
        <f t="shared" si="50"/>
        <v/>
      </c>
      <c r="AP78" s="10" t="str">
        <f t="shared" si="51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0"/>
        <v/>
      </c>
      <c r="S79" s="7" t="str">
        <f t="shared" si="32"/>
        <v/>
      </c>
      <c r="T79" s="7" t="str">
        <f t="shared" si="30"/>
        <v/>
      </c>
      <c r="U79" s="8" t="str">
        <f t="shared" si="39"/>
        <v/>
      </c>
      <c r="V79" s="8" t="str">
        <f t="shared" si="39"/>
        <v/>
      </c>
      <c r="W79" s="7" t="str">
        <f t="shared" si="31"/>
        <v/>
      </c>
      <c r="X79" s="7" t="str">
        <f t="shared" si="31"/>
        <v/>
      </c>
      <c r="Y79" s="10" t="str">
        <f t="shared" si="33"/>
        <v/>
      </c>
      <c r="Z79" s="10" t="str">
        <f t="shared" si="40"/>
        <v/>
      </c>
      <c r="AA79" s="10" t="str">
        <f t="shared" si="41"/>
        <v/>
      </c>
      <c r="AB79" s="10" t="str">
        <f t="shared" si="42"/>
        <v/>
      </c>
      <c r="AC79" s="10" t="str">
        <f t="shared" si="43"/>
        <v/>
      </c>
      <c r="AD79" s="10" t="str">
        <f t="shared" si="44"/>
        <v/>
      </c>
      <c r="AE79" s="10" t="str">
        <f t="shared" si="34"/>
        <v/>
      </c>
      <c r="AF79" s="10" t="str">
        <f t="shared" si="35"/>
        <v/>
      </c>
      <c r="AG79" s="10" t="str">
        <f t="shared" si="45"/>
        <v/>
      </c>
      <c r="AH79" s="10" t="str">
        <f t="shared" si="36"/>
        <v/>
      </c>
      <c r="AI79" s="10" t="str">
        <f t="shared" si="37"/>
        <v/>
      </c>
      <c r="AJ79" s="10" t="str">
        <f t="shared" si="46"/>
        <v/>
      </c>
      <c r="AK79" s="10" t="str">
        <f t="shared" si="38"/>
        <v/>
      </c>
      <c r="AL79" s="10" t="str">
        <f t="shared" si="47"/>
        <v/>
      </c>
      <c r="AM79" s="10" t="str">
        <f t="shared" si="48"/>
        <v/>
      </c>
      <c r="AN79" s="10" t="str">
        <f t="shared" si="49"/>
        <v/>
      </c>
      <c r="AO79" s="10" t="str">
        <f t="shared" si="50"/>
        <v/>
      </c>
      <c r="AP79" s="10" t="str">
        <f t="shared" si="51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0"/>
        <v/>
      </c>
      <c r="S80" s="7" t="str">
        <f t="shared" si="32"/>
        <v/>
      </c>
      <c r="T80" s="7" t="str">
        <f t="shared" si="30"/>
        <v/>
      </c>
      <c r="U80" s="8" t="str">
        <f t="shared" si="39"/>
        <v/>
      </c>
      <c r="V80" s="8" t="str">
        <f t="shared" si="39"/>
        <v/>
      </c>
      <c r="W80" s="7" t="str">
        <f t="shared" si="31"/>
        <v/>
      </c>
      <c r="X80" s="7" t="str">
        <f t="shared" si="31"/>
        <v/>
      </c>
      <c r="Y80" s="10" t="str">
        <f t="shared" si="33"/>
        <v/>
      </c>
      <c r="Z80" s="10" t="str">
        <f t="shared" si="40"/>
        <v/>
      </c>
      <c r="AA80" s="10" t="str">
        <f t="shared" si="41"/>
        <v/>
      </c>
      <c r="AB80" s="10" t="str">
        <f t="shared" si="42"/>
        <v/>
      </c>
      <c r="AC80" s="10" t="str">
        <f t="shared" si="43"/>
        <v/>
      </c>
      <c r="AD80" s="10" t="str">
        <f t="shared" si="44"/>
        <v/>
      </c>
      <c r="AE80" s="10" t="str">
        <f t="shared" si="34"/>
        <v/>
      </c>
      <c r="AF80" s="10" t="str">
        <f t="shared" si="35"/>
        <v/>
      </c>
      <c r="AG80" s="10" t="str">
        <f t="shared" si="45"/>
        <v/>
      </c>
      <c r="AH80" s="10" t="str">
        <f t="shared" si="36"/>
        <v/>
      </c>
      <c r="AI80" s="10" t="str">
        <f t="shared" si="37"/>
        <v/>
      </c>
      <c r="AJ80" s="10" t="str">
        <f t="shared" si="46"/>
        <v/>
      </c>
      <c r="AK80" s="10" t="str">
        <f t="shared" si="38"/>
        <v/>
      </c>
      <c r="AL80" s="10" t="str">
        <f t="shared" si="47"/>
        <v/>
      </c>
      <c r="AM80" s="10" t="str">
        <f t="shared" si="48"/>
        <v/>
      </c>
      <c r="AN80" s="10" t="str">
        <f t="shared" si="49"/>
        <v/>
      </c>
      <c r="AO80" s="10" t="str">
        <f t="shared" si="50"/>
        <v/>
      </c>
      <c r="AP80" s="10" t="str">
        <f t="shared" si="51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0"/>
        <v/>
      </c>
      <c r="S81" s="7" t="str">
        <f t="shared" si="32"/>
        <v/>
      </c>
      <c r="T81" s="7" t="str">
        <f t="shared" si="30"/>
        <v/>
      </c>
      <c r="U81" s="8" t="str">
        <f t="shared" si="39"/>
        <v/>
      </c>
      <c r="V81" s="8" t="str">
        <f t="shared" si="39"/>
        <v/>
      </c>
      <c r="W81" s="7" t="str">
        <f t="shared" si="31"/>
        <v/>
      </c>
      <c r="X81" s="7" t="str">
        <f t="shared" si="31"/>
        <v/>
      </c>
      <c r="Y81" s="10" t="str">
        <f t="shared" si="33"/>
        <v/>
      </c>
      <c r="Z81" s="10" t="str">
        <f t="shared" si="40"/>
        <v/>
      </c>
      <c r="AA81" s="10" t="str">
        <f t="shared" si="41"/>
        <v/>
      </c>
      <c r="AB81" s="10" t="str">
        <f t="shared" si="42"/>
        <v/>
      </c>
      <c r="AC81" s="10" t="str">
        <f t="shared" si="43"/>
        <v/>
      </c>
      <c r="AD81" s="10" t="str">
        <f t="shared" si="44"/>
        <v/>
      </c>
      <c r="AE81" s="10" t="str">
        <f t="shared" si="34"/>
        <v/>
      </c>
      <c r="AF81" s="10" t="str">
        <f t="shared" si="35"/>
        <v/>
      </c>
      <c r="AG81" s="10" t="str">
        <f t="shared" si="45"/>
        <v/>
      </c>
      <c r="AH81" s="10" t="str">
        <f t="shared" si="36"/>
        <v/>
      </c>
      <c r="AI81" s="10" t="str">
        <f t="shared" si="37"/>
        <v/>
      </c>
      <c r="AJ81" s="10" t="str">
        <f t="shared" si="46"/>
        <v/>
      </c>
      <c r="AK81" s="10" t="str">
        <f t="shared" si="38"/>
        <v/>
      </c>
      <c r="AL81" s="10" t="str">
        <f t="shared" si="47"/>
        <v/>
      </c>
      <c r="AM81" s="10" t="str">
        <f t="shared" si="48"/>
        <v/>
      </c>
      <c r="AN81" s="10" t="str">
        <f t="shared" si="49"/>
        <v/>
      </c>
      <c r="AO81" s="10" t="str">
        <f t="shared" si="50"/>
        <v/>
      </c>
      <c r="AP81" s="10" t="str">
        <f t="shared" si="51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0"/>
        <v/>
      </c>
      <c r="S82" s="7" t="str">
        <f t="shared" si="32"/>
        <v/>
      </c>
      <c r="T82" s="7" t="str">
        <f t="shared" si="30"/>
        <v/>
      </c>
      <c r="U82" s="8" t="str">
        <f t="shared" si="39"/>
        <v/>
      </c>
      <c r="V82" s="8" t="str">
        <f t="shared" si="39"/>
        <v/>
      </c>
      <c r="W82" s="7" t="str">
        <f t="shared" si="31"/>
        <v/>
      </c>
      <c r="X82" s="7" t="str">
        <f t="shared" si="31"/>
        <v/>
      </c>
      <c r="Y82" s="10" t="str">
        <f t="shared" si="33"/>
        <v/>
      </c>
      <c r="Z82" s="10" t="str">
        <f t="shared" si="40"/>
        <v/>
      </c>
      <c r="AA82" s="10" t="str">
        <f t="shared" si="41"/>
        <v/>
      </c>
      <c r="AB82" s="10" t="str">
        <f t="shared" si="42"/>
        <v/>
      </c>
      <c r="AC82" s="10" t="str">
        <f t="shared" si="43"/>
        <v/>
      </c>
      <c r="AD82" s="10" t="str">
        <f t="shared" si="44"/>
        <v/>
      </c>
      <c r="AE82" s="10" t="str">
        <f t="shared" si="34"/>
        <v/>
      </c>
      <c r="AF82" s="10" t="str">
        <f t="shared" si="35"/>
        <v/>
      </c>
      <c r="AG82" s="10" t="str">
        <f t="shared" si="45"/>
        <v/>
      </c>
      <c r="AH82" s="10" t="str">
        <f t="shared" si="36"/>
        <v/>
      </c>
      <c r="AI82" s="10" t="str">
        <f t="shared" si="37"/>
        <v/>
      </c>
      <c r="AJ82" s="10" t="str">
        <f t="shared" si="46"/>
        <v/>
      </c>
      <c r="AK82" s="10" t="str">
        <f t="shared" si="38"/>
        <v/>
      </c>
      <c r="AL82" s="10" t="str">
        <f t="shared" si="47"/>
        <v/>
      </c>
      <c r="AM82" s="10" t="str">
        <f t="shared" si="48"/>
        <v/>
      </c>
      <c r="AN82" s="10" t="str">
        <f t="shared" si="49"/>
        <v/>
      </c>
      <c r="AO82" s="10" t="str">
        <f t="shared" si="50"/>
        <v/>
      </c>
      <c r="AP82" s="10" t="str">
        <f t="shared" si="51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0"/>
        <v/>
      </c>
      <c r="S83" s="7" t="str">
        <f t="shared" si="32"/>
        <v/>
      </c>
      <c r="T83" s="7" t="str">
        <f t="shared" si="30"/>
        <v/>
      </c>
      <c r="U83" s="8" t="str">
        <f t="shared" si="39"/>
        <v/>
      </c>
      <c r="V83" s="8" t="str">
        <f t="shared" si="39"/>
        <v/>
      </c>
      <c r="W83" s="7" t="str">
        <f t="shared" si="31"/>
        <v/>
      </c>
      <c r="X83" s="7" t="str">
        <f t="shared" si="31"/>
        <v/>
      </c>
      <c r="Y83" s="10" t="str">
        <f t="shared" si="33"/>
        <v/>
      </c>
      <c r="Z83" s="10" t="str">
        <f t="shared" si="40"/>
        <v/>
      </c>
      <c r="AA83" s="10" t="str">
        <f t="shared" si="41"/>
        <v/>
      </c>
      <c r="AB83" s="10" t="str">
        <f t="shared" si="42"/>
        <v/>
      </c>
      <c r="AC83" s="10" t="str">
        <f t="shared" si="43"/>
        <v/>
      </c>
      <c r="AD83" s="10" t="str">
        <f t="shared" si="44"/>
        <v/>
      </c>
      <c r="AE83" s="10" t="str">
        <f t="shared" si="34"/>
        <v/>
      </c>
      <c r="AF83" s="10" t="str">
        <f t="shared" si="35"/>
        <v/>
      </c>
      <c r="AG83" s="10" t="str">
        <f t="shared" si="45"/>
        <v/>
      </c>
      <c r="AH83" s="10" t="str">
        <f t="shared" si="36"/>
        <v/>
      </c>
      <c r="AI83" s="10" t="str">
        <f t="shared" si="37"/>
        <v/>
      </c>
      <c r="AJ83" s="10" t="str">
        <f t="shared" si="46"/>
        <v/>
      </c>
      <c r="AK83" s="10" t="str">
        <f t="shared" si="38"/>
        <v/>
      </c>
      <c r="AL83" s="10" t="str">
        <f t="shared" si="47"/>
        <v/>
      </c>
      <c r="AM83" s="10" t="str">
        <f t="shared" si="48"/>
        <v/>
      </c>
      <c r="AN83" s="10" t="str">
        <f t="shared" si="49"/>
        <v/>
      </c>
      <c r="AO83" s="10" t="str">
        <f t="shared" si="50"/>
        <v/>
      </c>
      <c r="AP83" s="10" t="str">
        <f t="shared" si="51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0"/>
        <v/>
      </c>
      <c r="S84" s="7" t="str">
        <f t="shared" si="32"/>
        <v/>
      </c>
      <c r="T84" s="7" t="str">
        <f t="shared" si="30"/>
        <v/>
      </c>
      <c r="U84" s="8" t="str">
        <f t="shared" si="39"/>
        <v/>
      </c>
      <c r="V84" s="8" t="str">
        <f t="shared" si="39"/>
        <v/>
      </c>
      <c r="W84" s="7" t="str">
        <f t="shared" si="31"/>
        <v/>
      </c>
      <c r="X84" s="7" t="str">
        <f t="shared" si="31"/>
        <v/>
      </c>
      <c r="Y84" s="10" t="str">
        <f t="shared" si="33"/>
        <v/>
      </c>
      <c r="Z84" s="10" t="str">
        <f t="shared" si="40"/>
        <v/>
      </c>
      <c r="AA84" s="10" t="str">
        <f t="shared" si="41"/>
        <v/>
      </c>
      <c r="AB84" s="10" t="str">
        <f t="shared" si="42"/>
        <v/>
      </c>
      <c r="AC84" s="10" t="str">
        <f t="shared" si="43"/>
        <v/>
      </c>
      <c r="AD84" s="10" t="str">
        <f t="shared" si="44"/>
        <v/>
      </c>
      <c r="AE84" s="10" t="str">
        <f t="shared" si="34"/>
        <v/>
      </c>
      <c r="AF84" s="10" t="str">
        <f t="shared" si="35"/>
        <v/>
      </c>
      <c r="AG84" s="10" t="str">
        <f t="shared" si="45"/>
        <v/>
      </c>
      <c r="AH84" s="10" t="str">
        <f t="shared" si="36"/>
        <v/>
      </c>
      <c r="AI84" s="10" t="str">
        <f t="shared" si="37"/>
        <v/>
      </c>
      <c r="AJ84" s="10" t="str">
        <f t="shared" si="46"/>
        <v/>
      </c>
      <c r="AK84" s="10" t="str">
        <f t="shared" si="38"/>
        <v/>
      </c>
      <c r="AL84" s="10" t="str">
        <f t="shared" si="47"/>
        <v/>
      </c>
      <c r="AM84" s="10" t="str">
        <f t="shared" si="48"/>
        <v/>
      </c>
      <c r="AN84" s="10" t="str">
        <f t="shared" si="49"/>
        <v/>
      </c>
      <c r="AO84" s="10" t="str">
        <f t="shared" si="50"/>
        <v/>
      </c>
      <c r="AP84" s="10" t="str">
        <f t="shared" si="51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0"/>
        <v/>
      </c>
      <c r="S85" s="7" t="str">
        <f t="shared" si="32"/>
        <v/>
      </c>
      <c r="T85" s="7" t="str">
        <f t="shared" si="30"/>
        <v/>
      </c>
      <c r="U85" s="8" t="str">
        <f t="shared" si="39"/>
        <v/>
      </c>
      <c r="V85" s="8" t="str">
        <f t="shared" si="39"/>
        <v/>
      </c>
      <c r="W85" s="7" t="str">
        <f t="shared" si="31"/>
        <v/>
      </c>
      <c r="X85" s="7" t="str">
        <f t="shared" si="31"/>
        <v/>
      </c>
      <c r="Y85" s="10" t="str">
        <f t="shared" si="33"/>
        <v/>
      </c>
      <c r="Z85" s="10" t="str">
        <f t="shared" si="40"/>
        <v/>
      </c>
      <c r="AA85" s="10" t="str">
        <f t="shared" si="41"/>
        <v/>
      </c>
      <c r="AB85" s="10" t="str">
        <f t="shared" si="42"/>
        <v/>
      </c>
      <c r="AC85" s="10" t="str">
        <f t="shared" si="43"/>
        <v/>
      </c>
      <c r="AD85" s="10" t="str">
        <f t="shared" si="44"/>
        <v/>
      </c>
      <c r="AE85" s="10" t="str">
        <f t="shared" si="34"/>
        <v/>
      </c>
      <c r="AF85" s="10" t="str">
        <f t="shared" si="35"/>
        <v/>
      </c>
      <c r="AG85" s="10" t="str">
        <f t="shared" si="45"/>
        <v/>
      </c>
      <c r="AH85" s="10" t="str">
        <f t="shared" si="36"/>
        <v/>
      </c>
      <c r="AI85" s="10" t="str">
        <f t="shared" si="37"/>
        <v/>
      </c>
      <c r="AJ85" s="10" t="str">
        <f t="shared" si="46"/>
        <v/>
      </c>
      <c r="AK85" s="10" t="str">
        <f t="shared" si="38"/>
        <v/>
      </c>
      <c r="AL85" s="10" t="str">
        <f t="shared" si="47"/>
        <v/>
      </c>
      <c r="AM85" s="10" t="str">
        <f t="shared" si="48"/>
        <v/>
      </c>
      <c r="AN85" s="10" t="str">
        <f t="shared" si="49"/>
        <v/>
      </c>
      <c r="AO85" s="10" t="str">
        <f t="shared" si="50"/>
        <v/>
      </c>
      <c r="AP85" s="10" t="str">
        <f t="shared" si="51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0"/>
        <v/>
      </c>
      <c r="S86" s="7" t="str">
        <f t="shared" si="32"/>
        <v/>
      </c>
      <c r="T86" s="7" t="str">
        <f t="shared" si="30"/>
        <v/>
      </c>
      <c r="U86" s="8" t="str">
        <f t="shared" si="39"/>
        <v/>
      </c>
      <c r="V86" s="8" t="str">
        <f t="shared" si="39"/>
        <v/>
      </c>
      <c r="W86" s="7" t="str">
        <f t="shared" si="31"/>
        <v/>
      </c>
      <c r="X86" s="7" t="str">
        <f t="shared" si="31"/>
        <v/>
      </c>
      <c r="Y86" s="10" t="str">
        <f t="shared" si="33"/>
        <v/>
      </c>
      <c r="Z86" s="10" t="str">
        <f t="shared" si="40"/>
        <v/>
      </c>
      <c r="AA86" s="10" t="str">
        <f t="shared" si="41"/>
        <v/>
      </c>
      <c r="AB86" s="10" t="str">
        <f t="shared" si="42"/>
        <v/>
      </c>
      <c r="AC86" s="10" t="str">
        <f t="shared" si="43"/>
        <v/>
      </c>
      <c r="AD86" s="10" t="str">
        <f t="shared" si="44"/>
        <v/>
      </c>
      <c r="AE86" s="10" t="str">
        <f t="shared" si="34"/>
        <v/>
      </c>
      <c r="AF86" s="10" t="str">
        <f t="shared" si="35"/>
        <v/>
      </c>
      <c r="AG86" s="10" t="str">
        <f t="shared" si="45"/>
        <v/>
      </c>
      <c r="AH86" s="10" t="str">
        <f t="shared" si="36"/>
        <v/>
      </c>
      <c r="AI86" s="10" t="str">
        <f t="shared" si="37"/>
        <v/>
      </c>
      <c r="AJ86" s="10" t="str">
        <f t="shared" si="46"/>
        <v/>
      </c>
      <c r="AK86" s="10" t="str">
        <f t="shared" si="38"/>
        <v/>
      </c>
      <c r="AL86" s="10" t="str">
        <f t="shared" si="47"/>
        <v/>
      </c>
      <c r="AM86" s="10" t="str">
        <f t="shared" si="48"/>
        <v/>
      </c>
      <c r="AN86" s="10" t="str">
        <f t="shared" si="49"/>
        <v/>
      </c>
      <c r="AO86" s="10" t="str">
        <f t="shared" si="50"/>
        <v/>
      </c>
      <c r="AP86" s="10" t="str">
        <f t="shared" si="51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0"/>
        <v/>
      </c>
      <c r="S87" s="7" t="str">
        <f t="shared" si="32"/>
        <v/>
      </c>
      <c r="T87" s="7" t="str">
        <f t="shared" si="30"/>
        <v/>
      </c>
      <c r="U87" s="8" t="str">
        <f t="shared" si="39"/>
        <v/>
      </c>
      <c r="V87" s="8" t="str">
        <f t="shared" si="39"/>
        <v/>
      </c>
      <c r="W87" s="7" t="str">
        <f t="shared" si="31"/>
        <v/>
      </c>
      <c r="X87" s="7" t="str">
        <f t="shared" si="31"/>
        <v/>
      </c>
      <c r="Y87" s="10" t="str">
        <f t="shared" si="33"/>
        <v/>
      </c>
      <c r="Z87" s="10" t="str">
        <f t="shared" si="40"/>
        <v/>
      </c>
      <c r="AA87" s="10" t="str">
        <f t="shared" si="41"/>
        <v/>
      </c>
      <c r="AB87" s="10" t="str">
        <f t="shared" si="42"/>
        <v/>
      </c>
      <c r="AC87" s="10" t="str">
        <f t="shared" si="43"/>
        <v/>
      </c>
      <c r="AD87" s="10" t="str">
        <f t="shared" si="44"/>
        <v/>
      </c>
      <c r="AE87" s="10" t="str">
        <f t="shared" si="34"/>
        <v/>
      </c>
      <c r="AF87" s="10" t="str">
        <f t="shared" si="35"/>
        <v/>
      </c>
      <c r="AG87" s="10" t="str">
        <f t="shared" si="45"/>
        <v/>
      </c>
      <c r="AH87" s="10" t="str">
        <f t="shared" si="36"/>
        <v/>
      </c>
      <c r="AI87" s="10" t="str">
        <f t="shared" si="37"/>
        <v/>
      </c>
      <c r="AJ87" s="10" t="str">
        <f t="shared" si="46"/>
        <v/>
      </c>
      <c r="AK87" s="10" t="str">
        <f t="shared" si="38"/>
        <v/>
      </c>
      <c r="AL87" s="10" t="str">
        <f t="shared" si="47"/>
        <v/>
      </c>
      <c r="AM87" s="10" t="str">
        <f t="shared" si="48"/>
        <v/>
      </c>
      <c r="AN87" s="10" t="str">
        <f t="shared" si="49"/>
        <v/>
      </c>
      <c r="AO87" s="10" t="str">
        <f t="shared" si="50"/>
        <v/>
      </c>
      <c r="AP87" s="10" t="str">
        <f t="shared" si="51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0"/>
        <v/>
      </c>
      <c r="S88" s="7" t="str">
        <f t="shared" si="32"/>
        <v/>
      </c>
      <c r="T88" s="7" t="str">
        <f t="shared" si="30"/>
        <v/>
      </c>
      <c r="U88" s="8" t="str">
        <f t="shared" si="39"/>
        <v/>
      </c>
      <c r="V88" s="8" t="str">
        <f t="shared" si="39"/>
        <v/>
      </c>
      <c r="W88" s="7" t="str">
        <f t="shared" si="31"/>
        <v/>
      </c>
      <c r="X88" s="7" t="str">
        <f t="shared" si="31"/>
        <v/>
      </c>
      <c r="Y88" s="10" t="str">
        <f t="shared" si="33"/>
        <v/>
      </c>
      <c r="Z88" s="10" t="str">
        <f t="shared" si="40"/>
        <v/>
      </c>
      <c r="AA88" s="10" t="str">
        <f t="shared" si="41"/>
        <v/>
      </c>
      <c r="AB88" s="10" t="str">
        <f t="shared" si="42"/>
        <v/>
      </c>
      <c r="AC88" s="10" t="str">
        <f t="shared" si="43"/>
        <v/>
      </c>
      <c r="AD88" s="10" t="str">
        <f t="shared" si="44"/>
        <v/>
      </c>
      <c r="AE88" s="10" t="str">
        <f t="shared" si="34"/>
        <v/>
      </c>
      <c r="AF88" s="10" t="str">
        <f t="shared" si="35"/>
        <v/>
      </c>
      <c r="AG88" s="10" t="str">
        <f t="shared" si="45"/>
        <v/>
      </c>
      <c r="AH88" s="10" t="str">
        <f t="shared" si="36"/>
        <v/>
      </c>
      <c r="AI88" s="10" t="str">
        <f t="shared" si="37"/>
        <v/>
      </c>
      <c r="AJ88" s="10" t="str">
        <f t="shared" si="46"/>
        <v/>
      </c>
      <c r="AK88" s="10" t="str">
        <f t="shared" si="38"/>
        <v/>
      </c>
      <c r="AL88" s="10" t="str">
        <f t="shared" si="47"/>
        <v/>
      </c>
      <c r="AM88" s="10" t="str">
        <f t="shared" si="48"/>
        <v/>
      </c>
      <c r="AN88" s="10" t="str">
        <f t="shared" si="49"/>
        <v/>
      </c>
      <c r="AO88" s="10" t="str">
        <f t="shared" si="50"/>
        <v/>
      </c>
      <c r="AP88" s="10" t="str">
        <f t="shared" si="51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0"/>
        <v/>
      </c>
      <c r="S89" s="7" t="str">
        <f t="shared" si="32"/>
        <v/>
      </c>
      <c r="T89" s="7" t="str">
        <f t="shared" si="30"/>
        <v/>
      </c>
      <c r="U89" s="8" t="str">
        <f t="shared" si="39"/>
        <v/>
      </c>
      <c r="V89" s="8" t="str">
        <f t="shared" si="39"/>
        <v/>
      </c>
      <c r="W89" s="7" t="str">
        <f t="shared" ref="W89:X98" si="52">IF($G89="","",IF($G89=1,(($C$2+$H89)*W$3)*(1+(W$4-W$5)),((W88+($H89*W$3))*(1+(W$4-W$5)))))</f>
        <v/>
      </c>
      <c r="X89" s="7" t="str">
        <f t="shared" si="52"/>
        <v/>
      </c>
      <c r="Y89" s="10" t="str">
        <f t="shared" si="33"/>
        <v/>
      </c>
      <c r="Z89" s="10" t="str">
        <f t="shared" si="40"/>
        <v/>
      </c>
      <c r="AA89" s="10" t="str">
        <f t="shared" si="41"/>
        <v/>
      </c>
      <c r="AB89" s="10" t="str">
        <f t="shared" si="42"/>
        <v/>
      </c>
      <c r="AC89" s="10" t="str">
        <f t="shared" si="43"/>
        <v/>
      </c>
      <c r="AD89" s="10" t="str">
        <f t="shared" si="44"/>
        <v/>
      </c>
      <c r="AE89" s="10" t="str">
        <f t="shared" si="34"/>
        <v/>
      </c>
      <c r="AF89" s="10" t="str">
        <f t="shared" si="35"/>
        <v/>
      </c>
      <c r="AG89" s="10" t="str">
        <f t="shared" si="45"/>
        <v/>
      </c>
      <c r="AH89" s="10" t="str">
        <f t="shared" si="36"/>
        <v/>
      </c>
      <c r="AI89" s="10" t="str">
        <f t="shared" si="37"/>
        <v/>
      </c>
      <c r="AJ89" s="10" t="str">
        <f t="shared" si="46"/>
        <v/>
      </c>
      <c r="AK89" s="10" t="str">
        <f t="shared" si="38"/>
        <v/>
      </c>
      <c r="AL89" s="10" t="str">
        <f t="shared" si="47"/>
        <v/>
      </c>
      <c r="AM89" s="10" t="str">
        <f t="shared" si="48"/>
        <v/>
      </c>
      <c r="AN89" s="10" t="str">
        <f t="shared" si="49"/>
        <v/>
      </c>
      <c r="AO89" s="10" t="str">
        <f t="shared" si="50"/>
        <v/>
      </c>
      <c r="AP89" s="10" t="str">
        <f t="shared" si="51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0"/>
        <v/>
      </c>
      <c r="S90" s="7" t="str">
        <f t="shared" si="32"/>
        <v/>
      </c>
      <c r="T90" s="7" t="str">
        <f t="shared" si="30"/>
        <v/>
      </c>
      <c r="U90" s="8" t="str">
        <f t="shared" si="39"/>
        <v/>
      </c>
      <c r="V90" s="8" t="str">
        <f t="shared" si="39"/>
        <v/>
      </c>
      <c r="W90" s="7" t="str">
        <f t="shared" si="52"/>
        <v/>
      </c>
      <c r="X90" s="7" t="str">
        <f t="shared" si="52"/>
        <v/>
      </c>
      <c r="Y90" s="10" t="str">
        <f t="shared" si="33"/>
        <v/>
      </c>
      <c r="Z90" s="10" t="str">
        <f t="shared" si="40"/>
        <v/>
      </c>
      <c r="AA90" s="10" t="str">
        <f t="shared" si="41"/>
        <v/>
      </c>
      <c r="AB90" s="10" t="str">
        <f t="shared" si="42"/>
        <v/>
      </c>
      <c r="AC90" s="10" t="str">
        <f t="shared" si="43"/>
        <v/>
      </c>
      <c r="AD90" s="10" t="str">
        <f t="shared" si="44"/>
        <v/>
      </c>
      <c r="AE90" s="10" t="str">
        <f t="shared" si="34"/>
        <v/>
      </c>
      <c r="AF90" s="10" t="str">
        <f t="shared" si="35"/>
        <v/>
      </c>
      <c r="AG90" s="10" t="str">
        <f t="shared" si="45"/>
        <v/>
      </c>
      <c r="AH90" s="10" t="str">
        <f t="shared" si="36"/>
        <v/>
      </c>
      <c r="AI90" s="10" t="str">
        <f t="shared" si="37"/>
        <v/>
      </c>
      <c r="AJ90" s="10" t="str">
        <f t="shared" si="46"/>
        <v/>
      </c>
      <c r="AK90" s="10" t="str">
        <f t="shared" si="38"/>
        <v/>
      </c>
      <c r="AL90" s="10" t="str">
        <f t="shared" si="47"/>
        <v/>
      </c>
      <c r="AM90" s="10" t="str">
        <f t="shared" si="48"/>
        <v/>
      </c>
      <c r="AN90" s="10" t="str">
        <f t="shared" si="49"/>
        <v/>
      </c>
      <c r="AO90" s="10" t="str">
        <f t="shared" si="50"/>
        <v/>
      </c>
      <c r="AP90" s="10" t="str">
        <f t="shared" si="51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0"/>
        <v/>
      </c>
      <c r="S91" s="7" t="str">
        <f t="shared" si="32"/>
        <v/>
      </c>
      <c r="T91" s="7" t="str">
        <f t="shared" si="30"/>
        <v/>
      </c>
      <c r="U91" s="8" t="str">
        <f t="shared" si="39"/>
        <v/>
      </c>
      <c r="V91" s="8" t="str">
        <f t="shared" si="39"/>
        <v/>
      </c>
      <c r="W91" s="7" t="str">
        <f t="shared" si="52"/>
        <v/>
      </c>
      <c r="X91" s="7" t="str">
        <f t="shared" si="52"/>
        <v/>
      </c>
      <c r="Y91" s="10" t="str">
        <f t="shared" si="33"/>
        <v/>
      </c>
      <c r="Z91" s="10" t="str">
        <f t="shared" si="40"/>
        <v/>
      </c>
      <c r="AA91" s="10" t="str">
        <f t="shared" si="41"/>
        <v/>
      </c>
      <c r="AB91" s="10" t="str">
        <f t="shared" si="42"/>
        <v/>
      </c>
      <c r="AC91" s="10" t="str">
        <f t="shared" si="43"/>
        <v/>
      </c>
      <c r="AD91" s="10" t="str">
        <f t="shared" si="44"/>
        <v/>
      </c>
      <c r="AE91" s="10" t="str">
        <f t="shared" si="34"/>
        <v/>
      </c>
      <c r="AF91" s="10" t="str">
        <f t="shared" si="35"/>
        <v/>
      </c>
      <c r="AG91" s="10" t="str">
        <f t="shared" si="45"/>
        <v/>
      </c>
      <c r="AH91" s="10" t="str">
        <f t="shared" si="36"/>
        <v/>
      </c>
      <c r="AI91" s="10" t="str">
        <f t="shared" si="37"/>
        <v/>
      </c>
      <c r="AJ91" s="10" t="str">
        <f t="shared" si="46"/>
        <v/>
      </c>
      <c r="AK91" s="10" t="str">
        <f t="shared" si="38"/>
        <v/>
      </c>
      <c r="AL91" s="10" t="str">
        <f t="shared" si="47"/>
        <v/>
      </c>
      <c r="AM91" s="10" t="str">
        <f t="shared" si="48"/>
        <v/>
      </c>
      <c r="AN91" s="10" t="str">
        <f t="shared" si="49"/>
        <v/>
      </c>
      <c r="AO91" s="10" t="str">
        <f t="shared" si="50"/>
        <v/>
      </c>
      <c r="AP91" s="10" t="str">
        <f t="shared" si="51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0"/>
        <v/>
      </c>
      <c r="S92" s="7" t="str">
        <f t="shared" si="32"/>
        <v/>
      </c>
      <c r="T92" s="7" t="str">
        <f t="shared" si="30"/>
        <v/>
      </c>
      <c r="U92" s="8" t="str">
        <f t="shared" si="39"/>
        <v/>
      </c>
      <c r="V92" s="8" t="str">
        <f t="shared" si="39"/>
        <v/>
      </c>
      <c r="W92" s="7" t="str">
        <f t="shared" si="52"/>
        <v/>
      </c>
      <c r="X92" s="7" t="str">
        <f t="shared" si="52"/>
        <v/>
      </c>
      <c r="Y92" s="10" t="str">
        <f t="shared" si="33"/>
        <v/>
      </c>
      <c r="Z92" s="10" t="str">
        <f t="shared" si="40"/>
        <v/>
      </c>
      <c r="AA92" s="10" t="str">
        <f t="shared" si="41"/>
        <v/>
      </c>
      <c r="AB92" s="10" t="str">
        <f t="shared" si="42"/>
        <v/>
      </c>
      <c r="AC92" s="10" t="str">
        <f t="shared" si="43"/>
        <v/>
      </c>
      <c r="AD92" s="10" t="str">
        <f t="shared" si="44"/>
        <v/>
      </c>
      <c r="AE92" s="10" t="str">
        <f t="shared" si="34"/>
        <v/>
      </c>
      <c r="AF92" s="10" t="str">
        <f t="shared" si="35"/>
        <v/>
      </c>
      <c r="AG92" s="10" t="str">
        <f t="shared" si="45"/>
        <v/>
      </c>
      <c r="AH92" s="10" t="str">
        <f t="shared" si="36"/>
        <v/>
      </c>
      <c r="AI92" s="10" t="str">
        <f t="shared" si="37"/>
        <v/>
      </c>
      <c r="AJ92" s="10" t="str">
        <f t="shared" si="46"/>
        <v/>
      </c>
      <c r="AK92" s="10" t="str">
        <f t="shared" si="38"/>
        <v/>
      </c>
      <c r="AL92" s="10" t="str">
        <f t="shared" si="47"/>
        <v/>
      </c>
      <c r="AM92" s="10" t="str">
        <f t="shared" si="48"/>
        <v/>
      </c>
      <c r="AN92" s="10" t="str">
        <f t="shared" si="49"/>
        <v/>
      </c>
      <c r="AO92" s="10" t="str">
        <f t="shared" si="50"/>
        <v/>
      </c>
      <c r="AP92" s="10" t="str">
        <f t="shared" si="51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0"/>
        <v/>
      </c>
      <c r="S93" s="7" t="str">
        <f t="shared" si="32"/>
        <v/>
      </c>
      <c r="T93" s="7" t="str">
        <f t="shared" si="30"/>
        <v/>
      </c>
      <c r="U93" s="8" t="str">
        <f t="shared" si="39"/>
        <v/>
      </c>
      <c r="V93" s="8" t="str">
        <f t="shared" si="39"/>
        <v/>
      </c>
      <c r="W93" s="7" t="str">
        <f t="shared" si="52"/>
        <v/>
      </c>
      <c r="X93" s="7" t="str">
        <f t="shared" si="52"/>
        <v/>
      </c>
      <c r="Y93" s="10" t="str">
        <f t="shared" si="33"/>
        <v/>
      </c>
      <c r="Z93" s="10" t="str">
        <f t="shared" si="40"/>
        <v/>
      </c>
      <c r="AA93" s="10" t="str">
        <f t="shared" si="41"/>
        <v/>
      </c>
      <c r="AB93" s="10" t="str">
        <f t="shared" si="42"/>
        <v/>
      </c>
      <c r="AC93" s="10" t="str">
        <f t="shared" si="43"/>
        <v/>
      </c>
      <c r="AD93" s="10" t="str">
        <f t="shared" si="44"/>
        <v/>
      </c>
      <c r="AE93" s="10" t="str">
        <f t="shared" si="34"/>
        <v/>
      </c>
      <c r="AF93" s="10" t="str">
        <f t="shared" si="35"/>
        <v/>
      </c>
      <c r="AG93" s="10" t="str">
        <f t="shared" si="45"/>
        <v/>
      </c>
      <c r="AH93" s="10" t="str">
        <f t="shared" si="36"/>
        <v/>
      </c>
      <c r="AI93" s="10" t="str">
        <f t="shared" si="37"/>
        <v/>
      </c>
      <c r="AJ93" s="10" t="str">
        <f t="shared" si="46"/>
        <v/>
      </c>
      <c r="AK93" s="10" t="str">
        <f t="shared" si="38"/>
        <v/>
      </c>
      <c r="AL93" s="10" t="str">
        <f t="shared" si="47"/>
        <v/>
      </c>
      <c r="AM93" s="10" t="str">
        <f t="shared" si="48"/>
        <v/>
      </c>
      <c r="AN93" s="10" t="str">
        <f t="shared" si="49"/>
        <v/>
      </c>
      <c r="AO93" s="10" t="str">
        <f t="shared" si="50"/>
        <v/>
      </c>
      <c r="AP93" s="10" t="str">
        <f t="shared" si="51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0"/>
        <v/>
      </c>
      <c r="S94" s="7" t="str">
        <f t="shared" si="32"/>
        <v/>
      </c>
      <c r="T94" s="7" t="str">
        <f t="shared" si="30"/>
        <v/>
      </c>
      <c r="U94" s="8" t="str">
        <f t="shared" si="39"/>
        <v/>
      </c>
      <c r="V94" s="8" t="str">
        <f t="shared" si="39"/>
        <v/>
      </c>
      <c r="W94" s="7" t="str">
        <f t="shared" si="52"/>
        <v/>
      </c>
      <c r="X94" s="7" t="str">
        <f t="shared" si="52"/>
        <v/>
      </c>
      <c r="Y94" s="10" t="str">
        <f t="shared" si="33"/>
        <v/>
      </c>
      <c r="Z94" s="10" t="str">
        <f t="shared" si="40"/>
        <v/>
      </c>
      <c r="AA94" s="10" t="str">
        <f t="shared" si="41"/>
        <v/>
      </c>
      <c r="AB94" s="10" t="str">
        <f t="shared" si="42"/>
        <v/>
      </c>
      <c r="AC94" s="10" t="str">
        <f t="shared" si="43"/>
        <v/>
      </c>
      <c r="AD94" s="10" t="str">
        <f t="shared" si="44"/>
        <v/>
      </c>
      <c r="AE94" s="10" t="str">
        <f t="shared" si="34"/>
        <v/>
      </c>
      <c r="AF94" s="10" t="str">
        <f t="shared" si="35"/>
        <v/>
      </c>
      <c r="AG94" s="10" t="str">
        <f t="shared" si="45"/>
        <v/>
      </c>
      <c r="AH94" s="10" t="str">
        <f t="shared" si="36"/>
        <v/>
      </c>
      <c r="AI94" s="10" t="str">
        <f t="shared" si="37"/>
        <v/>
      </c>
      <c r="AJ94" s="10" t="str">
        <f t="shared" si="46"/>
        <v/>
      </c>
      <c r="AK94" s="10" t="str">
        <f t="shared" si="38"/>
        <v/>
      </c>
      <c r="AL94" s="10" t="str">
        <f t="shared" si="47"/>
        <v/>
      </c>
      <c r="AM94" s="10" t="str">
        <f t="shared" si="48"/>
        <v/>
      </c>
      <c r="AN94" s="10" t="str">
        <f t="shared" si="49"/>
        <v/>
      </c>
      <c r="AO94" s="10" t="str">
        <f t="shared" si="50"/>
        <v/>
      </c>
      <c r="AP94" s="10" t="str">
        <f t="shared" si="51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0"/>
        <v/>
      </c>
      <c r="S95" s="7" t="str">
        <f t="shared" si="32"/>
        <v/>
      </c>
      <c r="T95" s="7" t="str">
        <f t="shared" si="30"/>
        <v/>
      </c>
      <c r="U95" s="8" t="str">
        <f t="shared" si="39"/>
        <v/>
      </c>
      <c r="V95" s="8" t="str">
        <f t="shared" si="39"/>
        <v/>
      </c>
      <c r="W95" s="7" t="str">
        <f t="shared" si="52"/>
        <v/>
      </c>
      <c r="X95" s="7" t="str">
        <f t="shared" si="52"/>
        <v/>
      </c>
      <c r="Y95" s="10" t="str">
        <f t="shared" si="33"/>
        <v/>
      </c>
      <c r="Z95" s="10" t="str">
        <f t="shared" si="40"/>
        <v/>
      </c>
      <c r="AA95" s="10" t="str">
        <f t="shared" si="41"/>
        <v/>
      </c>
      <c r="AB95" s="10" t="str">
        <f t="shared" si="42"/>
        <v/>
      </c>
      <c r="AC95" s="10" t="str">
        <f t="shared" si="43"/>
        <v/>
      </c>
      <c r="AD95" s="10" t="str">
        <f t="shared" si="44"/>
        <v/>
      </c>
      <c r="AE95" s="10" t="str">
        <f t="shared" si="34"/>
        <v/>
      </c>
      <c r="AF95" s="10" t="str">
        <f t="shared" si="35"/>
        <v/>
      </c>
      <c r="AG95" s="10" t="str">
        <f t="shared" si="45"/>
        <v/>
      </c>
      <c r="AH95" s="10" t="str">
        <f t="shared" si="36"/>
        <v/>
      </c>
      <c r="AI95" s="10" t="str">
        <f t="shared" si="37"/>
        <v/>
      </c>
      <c r="AJ95" s="10" t="str">
        <f t="shared" si="46"/>
        <v/>
      </c>
      <c r="AK95" s="10" t="str">
        <f t="shared" si="38"/>
        <v/>
      </c>
      <c r="AL95" s="10" t="str">
        <f t="shared" si="47"/>
        <v/>
      </c>
      <c r="AM95" s="10" t="str">
        <f t="shared" si="48"/>
        <v/>
      </c>
      <c r="AN95" s="10" t="str">
        <f t="shared" si="49"/>
        <v/>
      </c>
      <c r="AO95" s="10" t="str">
        <f t="shared" si="50"/>
        <v/>
      </c>
      <c r="AP95" s="10" t="str">
        <f t="shared" si="51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0"/>
        <v/>
      </c>
      <c r="S96" s="7" t="str">
        <f t="shared" si="32"/>
        <v/>
      </c>
      <c r="T96" s="7" t="str">
        <f t="shared" si="30"/>
        <v/>
      </c>
      <c r="U96" s="8" t="str">
        <f t="shared" si="39"/>
        <v/>
      </c>
      <c r="V96" s="8" t="str">
        <f t="shared" si="39"/>
        <v/>
      </c>
      <c r="W96" s="7" t="str">
        <f t="shared" si="52"/>
        <v/>
      </c>
      <c r="X96" s="7" t="str">
        <f t="shared" si="52"/>
        <v/>
      </c>
      <c r="Y96" s="10" t="str">
        <f t="shared" si="33"/>
        <v/>
      </c>
      <c r="Z96" s="10" t="str">
        <f t="shared" si="40"/>
        <v/>
      </c>
      <c r="AA96" s="10" t="str">
        <f t="shared" si="41"/>
        <v/>
      </c>
      <c r="AB96" s="10" t="str">
        <f t="shared" si="42"/>
        <v/>
      </c>
      <c r="AC96" s="10" t="str">
        <f t="shared" si="43"/>
        <v/>
      </c>
      <c r="AD96" s="10" t="str">
        <f t="shared" si="44"/>
        <v/>
      </c>
      <c r="AE96" s="10" t="str">
        <f t="shared" si="34"/>
        <v/>
      </c>
      <c r="AF96" s="10" t="str">
        <f t="shared" si="35"/>
        <v/>
      </c>
      <c r="AG96" s="10" t="str">
        <f t="shared" si="45"/>
        <v/>
      </c>
      <c r="AH96" s="10" t="str">
        <f t="shared" si="36"/>
        <v/>
      </c>
      <c r="AI96" s="10" t="str">
        <f t="shared" si="37"/>
        <v/>
      </c>
      <c r="AJ96" s="10" t="str">
        <f t="shared" si="46"/>
        <v/>
      </c>
      <c r="AK96" s="10" t="str">
        <f t="shared" si="38"/>
        <v/>
      </c>
      <c r="AL96" s="10" t="str">
        <f t="shared" si="47"/>
        <v/>
      </c>
      <c r="AM96" s="10" t="str">
        <f t="shared" si="48"/>
        <v/>
      </c>
      <c r="AN96" s="10" t="str">
        <f t="shared" si="49"/>
        <v/>
      </c>
      <c r="AO96" s="10" t="str">
        <f t="shared" si="50"/>
        <v/>
      </c>
      <c r="AP96" s="10" t="str">
        <f t="shared" si="51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0"/>
        <v/>
      </c>
      <c r="S97" s="7" t="str">
        <f t="shared" si="32"/>
        <v/>
      </c>
      <c r="T97" s="7" t="str">
        <f t="shared" si="30"/>
        <v/>
      </c>
      <c r="U97" s="8" t="str">
        <f t="shared" si="39"/>
        <v/>
      </c>
      <c r="V97" s="8" t="str">
        <f t="shared" si="39"/>
        <v/>
      </c>
      <c r="W97" s="7" t="str">
        <f t="shared" si="52"/>
        <v/>
      </c>
      <c r="X97" s="7" t="str">
        <f t="shared" si="52"/>
        <v/>
      </c>
      <c r="Y97" s="10" t="str">
        <f t="shared" si="33"/>
        <v/>
      </c>
      <c r="Z97" s="10" t="str">
        <f t="shared" si="40"/>
        <v/>
      </c>
      <c r="AA97" s="10" t="str">
        <f t="shared" si="41"/>
        <v/>
      </c>
      <c r="AB97" s="10" t="str">
        <f t="shared" si="42"/>
        <v/>
      </c>
      <c r="AC97" s="10" t="str">
        <f t="shared" si="43"/>
        <v/>
      </c>
      <c r="AD97" s="10" t="str">
        <f t="shared" si="44"/>
        <v/>
      </c>
      <c r="AE97" s="10" t="str">
        <f t="shared" si="34"/>
        <v/>
      </c>
      <c r="AF97" s="10" t="str">
        <f t="shared" si="35"/>
        <v/>
      </c>
      <c r="AG97" s="10" t="str">
        <f t="shared" si="45"/>
        <v/>
      </c>
      <c r="AH97" s="10" t="str">
        <f t="shared" si="36"/>
        <v/>
      </c>
      <c r="AI97" s="10" t="str">
        <f t="shared" si="37"/>
        <v/>
      </c>
      <c r="AJ97" s="10" t="str">
        <f t="shared" si="46"/>
        <v/>
      </c>
      <c r="AK97" s="10" t="str">
        <f t="shared" si="38"/>
        <v/>
      </c>
      <c r="AL97" s="10" t="str">
        <f t="shared" si="47"/>
        <v/>
      </c>
      <c r="AM97" s="10" t="str">
        <f t="shared" si="48"/>
        <v/>
      </c>
      <c r="AN97" s="10" t="str">
        <f t="shared" si="49"/>
        <v/>
      </c>
      <c r="AO97" s="10" t="str">
        <f t="shared" si="50"/>
        <v/>
      </c>
      <c r="AP97" s="10" t="str">
        <f t="shared" si="51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0"/>
        <v/>
      </c>
      <c r="S98" s="7" t="str">
        <f t="shared" si="32"/>
        <v/>
      </c>
      <c r="T98" s="7" t="str">
        <f t="shared" si="30"/>
        <v/>
      </c>
      <c r="U98" s="8" t="str">
        <f t="shared" si="39"/>
        <v/>
      </c>
      <c r="V98" s="8" t="str">
        <f t="shared" si="39"/>
        <v/>
      </c>
      <c r="W98" s="7" t="str">
        <f t="shared" si="52"/>
        <v/>
      </c>
      <c r="X98" s="7" t="str">
        <f t="shared" si="52"/>
        <v/>
      </c>
      <c r="Y98" s="10" t="str">
        <f t="shared" si="33"/>
        <v/>
      </c>
      <c r="Z98" s="10" t="str">
        <f t="shared" si="40"/>
        <v/>
      </c>
      <c r="AA98" s="10" t="str">
        <f t="shared" si="41"/>
        <v/>
      </c>
      <c r="AB98" s="10" t="str">
        <f t="shared" si="42"/>
        <v/>
      </c>
      <c r="AC98" s="10" t="str">
        <f t="shared" si="43"/>
        <v/>
      </c>
      <c r="AD98" s="10" t="str">
        <f t="shared" si="44"/>
        <v/>
      </c>
      <c r="AE98" s="10" t="str">
        <f t="shared" si="34"/>
        <v/>
      </c>
      <c r="AF98" s="10" t="str">
        <f t="shared" si="35"/>
        <v/>
      </c>
      <c r="AG98" s="10" t="str">
        <f t="shared" si="45"/>
        <v/>
      </c>
      <c r="AH98" s="10" t="str">
        <f t="shared" si="36"/>
        <v/>
      </c>
      <c r="AI98" s="10" t="str">
        <f t="shared" si="37"/>
        <v/>
      </c>
      <c r="AJ98" s="10" t="str">
        <f t="shared" si="46"/>
        <v/>
      </c>
      <c r="AK98" s="10" t="str">
        <f t="shared" si="38"/>
        <v/>
      </c>
      <c r="AL98" s="10" t="str">
        <f t="shared" si="47"/>
        <v/>
      </c>
      <c r="AM98" s="10" t="str">
        <f t="shared" si="48"/>
        <v/>
      </c>
      <c r="AN98" s="10" t="str">
        <f t="shared" si="49"/>
        <v/>
      </c>
      <c r="AO98" s="10" t="str">
        <f t="shared" si="50"/>
        <v/>
      </c>
      <c r="AP98" s="10" t="str">
        <f t="shared" si="51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3">IF($G99="","",IF($G99=1,(($C$2+$H99)*N$3)*(1+(N$4-N$5)),((N98+($H99*N$3))*(1+(N$4-N$5)))))</f>
        <v/>
      </c>
      <c r="O99" s="7" t="str">
        <f t="shared" si="53"/>
        <v/>
      </c>
      <c r="P99" s="7" t="str">
        <f t="shared" si="53"/>
        <v/>
      </c>
      <c r="Q99" s="7" t="str">
        <f t="shared" si="53"/>
        <v/>
      </c>
      <c r="R99" s="7" t="str">
        <f t="shared" si="30"/>
        <v/>
      </c>
      <c r="S99" s="7" t="str">
        <f t="shared" si="53"/>
        <v/>
      </c>
      <c r="T99" s="7" t="str">
        <f t="shared" si="30"/>
        <v/>
      </c>
      <c r="U99" s="8" t="str">
        <f t="shared" si="39"/>
        <v/>
      </c>
      <c r="V99" s="8" t="str">
        <f t="shared" si="39"/>
        <v/>
      </c>
      <c r="W99" s="7" t="str">
        <f t="shared" ref="W99:X99" si="54">IF($G99="","",IF($G99=1,(($C$2+$H99)*W$3)*(1+(W$4-W$5)),((W98+($H99*W$3))*(1+(W$4-W$5)))))</f>
        <v/>
      </c>
      <c r="X99" s="7" t="str">
        <f t="shared" si="54"/>
        <v/>
      </c>
      <c r="Y99" s="10" t="str">
        <f t="shared" si="33"/>
        <v/>
      </c>
      <c r="Z99" s="10" t="str">
        <f t="shared" si="40"/>
        <v/>
      </c>
      <c r="AA99" s="10" t="str">
        <f t="shared" si="41"/>
        <v/>
      </c>
      <c r="AB99" s="10" t="str">
        <f t="shared" si="42"/>
        <v/>
      </c>
      <c r="AC99" s="10" t="str">
        <f t="shared" si="43"/>
        <v/>
      </c>
      <c r="AD99" s="10" t="str">
        <f t="shared" si="44"/>
        <v/>
      </c>
      <c r="AE99" s="10" t="str">
        <f t="shared" si="34"/>
        <v/>
      </c>
      <c r="AF99" s="10" t="str">
        <f t="shared" si="35"/>
        <v/>
      </c>
      <c r="AG99" s="10" t="str">
        <f t="shared" si="45"/>
        <v/>
      </c>
      <c r="AH99" s="10" t="str">
        <f t="shared" si="36"/>
        <v/>
      </c>
      <c r="AI99" s="10" t="str">
        <f t="shared" si="37"/>
        <v/>
      </c>
      <c r="AJ99" s="10" t="str">
        <f t="shared" si="46"/>
        <v/>
      </c>
      <c r="AK99" s="10" t="str">
        <f t="shared" si="38"/>
        <v/>
      </c>
      <c r="AL99" s="10" t="str">
        <f t="shared" si="47"/>
        <v/>
      </c>
      <c r="AM99" s="10" t="str">
        <f t="shared" si="48"/>
        <v/>
      </c>
      <c r="AN99" s="10" t="str">
        <f t="shared" si="49"/>
        <v/>
      </c>
      <c r="AO99" s="10" t="str">
        <f t="shared" si="50"/>
        <v/>
      </c>
      <c r="AP99" s="10" t="str">
        <f t="shared" si="51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3"/>
        <v/>
      </c>
      <c r="J100" s="7" t="str">
        <f t="shared" si="53"/>
        <v/>
      </c>
      <c r="K100" s="7" t="str">
        <f t="shared" si="53"/>
        <v/>
      </c>
      <c r="L100" s="7" t="str">
        <f t="shared" si="53"/>
        <v/>
      </c>
      <c r="M100" s="7" t="str">
        <f t="shared" si="53"/>
        <v/>
      </c>
      <c r="N100" s="7" t="str">
        <f t="shared" si="53"/>
        <v/>
      </c>
      <c r="O100" s="7" t="str">
        <f t="shared" si="53"/>
        <v/>
      </c>
      <c r="P100" s="7" t="str">
        <f t="shared" si="53"/>
        <v/>
      </c>
      <c r="Q100" s="7" t="str">
        <f t="shared" si="53"/>
        <v/>
      </c>
      <c r="R100" s="7" t="str">
        <f t="shared" si="30"/>
        <v/>
      </c>
      <c r="S100" s="7" t="str">
        <f t="shared" si="53"/>
        <v/>
      </c>
      <c r="T100" s="7" t="str">
        <f t="shared" si="30"/>
        <v/>
      </c>
      <c r="U100" s="8" t="str">
        <f t="shared" si="39"/>
        <v/>
      </c>
      <c r="V100" s="8" t="str">
        <f t="shared" si="39"/>
        <v/>
      </c>
      <c r="W100" s="7" t="str">
        <f t="shared" ref="W100:X100" si="55">IF($G100="","",IF($G100=1,(($C$2+$H100)*W$3)*(1+(W$4-W$5)),((W99+($H100*W$3))*(1+(W$4-W$5)))))</f>
        <v/>
      </c>
      <c r="X100" s="7" t="str">
        <f t="shared" si="55"/>
        <v/>
      </c>
      <c r="Y100" s="10" t="str">
        <f t="shared" si="33"/>
        <v/>
      </c>
      <c r="Z100" s="10" t="str">
        <f t="shared" si="40"/>
        <v/>
      </c>
      <c r="AA100" s="10" t="str">
        <f t="shared" si="41"/>
        <v/>
      </c>
      <c r="AB100" s="10" t="str">
        <f t="shared" si="42"/>
        <v/>
      </c>
      <c r="AC100" s="10" t="str">
        <f t="shared" si="43"/>
        <v/>
      </c>
      <c r="AD100" s="10" t="str">
        <f t="shared" si="44"/>
        <v/>
      </c>
      <c r="AE100" s="10" t="str">
        <f t="shared" si="34"/>
        <v/>
      </c>
      <c r="AF100" s="10" t="str">
        <f t="shared" si="35"/>
        <v/>
      </c>
      <c r="AG100" s="10" t="str">
        <f t="shared" si="45"/>
        <v/>
      </c>
      <c r="AH100" s="10" t="str">
        <f t="shared" si="36"/>
        <v/>
      </c>
      <c r="AI100" s="10" t="str">
        <f t="shared" si="37"/>
        <v/>
      </c>
      <c r="AJ100" s="10" t="str">
        <f t="shared" si="46"/>
        <v/>
      </c>
      <c r="AK100" s="10" t="str">
        <f t="shared" si="38"/>
        <v/>
      </c>
      <c r="AL100" s="10" t="str">
        <f t="shared" si="47"/>
        <v/>
      </c>
      <c r="AM100" s="10" t="str">
        <f t="shared" si="48"/>
        <v/>
      </c>
      <c r="AN100" s="10" t="str">
        <f t="shared" si="49"/>
        <v/>
      </c>
      <c r="AO100" s="10" t="str">
        <f t="shared" si="50"/>
        <v/>
      </c>
      <c r="AP100" s="10" t="str">
        <f t="shared" si="51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3"/>
        <v/>
      </c>
      <c r="J101" s="7" t="str">
        <f t="shared" si="53"/>
        <v/>
      </c>
      <c r="K101" s="7" t="str">
        <f t="shared" si="53"/>
        <v/>
      </c>
      <c r="L101" s="7" t="str">
        <f t="shared" si="53"/>
        <v/>
      </c>
      <c r="M101" s="7" t="str">
        <f t="shared" si="53"/>
        <v/>
      </c>
      <c r="N101" s="7" t="str">
        <f t="shared" si="53"/>
        <v/>
      </c>
      <c r="O101" s="7" t="str">
        <f t="shared" si="53"/>
        <v/>
      </c>
      <c r="P101" s="7" t="str">
        <f t="shared" si="53"/>
        <v/>
      </c>
      <c r="Q101" s="7" t="str">
        <f t="shared" si="53"/>
        <v/>
      </c>
      <c r="R101" s="7" t="str">
        <f t="shared" si="30"/>
        <v/>
      </c>
      <c r="S101" s="7" t="str">
        <f t="shared" si="53"/>
        <v/>
      </c>
      <c r="T101" s="7" t="str">
        <f t="shared" si="30"/>
        <v/>
      </c>
      <c r="U101" s="8" t="str">
        <f t="shared" si="39"/>
        <v/>
      </c>
      <c r="V101" s="8" t="str">
        <f t="shared" si="39"/>
        <v/>
      </c>
      <c r="W101" s="7" t="str">
        <f t="shared" ref="W101:X101" si="56">IF($G101="","",IF($G101=1,(($C$2+$H101)*W$3)*(1+(W$4-W$5)),((W100+($H101*W$3))*(1+(W$4-W$5)))))</f>
        <v/>
      </c>
      <c r="X101" s="7" t="str">
        <f t="shared" si="56"/>
        <v/>
      </c>
      <c r="Y101" s="10" t="str">
        <f t="shared" si="33"/>
        <v/>
      </c>
      <c r="Z101" s="10" t="str">
        <f t="shared" si="40"/>
        <v/>
      </c>
      <c r="AA101" s="10" t="str">
        <f t="shared" si="41"/>
        <v/>
      </c>
      <c r="AB101" s="10" t="str">
        <f t="shared" si="42"/>
        <v/>
      </c>
      <c r="AC101" s="10" t="str">
        <f t="shared" si="43"/>
        <v/>
      </c>
      <c r="AD101" s="10" t="str">
        <f t="shared" si="44"/>
        <v/>
      </c>
      <c r="AE101" s="10" t="str">
        <f t="shared" si="34"/>
        <v/>
      </c>
      <c r="AF101" s="10" t="str">
        <f t="shared" si="35"/>
        <v/>
      </c>
      <c r="AG101" s="10" t="str">
        <f t="shared" si="45"/>
        <v/>
      </c>
      <c r="AH101" s="10" t="str">
        <f t="shared" si="36"/>
        <v/>
      </c>
      <c r="AI101" s="10" t="str">
        <f t="shared" si="37"/>
        <v/>
      </c>
      <c r="AJ101" s="10" t="str">
        <f t="shared" si="46"/>
        <v/>
      </c>
      <c r="AK101" s="10" t="str">
        <f t="shared" si="38"/>
        <v/>
      </c>
      <c r="AL101" s="10" t="str">
        <f t="shared" si="47"/>
        <v/>
      </c>
      <c r="AM101" s="10" t="str">
        <f t="shared" si="48"/>
        <v/>
      </c>
      <c r="AN101" s="10" t="str">
        <f t="shared" si="49"/>
        <v/>
      </c>
      <c r="AO101" s="10" t="str">
        <f t="shared" si="50"/>
        <v/>
      </c>
      <c r="AP101" s="10" t="str">
        <f t="shared" si="51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3"/>
        <v/>
      </c>
      <c r="J102" s="7" t="str">
        <f t="shared" si="53"/>
        <v/>
      </c>
      <c r="K102" s="7" t="str">
        <f t="shared" si="53"/>
        <v/>
      </c>
      <c r="L102" s="7" t="str">
        <f t="shared" si="53"/>
        <v/>
      </c>
      <c r="M102" s="7" t="str">
        <f t="shared" si="53"/>
        <v/>
      </c>
      <c r="N102" s="7" t="str">
        <f t="shared" si="53"/>
        <v/>
      </c>
      <c r="O102" s="7" t="str">
        <f t="shared" si="53"/>
        <v/>
      </c>
      <c r="P102" s="7" t="str">
        <f t="shared" si="53"/>
        <v/>
      </c>
      <c r="Q102" s="7" t="str">
        <f t="shared" si="53"/>
        <v/>
      </c>
      <c r="R102" s="7" t="str">
        <f t="shared" si="30"/>
        <v/>
      </c>
      <c r="S102" s="7" t="str">
        <f t="shared" si="53"/>
        <v/>
      </c>
      <c r="T102" s="7" t="str">
        <f t="shared" si="30"/>
        <v/>
      </c>
      <c r="U102" s="8" t="str">
        <f t="shared" si="39"/>
        <v/>
      </c>
      <c r="V102" s="8" t="str">
        <f t="shared" si="39"/>
        <v/>
      </c>
      <c r="W102" s="7" t="str">
        <f t="shared" ref="W102:X102" si="57">IF($G102="","",IF($G102=1,(($C$2+$H102)*W$3)*(1+(W$4-W$5)),((W101+($H102*W$3))*(1+(W$4-W$5)))))</f>
        <v/>
      </c>
      <c r="X102" s="7" t="str">
        <f t="shared" si="57"/>
        <v/>
      </c>
      <c r="Y102" s="10" t="str">
        <f t="shared" si="33"/>
        <v/>
      </c>
      <c r="Z102" s="10" t="str">
        <f t="shared" si="40"/>
        <v/>
      </c>
      <c r="AA102" s="10" t="str">
        <f t="shared" si="41"/>
        <v/>
      </c>
      <c r="AB102" s="10" t="str">
        <f t="shared" si="42"/>
        <v/>
      </c>
      <c r="AC102" s="10" t="str">
        <f t="shared" si="43"/>
        <v/>
      </c>
      <c r="AD102" s="10" t="str">
        <f t="shared" si="44"/>
        <v/>
      </c>
      <c r="AE102" s="10" t="str">
        <f t="shared" si="34"/>
        <v/>
      </c>
      <c r="AF102" s="10" t="str">
        <f t="shared" si="35"/>
        <v/>
      </c>
      <c r="AG102" s="10" t="str">
        <f t="shared" si="45"/>
        <v/>
      </c>
      <c r="AH102" s="10" t="str">
        <f t="shared" si="36"/>
        <v/>
      </c>
      <c r="AI102" s="10" t="str">
        <f t="shared" si="37"/>
        <v/>
      </c>
      <c r="AJ102" s="10" t="str">
        <f t="shared" si="46"/>
        <v/>
      </c>
      <c r="AK102" s="10" t="str">
        <f t="shared" si="38"/>
        <v/>
      </c>
      <c r="AL102" s="10" t="str">
        <f t="shared" si="47"/>
        <v/>
      </c>
      <c r="AM102" s="10" t="str">
        <f t="shared" si="48"/>
        <v/>
      </c>
      <c r="AN102" s="10" t="str">
        <f t="shared" si="49"/>
        <v/>
      </c>
      <c r="AO102" s="10" t="str">
        <f t="shared" si="50"/>
        <v/>
      </c>
      <c r="AP102" s="10" t="str">
        <f t="shared" si="51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3"/>
        <v/>
      </c>
      <c r="J103" s="7" t="str">
        <f t="shared" si="53"/>
        <v/>
      </c>
      <c r="K103" s="7" t="str">
        <f t="shared" si="53"/>
        <v/>
      </c>
      <c r="L103" s="7" t="str">
        <f t="shared" si="53"/>
        <v/>
      </c>
      <c r="M103" s="7" t="str">
        <f t="shared" si="53"/>
        <v/>
      </c>
      <c r="N103" s="7" t="str">
        <f t="shared" si="53"/>
        <v/>
      </c>
      <c r="O103" s="7" t="str">
        <f t="shared" si="53"/>
        <v/>
      </c>
      <c r="P103" s="7" t="str">
        <f t="shared" si="53"/>
        <v/>
      </c>
      <c r="Q103" s="7" t="str">
        <f t="shared" si="53"/>
        <v/>
      </c>
      <c r="R103" s="7" t="str">
        <f t="shared" si="30"/>
        <v/>
      </c>
      <c r="S103" s="7" t="str">
        <f t="shared" si="53"/>
        <v/>
      </c>
      <c r="T103" s="7" t="str">
        <f t="shared" si="30"/>
        <v/>
      </c>
      <c r="U103" s="8" t="str">
        <f t="shared" si="39"/>
        <v/>
      </c>
      <c r="V103" s="8" t="str">
        <f t="shared" si="39"/>
        <v/>
      </c>
      <c r="W103" s="7" t="str">
        <f t="shared" ref="W103:X103" si="58">IF($G103="","",IF($G103=1,(($C$2+$H103)*W$3)*(1+(W$4-W$5)),((W102+($H103*W$3))*(1+(W$4-W$5)))))</f>
        <v/>
      </c>
      <c r="X103" s="7" t="str">
        <f t="shared" si="58"/>
        <v/>
      </c>
      <c r="Y103" s="10" t="str">
        <f t="shared" si="33"/>
        <v/>
      </c>
      <c r="Z103" s="10" t="str">
        <f t="shared" si="40"/>
        <v/>
      </c>
      <c r="AA103" s="10" t="str">
        <f t="shared" si="41"/>
        <v/>
      </c>
      <c r="AB103" s="10" t="str">
        <f t="shared" si="42"/>
        <v/>
      </c>
      <c r="AC103" s="10" t="str">
        <f t="shared" si="43"/>
        <v/>
      </c>
      <c r="AD103" s="10" t="str">
        <f t="shared" si="44"/>
        <v/>
      </c>
      <c r="AE103" s="10" t="str">
        <f t="shared" si="34"/>
        <v/>
      </c>
      <c r="AF103" s="10" t="str">
        <f t="shared" si="35"/>
        <v/>
      </c>
      <c r="AG103" s="10" t="str">
        <f t="shared" si="45"/>
        <v/>
      </c>
      <c r="AH103" s="10" t="str">
        <f t="shared" si="36"/>
        <v/>
      </c>
      <c r="AI103" s="10" t="str">
        <f t="shared" si="37"/>
        <v/>
      </c>
      <c r="AJ103" s="10" t="str">
        <f t="shared" si="46"/>
        <v/>
      </c>
      <c r="AK103" s="10" t="str">
        <f t="shared" si="38"/>
        <v/>
      </c>
      <c r="AL103" s="10" t="str">
        <f t="shared" si="47"/>
        <v/>
      </c>
      <c r="AM103" s="10" t="str">
        <f t="shared" si="48"/>
        <v/>
      </c>
      <c r="AN103" s="10" t="str">
        <f t="shared" si="49"/>
        <v/>
      </c>
      <c r="AO103" s="10" t="str">
        <f t="shared" si="50"/>
        <v/>
      </c>
      <c r="AP103" s="10" t="str">
        <f t="shared" si="51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3"/>
        <v/>
      </c>
      <c r="J104" s="7" t="str">
        <f t="shared" si="53"/>
        <v/>
      </c>
      <c r="K104" s="7" t="str">
        <f t="shared" si="53"/>
        <v/>
      </c>
      <c r="L104" s="7" t="str">
        <f t="shared" si="53"/>
        <v/>
      </c>
      <c r="M104" s="7" t="str">
        <f t="shared" si="53"/>
        <v/>
      </c>
      <c r="N104" s="7" t="str">
        <f t="shared" si="53"/>
        <v/>
      </c>
      <c r="O104" s="7" t="str">
        <f t="shared" si="53"/>
        <v/>
      </c>
      <c r="P104" s="7" t="str">
        <f t="shared" si="53"/>
        <v/>
      </c>
      <c r="Q104" s="7" t="str">
        <f t="shared" si="53"/>
        <v/>
      </c>
      <c r="R104" s="7" t="str">
        <f t="shared" si="30"/>
        <v/>
      </c>
      <c r="S104" s="7" t="str">
        <f t="shared" si="53"/>
        <v/>
      </c>
      <c r="T104" s="7" t="str">
        <f t="shared" si="30"/>
        <v/>
      </c>
      <c r="U104" s="8" t="str">
        <f t="shared" si="39"/>
        <v/>
      </c>
      <c r="V104" s="8" t="str">
        <f t="shared" si="39"/>
        <v/>
      </c>
      <c r="W104" s="7" t="str">
        <f t="shared" ref="W104:X104" si="59">IF($G104="","",IF($G104=1,(($C$2+$H104)*W$3)*(1+(W$4-W$5)),((W103+($H104*W$3))*(1+(W$4-W$5)))))</f>
        <v/>
      </c>
      <c r="X104" s="7" t="str">
        <f t="shared" si="59"/>
        <v/>
      </c>
      <c r="Y104" s="10" t="str">
        <f t="shared" si="33"/>
        <v/>
      </c>
      <c r="Z104" s="10" t="str">
        <f t="shared" si="40"/>
        <v/>
      </c>
      <c r="AA104" s="10" t="str">
        <f t="shared" si="41"/>
        <v/>
      </c>
      <c r="AB104" s="10" t="str">
        <f t="shared" si="42"/>
        <v/>
      </c>
      <c r="AC104" s="10" t="str">
        <f t="shared" si="43"/>
        <v/>
      </c>
      <c r="AD104" s="10" t="str">
        <f t="shared" si="44"/>
        <v/>
      </c>
      <c r="AE104" s="10" t="str">
        <f t="shared" si="34"/>
        <v/>
      </c>
      <c r="AF104" s="10" t="str">
        <f t="shared" si="35"/>
        <v/>
      </c>
      <c r="AG104" s="10" t="str">
        <f t="shared" si="45"/>
        <v/>
      </c>
      <c r="AH104" s="10" t="str">
        <f t="shared" si="36"/>
        <v/>
      </c>
      <c r="AI104" s="10" t="str">
        <f t="shared" si="37"/>
        <v/>
      </c>
      <c r="AJ104" s="10" t="str">
        <f t="shared" si="46"/>
        <v/>
      </c>
      <c r="AK104" s="10" t="str">
        <f t="shared" si="38"/>
        <v/>
      </c>
      <c r="AL104" s="10" t="str">
        <f t="shared" si="47"/>
        <v/>
      </c>
      <c r="AM104" s="10" t="str">
        <f t="shared" si="48"/>
        <v/>
      </c>
      <c r="AN104" s="10" t="str">
        <f t="shared" si="49"/>
        <v/>
      </c>
      <c r="AO104" s="10" t="str">
        <f t="shared" si="50"/>
        <v/>
      </c>
      <c r="AP104" s="10" t="str">
        <f t="shared" si="51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3"/>
        <v/>
      </c>
      <c r="J105" s="7" t="str">
        <f t="shared" si="53"/>
        <v/>
      </c>
      <c r="K105" s="7" t="str">
        <f t="shared" si="53"/>
        <v/>
      </c>
      <c r="L105" s="7" t="str">
        <f t="shared" si="53"/>
        <v/>
      </c>
      <c r="M105" s="7" t="str">
        <f t="shared" si="53"/>
        <v/>
      </c>
      <c r="N105" s="7" t="str">
        <f t="shared" si="53"/>
        <v/>
      </c>
      <c r="O105" s="7" t="str">
        <f t="shared" si="53"/>
        <v/>
      </c>
      <c r="P105" s="7" t="str">
        <f t="shared" si="53"/>
        <v/>
      </c>
      <c r="Q105" s="7" t="str">
        <f t="shared" si="53"/>
        <v/>
      </c>
      <c r="R105" s="7" t="str">
        <f t="shared" si="30"/>
        <v/>
      </c>
      <c r="S105" s="7" t="str">
        <f t="shared" si="53"/>
        <v/>
      </c>
      <c r="T105" s="7" t="str">
        <f t="shared" si="30"/>
        <v/>
      </c>
      <c r="U105" s="8" t="str">
        <f t="shared" si="39"/>
        <v/>
      </c>
      <c r="V105" s="8" t="str">
        <f t="shared" si="39"/>
        <v/>
      </c>
      <c r="W105" s="7" t="str">
        <f t="shared" ref="W105:X105" si="60">IF($G105="","",IF($G105=1,(($C$2+$H105)*W$3)*(1+(W$4-W$5)),((W104+($H105*W$3))*(1+(W$4-W$5)))))</f>
        <v/>
      </c>
      <c r="X105" s="7" t="str">
        <f t="shared" si="60"/>
        <v/>
      </c>
      <c r="Y105" s="10" t="str">
        <f t="shared" si="33"/>
        <v/>
      </c>
      <c r="Z105" s="10" t="str">
        <f t="shared" si="40"/>
        <v/>
      </c>
      <c r="AA105" s="10" t="str">
        <f t="shared" si="41"/>
        <v/>
      </c>
      <c r="AB105" s="10" t="str">
        <f t="shared" si="42"/>
        <v/>
      </c>
      <c r="AC105" s="10" t="str">
        <f t="shared" si="43"/>
        <v/>
      </c>
      <c r="AD105" s="10" t="str">
        <f t="shared" si="44"/>
        <v/>
      </c>
      <c r="AE105" s="10" t="str">
        <f t="shared" si="34"/>
        <v/>
      </c>
      <c r="AF105" s="10" t="str">
        <f t="shared" si="35"/>
        <v/>
      </c>
      <c r="AG105" s="10" t="str">
        <f t="shared" si="45"/>
        <v/>
      </c>
      <c r="AH105" s="10" t="str">
        <f t="shared" si="36"/>
        <v/>
      </c>
      <c r="AI105" s="10" t="str">
        <f t="shared" si="37"/>
        <v/>
      </c>
      <c r="AJ105" s="10" t="str">
        <f t="shared" si="46"/>
        <v/>
      </c>
      <c r="AK105" s="10" t="str">
        <f t="shared" si="38"/>
        <v/>
      </c>
      <c r="AL105" s="10" t="str">
        <f t="shared" si="47"/>
        <v/>
      </c>
      <c r="AM105" s="10" t="str">
        <f t="shared" si="48"/>
        <v/>
      </c>
      <c r="AN105" s="10" t="str">
        <f t="shared" si="49"/>
        <v/>
      </c>
      <c r="AO105" s="10" t="str">
        <f t="shared" si="50"/>
        <v/>
      </c>
      <c r="AP105" s="10" t="str">
        <f t="shared" si="51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3"/>
        <v/>
      </c>
      <c r="J106" s="7" t="str">
        <f t="shared" si="53"/>
        <v/>
      </c>
      <c r="K106" s="7" t="str">
        <f t="shared" si="53"/>
        <v/>
      </c>
      <c r="L106" s="7" t="str">
        <f t="shared" si="53"/>
        <v/>
      </c>
      <c r="M106" s="7" t="str">
        <f t="shared" si="53"/>
        <v/>
      </c>
      <c r="N106" s="7" t="str">
        <f t="shared" si="53"/>
        <v/>
      </c>
      <c r="O106" s="7" t="str">
        <f t="shared" si="53"/>
        <v/>
      </c>
      <c r="P106" s="7" t="str">
        <f t="shared" si="53"/>
        <v/>
      </c>
      <c r="Q106" s="7" t="str">
        <f t="shared" si="53"/>
        <v/>
      </c>
      <c r="R106" s="7" t="str">
        <f t="shared" si="30"/>
        <v/>
      </c>
      <c r="S106" s="7" t="str">
        <f t="shared" si="53"/>
        <v/>
      </c>
      <c r="T106" s="7" t="str">
        <f t="shared" si="30"/>
        <v/>
      </c>
      <c r="U106" s="8" t="str">
        <f t="shared" si="39"/>
        <v/>
      </c>
      <c r="V106" s="8" t="str">
        <f t="shared" si="39"/>
        <v/>
      </c>
      <c r="W106" s="7" t="str">
        <f t="shared" ref="W106:X106" si="61">IF($G106="","",IF($G106=1,(($C$2+$H106)*W$3)*(1+(W$4-W$5)),((W105+($H106*W$3))*(1+(W$4-W$5)))))</f>
        <v/>
      </c>
      <c r="X106" s="7" t="str">
        <f t="shared" si="61"/>
        <v/>
      </c>
      <c r="Y106" s="10" t="str">
        <f t="shared" si="33"/>
        <v/>
      </c>
      <c r="Z106" s="10" t="str">
        <f t="shared" si="40"/>
        <v/>
      </c>
      <c r="AA106" s="10" t="str">
        <f t="shared" si="41"/>
        <v/>
      </c>
      <c r="AB106" s="10" t="str">
        <f t="shared" si="42"/>
        <v/>
      </c>
      <c r="AC106" s="10" t="str">
        <f t="shared" si="43"/>
        <v/>
      </c>
      <c r="AD106" s="10" t="str">
        <f t="shared" si="44"/>
        <v/>
      </c>
      <c r="AE106" s="10" t="str">
        <f t="shared" si="34"/>
        <v/>
      </c>
      <c r="AF106" s="10" t="str">
        <f t="shared" si="35"/>
        <v/>
      </c>
      <c r="AG106" s="10" t="str">
        <f t="shared" si="45"/>
        <v/>
      </c>
      <c r="AH106" s="10" t="str">
        <f t="shared" si="36"/>
        <v/>
      </c>
      <c r="AI106" s="10" t="str">
        <f t="shared" si="37"/>
        <v/>
      </c>
      <c r="AJ106" s="10" t="str">
        <f t="shared" si="46"/>
        <v/>
      </c>
      <c r="AK106" s="10" t="str">
        <f t="shared" si="38"/>
        <v/>
      </c>
      <c r="AL106" s="10" t="str">
        <f t="shared" si="47"/>
        <v/>
      </c>
      <c r="AM106" s="10" t="str">
        <f t="shared" si="48"/>
        <v/>
      </c>
      <c r="AN106" s="10" t="str">
        <f t="shared" si="49"/>
        <v/>
      </c>
      <c r="AO106" s="10" t="str">
        <f t="shared" si="50"/>
        <v/>
      </c>
      <c r="AP106" s="10" t="str">
        <f t="shared" si="51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3"/>
        <v/>
      </c>
      <c r="J107" s="7" t="str">
        <f t="shared" si="53"/>
        <v/>
      </c>
      <c r="K107" s="7" t="str">
        <f t="shared" si="53"/>
        <v/>
      </c>
      <c r="L107" s="7" t="str">
        <f t="shared" si="53"/>
        <v/>
      </c>
      <c r="M107" s="7" t="str">
        <f t="shared" si="53"/>
        <v/>
      </c>
      <c r="N107" s="7" t="str">
        <f t="shared" si="53"/>
        <v/>
      </c>
      <c r="O107" s="7" t="str">
        <f t="shared" si="53"/>
        <v/>
      </c>
      <c r="P107" s="7" t="str">
        <f t="shared" si="53"/>
        <v/>
      </c>
      <c r="Q107" s="7" t="str">
        <f t="shared" si="53"/>
        <v/>
      </c>
      <c r="R107" s="7" t="str">
        <f t="shared" si="30"/>
        <v/>
      </c>
      <c r="S107" s="7" t="str">
        <f t="shared" si="53"/>
        <v/>
      </c>
      <c r="T107" s="7" t="str">
        <f t="shared" si="30"/>
        <v/>
      </c>
      <c r="U107" s="8" t="str">
        <f t="shared" si="39"/>
        <v/>
      </c>
      <c r="V107" s="8" t="str">
        <f t="shared" si="39"/>
        <v/>
      </c>
      <c r="W107" s="7" t="str">
        <f t="shared" ref="W107:X107" si="62">IF($G107="","",IF($G107=1,(($C$2+$H107)*W$3)*(1+(W$4-W$5)),((W106+($H107*W$3))*(1+(W$4-W$5)))))</f>
        <v/>
      </c>
      <c r="X107" s="7" t="str">
        <f t="shared" si="62"/>
        <v/>
      </c>
      <c r="Y107" s="10" t="str">
        <f t="shared" si="33"/>
        <v/>
      </c>
      <c r="Z107" s="10" t="str">
        <f t="shared" si="40"/>
        <v/>
      </c>
      <c r="AA107" s="10" t="str">
        <f t="shared" si="41"/>
        <v/>
      </c>
      <c r="AB107" s="10" t="str">
        <f t="shared" si="42"/>
        <v/>
      </c>
      <c r="AC107" s="10" t="str">
        <f t="shared" si="43"/>
        <v/>
      </c>
      <c r="AD107" s="10" t="str">
        <f t="shared" si="44"/>
        <v/>
      </c>
      <c r="AE107" s="10" t="str">
        <f t="shared" si="34"/>
        <v/>
      </c>
      <c r="AF107" s="10" t="str">
        <f t="shared" si="35"/>
        <v/>
      </c>
      <c r="AG107" s="10" t="str">
        <f t="shared" si="45"/>
        <v/>
      </c>
      <c r="AH107" s="10" t="str">
        <f t="shared" si="36"/>
        <v/>
      </c>
      <c r="AI107" s="10" t="str">
        <f t="shared" si="37"/>
        <v/>
      </c>
      <c r="AJ107" s="10" t="str">
        <f t="shared" si="46"/>
        <v/>
      </c>
      <c r="AK107" s="10" t="str">
        <f t="shared" si="38"/>
        <v/>
      </c>
      <c r="AL107" s="10" t="str">
        <f t="shared" si="47"/>
        <v/>
      </c>
      <c r="AM107" s="10" t="str">
        <f t="shared" si="48"/>
        <v/>
      </c>
      <c r="AN107" s="10" t="str">
        <f t="shared" si="49"/>
        <v/>
      </c>
      <c r="AO107" s="10" t="str">
        <f t="shared" si="50"/>
        <v/>
      </c>
      <c r="AP107" s="10" t="str">
        <f t="shared" si="51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3"/>
        <v/>
      </c>
      <c r="J108" s="7" t="str">
        <f t="shared" si="53"/>
        <v/>
      </c>
      <c r="K108" s="7" t="str">
        <f t="shared" si="53"/>
        <v/>
      </c>
      <c r="L108" s="7" t="str">
        <f t="shared" si="53"/>
        <v/>
      </c>
      <c r="M108" s="7" t="str">
        <f t="shared" si="53"/>
        <v/>
      </c>
      <c r="N108" s="7" t="str">
        <f t="shared" si="53"/>
        <v/>
      </c>
      <c r="O108" s="7" t="str">
        <f t="shared" si="53"/>
        <v/>
      </c>
      <c r="P108" s="7" t="str">
        <f t="shared" si="53"/>
        <v/>
      </c>
      <c r="Q108" s="7" t="str">
        <f t="shared" si="53"/>
        <v/>
      </c>
      <c r="R108" s="7" t="str">
        <f t="shared" si="30"/>
        <v/>
      </c>
      <c r="S108" s="7" t="str">
        <f t="shared" si="53"/>
        <v/>
      </c>
      <c r="T108" s="7" t="str">
        <f t="shared" si="30"/>
        <v/>
      </c>
      <c r="U108" s="8" t="str">
        <f t="shared" si="39"/>
        <v/>
      </c>
      <c r="V108" s="8" t="str">
        <f t="shared" si="39"/>
        <v/>
      </c>
      <c r="W108" s="7" t="str">
        <f t="shared" ref="W108:X108" si="63">IF($G108="","",IF($G108=1,(($C$2+$H108)*W$3)*(1+(W$4-W$5)),((W107+($H108*W$3))*(1+(W$4-W$5)))))</f>
        <v/>
      </c>
      <c r="X108" s="7" t="str">
        <f t="shared" si="63"/>
        <v/>
      </c>
      <c r="Y108" s="10" t="str">
        <f t="shared" si="33"/>
        <v/>
      </c>
      <c r="Z108" s="10" t="str">
        <f t="shared" si="40"/>
        <v/>
      </c>
      <c r="AA108" s="10" t="str">
        <f t="shared" si="41"/>
        <v/>
      </c>
      <c r="AB108" s="10" t="str">
        <f t="shared" si="42"/>
        <v/>
      </c>
      <c r="AC108" s="10" t="str">
        <f t="shared" si="43"/>
        <v/>
      </c>
      <c r="AD108" s="10" t="str">
        <f t="shared" si="44"/>
        <v/>
      </c>
      <c r="AE108" s="10" t="str">
        <f t="shared" si="34"/>
        <v/>
      </c>
      <c r="AF108" s="10" t="str">
        <f t="shared" si="35"/>
        <v/>
      </c>
      <c r="AG108" s="10" t="str">
        <f t="shared" si="45"/>
        <v/>
      </c>
      <c r="AH108" s="10" t="str">
        <f t="shared" si="36"/>
        <v/>
      </c>
      <c r="AI108" s="10" t="str">
        <f t="shared" si="37"/>
        <v/>
      </c>
      <c r="AJ108" s="10" t="str">
        <f t="shared" si="46"/>
        <v/>
      </c>
      <c r="AK108" s="10" t="str">
        <f t="shared" si="38"/>
        <v/>
      </c>
      <c r="AL108" s="10" t="str">
        <f t="shared" si="47"/>
        <v/>
      </c>
      <c r="AM108" s="10" t="str">
        <f t="shared" si="48"/>
        <v/>
      </c>
      <c r="AN108" s="10" t="str">
        <f t="shared" si="49"/>
        <v/>
      </c>
      <c r="AO108" s="10" t="str">
        <f t="shared" si="50"/>
        <v/>
      </c>
      <c r="AP108" s="10" t="str">
        <f t="shared" si="51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3"/>
        <v/>
      </c>
      <c r="J109" s="7" t="str">
        <f t="shared" si="53"/>
        <v/>
      </c>
      <c r="K109" s="7" t="str">
        <f t="shared" si="53"/>
        <v/>
      </c>
      <c r="L109" s="7" t="str">
        <f t="shared" si="53"/>
        <v/>
      </c>
      <c r="M109" s="7" t="str">
        <f t="shared" si="53"/>
        <v/>
      </c>
      <c r="N109" s="7" t="str">
        <f t="shared" si="53"/>
        <v/>
      </c>
      <c r="O109" s="7" t="str">
        <f t="shared" si="53"/>
        <v/>
      </c>
      <c r="P109" s="7" t="str">
        <f t="shared" si="53"/>
        <v/>
      </c>
      <c r="Q109" s="7" t="str">
        <f t="shared" si="53"/>
        <v/>
      </c>
      <c r="R109" s="7" t="str">
        <f t="shared" si="30"/>
        <v/>
      </c>
      <c r="S109" s="7" t="str">
        <f t="shared" si="53"/>
        <v/>
      </c>
      <c r="T109" s="7" t="str">
        <f t="shared" si="30"/>
        <v/>
      </c>
      <c r="U109" s="8" t="str">
        <f t="shared" si="39"/>
        <v/>
      </c>
      <c r="V109" s="8" t="str">
        <f t="shared" si="39"/>
        <v/>
      </c>
      <c r="W109" s="7" t="str">
        <f t="shared" ref="W109:X109" si="64">IF($G109="","",IF($G109=1,(($C$2+$H109)*W$3)*(1+(W$4-W$5)),((W108+($H109*W$3))*(1+(W$4-W$5)))))</f>
        <v/>
      </c>
      <c r="X109" s="7" t="str">
        <f t="shared" si="64"/>
        <v/>
      </c>
      <c r="Y109" s="10" t="str">
        <f t="shared" si="33"/>
        <v/>
      </c>
      <c r="Z109" s="10" t="str">
        <f t="shared" si="40"/>
        <v/>
      </c>
      <c r="AA109" s="10" t="str">
        <f t="shared" si="41"/>
        <v/>
      </c>
      <c r="AB109" s="10" t="str">
        <f t="shared" si="42"/>
        <v/>
      </c>
      <c r="AC109" s="10" t="str">
        <f t="shared" si="43"/>
        <v/>
      </c>
      <c r="AD109" s="10" t="str">
        <f t="shared" si="44"/>
        <v/>
      </c>
      <c r="AE109" s="10" t="str">
        <f t="shared" si="34"/>
        <v/>
      </c>
      <c r="AF109" s="10" t="str">
        <f t="shared" si="35"/>
        <v/>
      </c>
      <c r="AG109" s="10" t="str">
        <f t="shared" si="45"/>
        <v/>
      </c>
      <c r="AH109" s="10" t="str">
        <f t="shared" si="36"/>
        <v/>
      </c>
      <c r="AI109" s="10" t="str">
        <f t="shared" si="37"/>
        <v/>
      </c>
      <c r="AJ109" s="10" t="str">
        <f t="shared" si="46"/>
        <v/>
      </c>
      <c r="AK109" s="10" t="str">
        <f t="shared" si="38"/>
        <v/>
      </c>
      <c r="AL109" s="10" t="str">
        <f t="shared" si="47"/>
        <v/>
      </c>
      <c r="AM109" s="10" t="str">
        <f t="shared" si="48"/>
        <v/>
      </c>
      <c r="AN109" s="10" t="str">
        <f t="shared" si="49"/>
        <v/>
      </c>
      <c r="AO109" s="10" t="str">
        <f t="shared" si="50"/>
        <v/>
      </c>
      <c r="AP109" s="10" t="str">
        <f t="shared" si="51"/>
        <v/>
      </c>
    </row>
  </sheetData>
  <conditionalFormatting sqref="D5">
    <cfRule type="cellIs" dxfId="9" priority="1" operator="equal">
      <formula>"Error"</formula>
    </cfRule>
    <cfRule type="cellIs" dxfId="8" priority="2" operator="equal">
      <formula>"GOOD"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ABF9-73EB-4AF3-9D7C-817FE34B4896}">
  <sheetPr>
    <tabColor rgb="FFFFC000"/>
  </sheetPr>
  <dimension ref="B1:AP109"/>
  <sheetViews>
    <sheetView workbookViewId="0">
      <selection activeCell="D34" sqref="D34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'Return Simulator'!D47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'Return Simulator'!D48</f>
        <v>20</v>
      </c>
      <c r="H3" s="1" t="s">
        <v>12</v>
      </c>
      <c r="I3" s="10">
        <f>$D$7*(1-$E$7)</f>
        <v>0.432</v>
      </c>
      <c r="J3" s="10">
        <f>$D$7*(1-$E$7)</f>
        <v>0.432</v>
      </c>
      <c r="K3" s="10">
        <f>$D$7*$E$7</f>
        <v>4.8000000000000001E-2</v>
      </c>
      <c r="L3" s="10">
        <f>$D$7*$E$7</f>
        <v>4.8000000000000001E-2</v>
      </c>
      <c r="M3" s="10">
        <f>$D$8*(1-$E$8)</f>
        <v>0.28800000000000003</v>
      </c>
      <c r="N3" s="10">
        <f>$D$8*(1-$E$8)</f>
        <v>0.28800000000000003</v>
      </c>
      <c r="O3" s="10">
        <f>$D$8*$E$8</f>
        <v>3.2000000000000001E-2</v>
      </c>
      <c r="P3" s="10">
        <f>$D$8*$E$8</f>
        <v>3.2000000000000001E-2</v>
      </c>
      <c r="Q3" s="10">
        <f>$D$9*(1-$E$9)</f>
        <v>0.18000000000000002</v>
      </c>
      <c r="R3" s="10">
        <f>$D$9*(1-$E$9)</f>
        <v>0.18000000000000002</v>
      </c>
      <c r="S3" s="10">
        <f>$D$9*$E$9</f>
        <v>2.0000000000000004E-2</v>
      </c>
      <c r="T3" s="10">
        <f>$D$9*$E$9</f>
        <v>2.0000000000000004E-2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7.039999999999999E-2</v>
      </c>
      <c r="X4" s="10">
        <f>SUMPRODUCT(I3:T3,I4:T4)/2</f>
        <v>7.039999999999999E-2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16">
        <v>0</v>
      </c>
      <c r="J5" s="10">
        <f>$C$7*($C$15+$C$16)</f>
        <v>1.9040000000000001E-2</v>
      </c>
      <c r="K5" s="16">
        <v>0</v>
      </c>
      <c r="L5" s="10">
        <f>$C$11</f>
        <v>5.0000000000000001E-3</v>
      </c>
      <c r="M5" s="16">
        <v>0</v>
      </c>
      <c r="N5" s="10">
        <f>$C$8*($C$14+$C$16)</f>
        <v>2.0400000000000001E-2</v>
      </c>
      <c r="O5" s="16">
        <v>0</v>
      </c>
      <c r="P5" s="10">
        <f>$C$11</f>
        <v>5.0000000000000001E-3</v>
      </c>
      <c r="Q5" s="16">
        <v>0</v>
      </c>
      <c r="R5" s="10">
        <f>(50%*$C$9*($C$14+$C$16))+(50%*$C$9*($C$15+$C$16))</f>
        <v>2.5839999999999998E-2</v>
      </c>
      <c r="S5" s="16">
        <v>0</v>
      </c>
      <c r="T5" s="10">
        <f>$C$11</f>
        <v>5.0000000000000001E-3</v>
      </c>
      <c r="V5" s="10"/>
      <c r="W5" s="16">
        <v>0</v>
      </c>
      <c r="X5" s="10">
        <f>SUMPRODUCT(J3:T3,J5:T5)</f>
        <v>1.9251680000000004E-2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'Return Simulator'!D56</f>
        <v>0.08</v>
      </c>
      <c r="D7" s="4">
        <f>'Return Simulator'!D51</f>
        <v>0.48</v>
      </c>
      <c r="E7" s="11">
        <v>0.1</v>
      </c>
      <c r="U7" s="30" t="s">
        <v>76</v>
      </c>
      <c r="V7" s="30" t="s">
        <v>76</v>
      </c>
      <c r="W7" s="31" t="s">
        <v>77</v>
      </c>
      <c r="X7" s="31" t="s">
        <v>77</v>
      </c>
      <c r="Y7" s="30" t="s">
        <v>76</v>
      </c>
      <c r="Z7" s="30" t="s">
        <v>76</v>
      </c>
      <c r="AA7" s="30" t="s">
        <v>76</v>
      </c>
      <c r="AB7" s="31" t="s">
        <v>77</v>
      </c>
      <c r="AC7" s="31" t="s">
        <v>77</v>
      </c>
      <c r="AD7" s="31" t="s">
        <v>77</v>
      </c>
      <c r="AE7" s="30" t="s">
        <v>76</v>
      </c>
      <c r="AF7" s="30" t="s">
        <v>76</v>
      </c>
      <c r="AG7" s="30" t="s">
        <v>76</v>
      </c>
      <c r="AH7" s="31" t="s">
        <v>77</v>
      </c>
      <c r="AI7" s="31" t="s">
        <v>77</v>
      </c>
      <c r="AJ7" s="31" t="s">
        <v>77</v>
      </c>
      <c r="AK7" s="30" t="s">
        <v>76</v>
      </c>
      <c r="AL7" s="30" t="s">
        <v>76</v>
      </c>
      <c r="AM7" s="30" t="s">
        <v>76</v>
      </c>
      <c r="AN7" s="31" t="s">
        <v>77</v>
      </c>
      <c r="AO7" s="31" t="s">
        <v>77</v>
      </c>
      <c r="AP7" s="31" t="s">
        <v>77</v>
      </c>
    </row>
    <row r="8" spans="2:42" x14ac:dyDescent="0.45">
      <c r="B8" t="s">
        <v>1</v>
      </c>
      <c r="C8" s="4">
        <f>'Return Simulator'!D57</f>
        <v>0.05</v>
      </c>
      <c r="D8" s="4">
        <f>'Return Simulator'!D52</f>
        <v>0.32</v>
      </c>
      <c r="E8" s="11">
        <v>0.1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'Return Simulator'!D58</f>
        <v>0.08</v>
      </c>
      <c r="D9" s="4">
        <f>'Return Simulator'!D53</f>
        <v>0.2</v>
      </c>
      <c r="E9" s="11">
        <v>0.1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4665600</v>
      </c>
      <c r="J10" s="7">
        <f t="shared" si="1"/>
        <v>4583347.1999999993</v>
      </c>
      <c r="K10" s="7">
        <f t="shared" si="1"/>
        <v>518400.00000000006</v>
      </c>
      <c r="L10" s="7">
        <f t="shared" si="1"/>
        <v>516000</v>
      </c>
      <c r="M10" s="7">
        <f t="shared" si="1"/>
        <v>3024000.0000000005</v>
      </c>
      <c r="N10" s="7">
        <f t="shared" si="1"/>
        <v>2965248.0000000005</v>
      </c>
      <c r="O10" s="7">
        <f t="shared" si="1"/>
        <v>336000</v>
      </c>
      <c r="P10" s="7">
        <f t="shared" si="1"/>
        <v>334400</v>
      </c>
      <c r="Q10" s="7">
        <f t="shared" si="1"/>
        <v>1944000.0000000005</v>
      </c>
      <c r="R10" s="7">
        <f t="shared" si="1"/>
        <v>1897488.0000000002</v>
      </c>
      <c r="S10" s="7">
        <f t="shared" si="1"/>
        <v>216000.00000000006</v>
      </c>
      <c r="T10" s="7">
        <f t="shared" si="1"/>
        <v>215000.00000000003</v>
      </c>
      <c r="U10" s="8">
        <f>IF(G10="","",SUM(I10,K10,M10,O10,Q10,S10))</f>
        <v>10704000</v>
      </c>
      <c r="V10" s="8">
        <f>IF(H10="","",SUM(J10,L10,N10,P10,R10,T10))</f>
        <v>10511483.199999999</v>
      </c>
      <c r="W10" s="7">
        <f t="shared" ref="W10:X25" si="2">IF($G10="","",IF($G10=1,(($C$2+$H10)*W$3)*(1+(W$4-W$5)),((W9+($H10*W$3))*(1+(W$4-W$5)))))</f>
        <v>10704000</v>
      </c>
      <c r="X10" s="7">
        <f t="shared" si="2"/>
        <v>10511483.200000001</v>
      </c>
      <c r="Y10" s="10">
        <f t="shared" ref="Y10:Y73" si="3">IF($G10="","",IF($G10=1,(U10-$C$2-H10)/($C$2+H10),(U10-U9-H10)/(U9+H10)))</f>
        <v>7.0400000000000004E-2</v>
      </c>
      <c r="Z10" s="10">
        <f>IF($G10="","",IF($G10=1,(V10-$C$2-H10)/($C$2+H10),(V10-V9-H10)/(V9+H10)))</f>
        <v>5.1148319999999928E-2</v>
      </c>
      <c r="AA10" s="10">
        <f>IF($G10="","",Z10-Y10)</f>
        <v>-1.9251680000000077E-2</v>
      </c>
      <c r="AB10" s="10">
        <f>IF($G10="","",IF($G10=1,(W10-$C$2-H10)/($C$2+H10),(W10-W9-H10)/(W9+H10)))</f>
        <v>7.0400000000000004E-2</v>
      </c>
      <c r="AC10" s="10">
        <f>IF($G10="","",IF($G10=1,(X10-$C$2-H10)/($C$2+H10),(X10-X9-H10)/(X9+H10)))</f>
        <v>5.1148320000000115E-2</v>
      </c>
      <c r="AD10" s="10">
        <f>IF($G10="","",AC10-AB10)</f>
        <v>-1.9251679999999889E-2</v>
      </c>
      <c r="AE10" s="10">
        <f t="shared" ref="AE10:AF25" si="4">IF($G10="","",IF($G10=1,Y10,(1+Y10)*(1+AE9)-1))</f>
        <v>7.0400000000000004E-2</v>
      </c>
      <c r="AF10" s="10">
        <f t="shared" si="4"/>
        <v>5.1148319999999928E-2</v>
      </c>
      <c r="AG10" s="10">
        <f>IF($G10="","",AF10-AE10)</f>
        <v>-1.9251680000000077E-2</v>
      </c>
      <c r="AH10" s="10">
        <f t="shared" ref="AH10:AI25" si="5">IF($G10="","",IF($G10=1,AB10,(1+AB10)*(1+AH9)-1))</f>
        <v>7.0400000000000004E-2</v>
      </c>
      <c r="AI10" s="10">
        <f t="shared" si="5"/>
        <v>5.1148320000000115E-2</v>
      </c>
      <c r="AJ10" s="10">
        <f>IF($G10="","",AI10-AH10)</f>
        <v>-1.9251679999999889E-2</v>
      </c>
      <c r="AK10" s="10">
        <f t="shared" ref="AK10:AK73" si="6">IF($G10="","",(1+AE10)^(1/G10)-1)</f>
        <v>7.0400000000000018E-2</v>
      </c>
      <c r="AL10" s="10">
        <f>IF($G10="","",(1+AF10)^(1/G10)-1)</f>
        <v>5.1148320000000025E-2</v>
      </c>
      <c r="AM10" s="10">
        <f>IF($G10="","",AL10-AK10)</f>
        <v>-1.9251679999999993E-2</v>
      </c>
      <c r="AN10" s="10">
        <f>IF($G10="","",(1+AH10)^(1/G10)-1)</f>
        <v>7.0400000000000018E-2</v>
      </c>
      <c r="AO10" s="10">
        <f>IF($G10="","",(1+AI10)^(1/G10)-1)</f>
        <v>5.1148320000000025E-2</v>
      </c>
      <c r="AP10" s="10">
        <f>IF($G10="","",AO10-AN10)</f>
        <v>-1.9251679999999993E-2</v>
      </c>
    </row>
    <row r="11" spans="2:42" x14ac:dyDescent="0.45">
      <c r="B11" t="s">
        <v>5</v>
      </c>
      <c r="C11" s="4">
        <f>'Return Simulator'!D71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5038848</v>
      </c>
      <c r="J11" s="7">
        <f t="shared" si="1"/>
        <v>4862748.0453119986</v>
      </c>
      <c r="K11" s="7">
        <f t="shared" si="1"/>
        <v>559872.00000000012</v>
      </c>
      <c r="L11" s="7">
        <f t="shared" si="1"/>
        <v>554700</v>
      </c>
      <c r="M11" s="7">
        <f t="shared" si="1"/>
        <v>3175200.0000000005</v>
      </c>
      <c r="N11" s="7">
        <f t="shared" si="1"/>
        <v>3053019.3408000008</v>
      </c>
      <c r="O11" s="7">
        <f t="shared" si="1"/>
        <v>352800</v>
      </c>
      <c r="P11" s="7">
        <f t="shared" si="1"/>
        <v>349448</v>
      </c>
      <c r="Q11" s="7">
        <f t="shared" si="1"/>
        <v>2099520.0000000005</v>
      </c>
      <c r="R11" s="7">
        <f t="shared" si="1"/>
        <v>2000255.9500800003</v>
      </c>
      <c r="S11" s="7">
        <f t="shared" si="1"/>
        <v>233280.00000000009</v>
      </c>
      <c r="T11" s="7">
        <f t="shared" si="1"/>
        <v>231125.00000000003</v>
      </c>
      <c r="U11" s="8">
        <f t="shared" ref="U11:V74" si="7">IF(G11="","",SUM(I11,K11,M11,O11,Q11,S11))</f>
        <v>11459520</v>
      </c>
      <c r="V11" s="8">
        <f t="shared" si="7"/>
        <v>11051296.336191999</v>
      </c>
      <c r="W11" s="7">
        <f t="shared" si="2"/>
        <v>11457561.6</v>
      </c>
      <c r="X11" s="7">
        <f t="shared" si="2"/>
        <v>11049127.906388225</v>
      </c>
      <c r="Y11" s="10">
        <f t="shared" si="3"/>
        <v>7.0582959641255605E-2</v>
      </c>
      <c r="Z11" s="10">
        <f t="shared" ref="Z11:Z74" si="8">IF($G11="","",IF($G11=1,(V11-$C$2-H11)/($C$2+H11),(V11-V10-H11)/(V10+H11)))</f>
        <v>5.1354611515908581E-2</v>
      </c>
      <c r="AA11" s="10">
        <f t="shared" ref="AA11:AA74" si="9">IF($G11="","",Z11-Y11)</f>
        <v>-1.9228348125347024E-2</v>
      </c>
      <c r="AB11" s="10">
        <f t="shared" ref="AB11:AB74" si="10">IF($G11="","",IF($G11=1,(W11-$C$2-H11)/($C$2+H11),(W11-W10-H11)/(W10+H11)))</f>
        <v>7.0399999999999963E-2</v>
      </c>
      <c r="AC11" s="10">
        <f t="shared" ref="AC11:AC74" si="11">IF($G11="","",IF($G11=1,(X11-$C$2-H11)/($C$2+H11),(X11-X10-H11)/(X10+H11)))</f>
        <v>5.1148319999999983E-2</v>
      </c>
      <c r="AD11" s="10">
        <f t="shared" ref="AD11:AD74" si="12">IF($G11="","",AC11-AB11)</f>
        <v>-1.9251679999999979E-2</v>
      </c>
      <c r="AE11" s="10">
        <f t="shared" si="4"/>
        <v>0.14595200000000008</v>
      </c>
      <c r="AF11" s="10">
        <f t="shared" si="4"/>
        <v>0.1051296336191998</v>
      </c>
      <c r="AG11" s="10">
        <f t="shared" ref="AG11:AG74" si="13">IF($G11="","",AF11-AE11)</f>
        <v>-4.0822366380800279E-2</v>
      </c>
      <c r="AH11" s="10">
        <f t="shared" si="5"/>
        <v>0.14575616000000013</v>
      </c>
      <c r="AI11" s="10">
        <f t="shared" si="5"/>
        <v>0.10491279063882253</v>
      </c>
      <c r="AJ11" s="10">
        <f t="shared" ref="AJ11:AJ74" si="14">IF($G11="","",AI11-AH11)</f>
        <v>-4.0843369361177606E-2</v>
      </c>
      <c r="AK11" s="10">
        <f t="shared" si="6"/>
        <v>7.0491475911882207E-2</v>
      </c>
      <c r="AL11" s="10">
        <f t="shared" ref="AL11:AL74" si="15">IF($G11="","",(1+AF11)^(1/G11)-1)</f>
        <v>5.1251460697772311E-2</v>
      </c>
      <c r="AM11" s="10">
        <f t="shared" ref="AM11:AM74" si="16">IF($G11="","",AL11-AK11)</f>
        <v>-1.9240015214109896E-2</v>
      </c>
      <c r="AN11" s="10">
        <f t="shared" ref="AN11:AN74" si="17">IF($G11="","",(1+AH11)^(1/G11)-1)</f>
        <v>7.0400000000000018E-2</v>
      </c>
      <c r="AO11" s="10">
        <f t="shared" ref="AO11:AO74" si="18">IF($G11="","",(1+AI11)^(1/G11)-1)</f>
        <v>5.1148320000000025E-2</v>
      </c>
      <c r="AP11" s="10">
        <f t="shared" ref="AP11:AP74" si="19">IF($G11="","",AO11-AN11)</f>
        <v>-1.9251679999999993E-2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5441955.8400000008</v>
      </c>
      <c r="J12" s="7">
        <f t="shared" si="1"/>
        <v>5159181.1661542179</v>
      </c>
      <c r="K12" s="7">
        <f t="shared" si="1"/>
        <v>604661.76000000013</v>
      </c>
      <c r="L12" s="7">
        <f t="shared" si="1"/>
        <v>596302.5</v>
      </c>
      <c r="M12" s="7">
        <f t="shared" si="1"/>
        <v>3333960.0000000005</v>
      </c>
      <c r="N12" s="7">
        <f t="shared" si="1"/>
        <v>3143388.7132876809</v>
      </c>
      <c r="O12" s="7">
        <f t="shared" si="1"/>
        <v>370440</v>
      </c>
      <c r="P12" s="7">
        <f t="shared" si="1"/>
        <v>365173.16</v>
      </c>
      <c r="Q12" s="7">
        <f t="shared" si="1"/>
        <v>2267481.6000000006</v>
      </c>
      <c r="R12" s="7">
        <f t="shared" si="1"/>
        <v>2108589.8123363331</v>
      </c>
      <c r="S12" s="7">
        <f t="shared" si="1"/>
        <v>251942.40000000011</v>
      </c>
      <c r="T12" s="7">
        <f t="shared" si="1"/>
        <v>248459.37500000003</v>
      </c>
      <c r="U12" s="8">
        <f t="shared" si="7"/>
        <v>12270441.600000003</v>
      </c>
      <c r="V12" s="8">
        <f t="shared" si="7"/>
        <v>11621094.726778232</v>
      </c>
      <c r="W12" s="7">
        <f t="shared" si="2"/>
        <v>12264173.93664</v>
      </c>
      <c r="X12" s="7">
        <f t="shared" si="2"/>
        <v>11614272.236265101</v>
      </c>
      <c r="Y12" s="10">
        <f t="shared" si="3"/>
        <v>7.0764011058055076E-2</v>
      </c>
      <c r="Z12" s="10">
        <f t="shared" si="8"/>
        <v>5.1559416493085472E-2</v>
      </c>
      <c r="AA12" s="10">
        <f t="shared" si="9"/>
        <v>-1.9204594564969604E-2</v>
      </c>
      <c r="AB12" s="10">
        <f t="shared" si="10"/>
        <v>7.0400000000000032E-2</v>
      </c>
      <c r="AC12" s="10">
        <f t="shared" si="11"/>
        <v>5.1148320000000046E-2</v>
      </c>
      <c r="AD12" s="10">
        <f t="shared" si="12"/>
        <v>-1.9251679999999986E-2</v>
      </c>
      <c r="AE12" s="10">
        <f t="shared" si="4"/>
        <v>0.22704416000000038</v>
      </c>
      <c r="AF12" s="10">
        <f t="shared" si="4"/>
        <v>0.16210947267782316</v>
      </c>
      <c r="AG12" s="10">
        <f t="shared" si="13"/>
        <v>-6.493468732217722E-2</v>
      </c>
      <c r="AH12" s="10">
        <f t="shared" si="5"/>
        <v>0.22641739366400015</v>
      </c>
      <c r="AI12" s="10">
        <f t="shared" si="5"/>
        <v>0.16142722362650996</v>
      </c>
      <c r="AJ12" s="10">
        <f t="shared" si="14"/>
        <v>-6.4990170037490191E-2</v>
      </c>
      <c r="AK12" s="10">
        <f t="shared" si="6"/>
        <v>7.058231325231934E-2</v>
      </c>
      <c r="AL12" s="10">
        <f t="shared" si="15"/>
        <v>5.1354102607483965E-2</v>
      </c>
      <c r="AM12" s="10">
        <f t="shared" si="16"/>
        <v>-1.9228210644835375E-2</v>
      </c>
      <c r="AN12" s="10">
        <f t="shared" si="17"/>
        <v>7.0400000000000018E-2</v>
      </c>
      <c r="AO12" s="10">
        <f t="shared" si="18"/>
        <v>5.1148320000000025E-2</v>
      </c>
      <c r="AP12" s="10">
        <f t="shared" si="19"/>
        <v>-1.9251679999999993E-2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5877312.3072000016</v>
      </c>
      <c r="J13" s="7">
        <f t="shared" si="1"/>
        <v>5473684.8500429783</v>
      </c>
      <c r="K13" s="7">
        <f t="shared" si="1"/>
        <v>653034.70080000022</v>
      </c>
      <c r="L13" s="7">
        <f t="shared" si="1"/>
        <v>641025.1875</v>
      </c>
      <c r="M13" s="7">
        <f t="shared" si="1"/>
        <v>3500658.0000000005</v>
      </c>
      <c r="N13" s="7">
        <f t="shared" si="1"/>
        <v>3236433.0192009965</v>
      </c>
      <c r="O13" s="7">
        <f t="shared" si="1"/>
        <v>388962</v>
      </c>
      <c r="P13" s="7">
        <f t="shared" si="1"/>
        <v>381605.95219999994</v>
      </c>
      <c r="Q13" s="7">
        <f t="shared" si="1"/>
        <v>2448880.128000001</v>
      </c>
      <c r="R13" s="7">
        <f t="shared" si="1"/>
        <v>2222791.0365724689</v>
      </c>
      <c r="S13" s="7">
        <f t="shared" si="1"/>
        <v>272097.79200000013</v>
      </c>
      <c r="T13" s="7">
        <f t="shared" si="1"/>
        <v>267093.828125</v>
      </c>
      <c r="U13" s="8">
        <f t="shared" si="7"/>
        <v>13140944.928000001</v>
      </c>
      <c r="V13" s="8">
        <f t="shared" si="7"/>
        <v>12222633.873641444</v>
      </c>
      <c r="W13" s="7">
        <f t="shared" si="2"/>
        <v>13127571.781779457</v>
      </c>
      <c r="X13" s="7">
        <f t="shared" si="2"/>
        <v>12208322.749172704</v>
      </c>
      <c r="Y13" s="10">
        <f t="shared" si="3"/>
        <v>7.0943113245410638E-2</v>
      </c>
      <c r="Z13" s="10">
        <f t="shared" si="8"/>
        <v>5.1762691984353203E-2</v>
      </c>
      <c r="AA13" s="10">
        <f t="shared" si="9"/>
        <v>-1.9180421261057436E-2</v>
      </c>
      <c r="AB13" s="10">
        <f t="shared" si="10"/>
        <v>7.0400000000000074E-2</v>
      </c>
      <c r="AC13" s="10">
        <f t="shared" si="11"/>
        <v>5.1148320000000067E-2</v>
      </c>
      <c r="AD13" s="10">
        <f t="shared" si="12"/>
        <v>-1.9251680000000007E-2</v>
      </c>
      <c r="AE13" s="10">
        <f t="shared" si="4"/>
        <v>0.31409449280000001</v>
      </c>
      <c r="AF13" s="10">
        <f t="shared" si="4"/>
        <v>0.22226338736414442</v>
      </c>
      <c r="AG13" s="10">
        <f t="shared" si="13"/>
        <v>-9.1831105435855598E-2</v>
      </c>
      <c r="AH13" s="10">
        <f t="shared" si="5"/>
        <v>0.31275717817794568</v>
      </c>
      <c r="AI13" s="10">
        <f t="shared" si="5"/>
        <v>0.2208322749172702</v>
      </c>
      <c r="AJ13" s="10">
        <f t="shared" si="14"/>
        <v>-9.1924903260675483E-2</v>
      </c>
      <c r="AK13" s="10">
        <f t="shared" si="6"/>
        <v>7.0672501853373371E-2</v>
      </c>
      <c r="AL13" s="10">
        <f t="shared" si="15"/>
        <v>5.1456235068444878E-2</v>
      </c>
      <c r="AM13" s="10">
        <f t="shared" si="16"/>
        <v>-1.9216266784928493E-2</v>
      </c>
      <c r="AN13" s="10">
        <f t="shared" si="17"/>
        <v>7.0400000000000018E-2</v>
      </c>
      <c r="AO13" s="10">
        <f t="shared" si="18"/>
        <v>5.1148320000000025E-2</v>
      </c>
      <c r="AP13" s="10">
        <f t="shared" si="19"/>
        <v>-1.9251679999999993E-2</v>
      </c>
    </row>
    <row r="14" spans="2:42" x14ac:dyDescent="0.45">
      <c r="B14" t="s">
        <v>7</v>
      </c>
      <c r="C14" s="4">
        <f>'Return Simulator'!D61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6347497.2917760024</v>
      </c>
      <c r="J14" s="7">
        <f t="shared" si="1"/>
        <v>5807360.6785015976</v>
      </c>
      <c r="K14" s="7">
        <f t="shared" si="1"/>
        <v>705277.47686400032</v>
      </c>
      <c r="L14" s="7">
        <f t="shared" si="1"/>
        <v>689102.07656249998</v>
      </c>
      <c r="M14" s="7">
        <f t="shared" si="1"/>
        <v>3675690.9000000008</v>
      </c>
      <c r="N14" s="7">
        <f t="shared" si="1"/>
        <v>3332231.4365693461</v>
      </c>
      <c r="O14" s="7">
        <f t="shared" si="1"/>
        <v>408410.10000000003</v>
      </c>
      <c r="P14" s="7">
        <f t="shared" si="1"/>
        <v>398778.22004899994</v>
      </c>
      <c r="Q14" s="7">
        <f t="shared" si="1"/>
        <v>2644790.5382400011</v>
      </c>
      <c r="R14" s="7">
        <f t="shared" si="1"/>
        <v>2343177.3991132337</v>
      </c>
      <c r="S14" s="7">
        <f t="shared" si="1"/>
        <v>293865.61536000017</v>
      </c>
      <c r="T14" s="7">
        <f t="shared" si="1"/>
        <v>287125.865234375</v>
      </c>
      <c r="U14" s="8">
        <f t="shared" si="7"/>
        <v>14075531.922240004</v>
      </c>
      <c r="V14" s="8">
        <f t="shared" si="7"/>
        <v>12857775.676030053</v>
      </c>
      <c r="W14" s="7">
        <f t="shared" si="2"/>
        <v>14051752.835216731</v>
      </c>
      <c r="X14" s="7">
        <f t="shared" si="2"/>
        <v>12832757.94781067</v>
      </c>
      <c r="Y14" s="10">
        <f t="shared" si="3"/>
        <v>7.1120227606207856E-2</v>
      </c>
      <c r="Z14" s="10">
        <f t="shared" si="8"/>
        <v>5.1964397277604372E-2</v>
      </c>
      <c r="AA14" s="10">
        <f t="shared" si="9"/>
        <v>-1.9155830328603483E-2</v>
      </c>
      <c r="AB14" s="10">
        <f t="shared" si="10"/>
        <v>7.0400000000000018E-2</v>
      </c>
      <c r="AC14" s="10">
        <f t="shared" si="11"/>
        <v>5.1148320000000067E-2</v>
      </c>
      <c r="AD14" s="10">
        <f t="shared" si="12"/>
        <v>-1.9251679999999952E-2</v>
      </c>
      <c r="AE14" s="10">
        <f t="shared" si="4"/>
        <v>0.40755319222400033</v>
      </c>
      <c r="AF14" s="10">
        <f t="shared" si="4"/>
        <v>0.28577756760300521</v>
      </c>
      <c r="AG14" s="10">
        <f t="shared" si="13"/>
        <v>-0.12177562462099512</v>
      </c>
      <c r="AH14" s="10">
        <f t="shared" si="5"/>
        <v>0.40517528352167309</v>
      </c>
      <c r="AI14" s="10">
        <f t="shared" si="5"/>
        <v>0.28327579478106668</v>
      </c>
      <c r="AJ14" s="10">
        <f t="shared" si="14"/>
        <v>-0.12189948874060641</v>
      </c>
      <c r="AK14" s="10">
        <f t="shared" si="6"/>
        <v>7.0762032029570765E-2</v>
      </c>
      <c r="AL14" s="10">
        <f t="shared" si="15"/>
        <v>5.1557847868643147E-2</v>
      </c>
      <c r="AM14" s="10">
        <f t="shared" si="16"/>
        <v>-1.9204184160927618E-2</v>
      </c>
      <c r="AN14" s="10">
        <f t="shared" si="17"/>
        <v>7.0400000000000018E-2</v>
      </c>
      <c r="AO14" s="10">
        <f t="shared" si="18"/>
        <v>5.1148320000000025E-2</v>
      </c>
      <c r="AP14" s="10">
        <f t="shared" si="19"/>
        <v>-1.9251679999999993E-2</v>
      </c>
    </row>
    <row r="15" spans="2:42" x14ac:dyDescent="0.45">
      <c r="B15" t="s">
        <v>8</v>
      </c>
      <c r="C15" s="4">
        <f>'Return Simulator'!D62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6855297.0751180826</v>
      </c>
      <c r="J15" s="7">
        <f t="shared" si="1"/>
        <v>6161377.3854630543</v>
      </c>
      <c r="K15" s="7">
        <f t="shared" si="1"/>
        <v>761699.6750131204</v>
      </c>
      <c r="L15" s="7">
        <f t="shared" si="1"/>
        <v>740784.7323046875</v>
      </c>
      <c r="M15" s="7">
        <f t="shared" si="1"/>
        <v>3859475.4450000012</v>
      </c>
      <c r="N15" s="7">
        <f t="shared" si="1"/>
        <v>3430865.4870917988</v>
      </c>
      <c r="O15" s="7">
        <f t="shared" si="1"/>
        <v>428830.60500000004</v>
      </c>
      <c r="P15" s="7">
        <f t="shared" si="1"/>
        <v>416723.23995120492</v>
      </c>
      <c r="Q15" s="7">
        <f t="shared" si="1"/>
        <v>2856373.7812992013</v>
      </c>
      <c r="R15" s="7">
        <f t="shared" si="1"/>
        <v>2470083.8870492065</v>
      </c>
      <c r="S15" s="7">
        <f t="shared" si="1"/>
        <v>317374.86458880018</v>
      </c>
      <c r="T15" s="7">
        <f t="shared" si="1"/>
        <v>308660.30512695311</v>
      </c>
      <c r="U15" s="8">
        <f t="shared" si="7"/>
        <v>15079051.446019208</v>
      </c>
      <c r="V15" s="8">
        <f t="shared" si="7"/>
        <v>13528495.036986906</v>
      </c>
      <c r="W15" s="7">
        <f t="shared" si="2"/>
        <v>15040996.234815989</v>
      </c>
      <c r="X15" s="7">
        <f t="shared" si="2"/>
        <v>13489131.957807833</v>
      </c>
      <c r="Y15" s="10">
        <f t="shared" si="3"/>
        <v>7.1295317954811782E-2</v>
      </c>
      <c r="Z15" s="10">
        <f t="shared" si="8"/>
        <v>5.2164493910656209E-2</v>
      </c>
      <c r="AA15" s="10">
        <f t="shared" si="9"/>
        <v>-1.9130824044155573E-2</v>
      </c>
      <c r="AB15" s="10">
        <f t="shared" si="10"/>
        <v>7.0400000000000004E-2</v>
      </c>
      <c r="AC15" s="10">
        <f t="shared" si="11"/>
        <v>5.1148319999999962E-2</v>
      </c>
      <c r="AD15" s="10">
        <f t="shared" si="12"/>
        <v>-1.9251680000000042E-2</v>
      </c>
      <c r="AE15" s="10">
        <f t="shared" si="4"/>
        <v>0.50790514460192071</v>
      </c>
      <c r="AF15" s="10">
        <f t="shared" si="4"/>
        <v>0.3528495036986905</v>
      </c>
      <c r="AG15" s="10">
        <f t="shared" si="13"/>
        <v>-0.15505564090323021</v>
      </c>
      <c r="AH15" s="10">
        <f t="shared" si="5"/>
        <v>0.50409962348159887</v>
      </c>
      <c r="AI15" s="10">
        <f t="shared" si="5"/>
        <v>0.34891319578078295</v>
      </c>
      <c r="AJ15" s="10">
        <f t="shared" si="14"/>
        <v>-0.15518642770081592</v>
      </c>
      <c r="AK15" s="10">
        <f t="shared" si="6"/>
        <v>7.0850894578311951E-2</v>
      </c>
      <c r="AL15" s="10">
        <f t="shared" si="15"/>
        <v>5.1658931247026807E-2</v>
      </c>
      <c r="AM15" s="10">
        <f t="shared" si="16"/>
        <v>-1.9191963331285145E-2</v>
      </c>
      <c r="AN15" s="10">
        <f t="shared" si="17"/>
        <v>7.0400000000000018E-2</v>
      </c>
      <c r="AO15" s="10">
        <f t="shared" si="18"/>
        <v>5.1148320000000025E-2</v>
      </c>
      <c r="AP15" s="10">
        <f t="shared" si="19"/>
        <v>-1.9251679999999993E-2</v>
      </c>
    </row>
    <row r="16" spans="2:42" x14ac:dyDescent="0.45">
      <c r="B16" t="s">
        <v>9</v>
      </c>
      <c r="C16" s="4">
        <f>'Return Simulator'!D63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7403720.8411275297</v>
      </c>
      <c r="J16" s="7">
        <f t="shared" si="1"/>
        <v>6536974.9508808814</v>
      </c>
      <c r="K16" s="7">
        <f t="shared" si="1"/>
        <v>822635.64901417005</v>
      </c>
      <c r="L16" s="7">
        <f t="shared" si="1"/>
        <v>796343.58722753904</v>
      </c>
      <c r="M16" s="7">
        <f t="shared" si="1"/>
        <v>4052449.2172500016</v>
      </c>
      <c r="N16" s="7">
        <f t="shared" si="1"/>
        <v>3532419.1055097161</v>
      </c>
      <c r="O16" s="7">
        <f t="shared" si="1"/>
        <v>450272.13525000005</v>
      </c>
      <c r="P16" s="7">
        <f t="shared" si="1"/>
        <v>435475.78574900911</v>
      </c>
      <c r="Q16" s="7">
        <f t="shared" si="1"/>
        <v>3084883.6838031374</v>
      </c>
      <c r="R16" s="7">
        <f t="shared" si="1"/>
        <v>2603863.6303717913</v>
      </c>
      <c r="S16" s="7">
        <f t="shared" si="1"/>
        <v>342764.85375590419</v>
      </c>
      <c r="T16" s="7">
        <f t="shared" si="1"/>
        <v>331809.82801147457</v>
      </c>
      <c r="U16" s="8">
        <f t="shared" si="7"/>
        <v>16156726.380200744</v>
      </c>
      <c r="V16" s="8">
        <f t="shared" si="7"/>
        <v>14236886.887750413</v>
      </c>
      <c r="W16" s="7">
        <f t="shared" si="2"/>
        <v>16099882.369747035</v>
      </c>
      <c r="X16" s="7">
        <f t="shared" si="2"/>
        <v>14179078.395708015</v>
      </c>
      <c r="Y16" s="10">
        <f t="shared" si="3"/>
        <v>7.1468350515246512E-2</v>
      </c>
      <c r="Z16" s="10">
        <f t="shared" si="8"/>
        <v>5.2362945680710517E-2</v>
      </c>
      <c r="AA16" s="10">
        <f t="shared" si="9"/>
        <v>-1.9105404834535995E-2</v>
      </c>
      <c r="AB16" s="10">
        <f t="shared" si="10"/>
        <v>7.040000000000006E-2</v>
      </c>
      <c r="AC16" s="10">
        <f t="shared" si="11"/>
        <v>5.1148320000000025E-2</v>
      </c>
      <c r="AD16" s="10">
        <f t="shared" si="12"/>
        <v>-1.9251680000000035E-2</v>
      </c>
      <c r="AE16" s="10">
        <f t="shared" si="4"/>
        <v>0.6156726380200741</v>
      </c>
      <c r="AF16" s="10">
        <f t="shared" si="4"/>
        <v>0.42368868877504107</v>
      </c>
      <c r="AG16" s="10">
        <f t="shared" si="13"/>
        <v>-0.19198394924503304</v>
      </c>
      <c r="AH16" s="10">
        <f t="shared" si="5"/>
        <v>0.60998823697470339</v>
      </c>
      <c r="AI16" s="10">
        <f t="shared" si="5"/>
        <v>0.41790783957080113</v>
      </c>
      <c r="AJ16" s="10">
        <f t="shared" si="14"/>
        <v>-0.19208039740390226</v>
      </c>
      <c r="AK16" s="10">
        <f t="shared" si="6"/>
        <v>7.0939080779508279E-2</v>
      </c>
      <c r="AL16" s="10">
        <f t="shared" si="15"/>
        <v>5.1759475895016172E-2</v>
      </c>
      <c r="AM16" s="10">
        <f t="shared" si="16"/>
        <v>-1.9179604884492107E-2</v>
      </c>
      <c r="AN16" s="10">
        <f t="shared" si="17"/>
        <v>7.0400000000000018E-2</v>
      </c>
      <c r="AO16" s="10">
        <f t="shared" si="18"/>
        <v>5.1148320000000025E-2</v>
      </c>
      <c r="AP16" s="10">
        <f t="shared" si="19"/>
        <v>-1.9251679999999993E-2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7996018.508417733</v>
      </c>
      <c r="J17" s="7">
        <f t="shared" si="1"/>
        <v>6935468.943886579</v>
      </c>
      <c r="K17" s="7">
        <f t="shared" si="1"/>
        <v>888446.50093530375</v>
      </c>
      <c r="L17" s="7">
        <f t="shared" si="1"/>
        <v>856069.35626960441</v>
      </c>
      <c r="M17" s="7">
        <f t="shared" si="1"/>
        <v>4255071.6781125022</v>
      </c>
      <c r="N17" s="7">
        <f t="shared" si="1"/>
        <v>3636978.7110328041</v>
      </c>
      <c r="O17" s="7">
        <f t="shared" si="1"/>
        <v>472785.74201250006</v>
      </c>
      <c r="P17" s="7">
        <f t="shared" si="1"/>
        <v>455072.1961077145</v>
      </c>
      <c r="Q17" s="7">
        <f t="shared" si="1"/>
        <v>3331674.3785073888</v>
      </c>
      <c r="R17" s="7">
        <f t="shared" si="1"/>
        <v>2744888.8845927273</v>
      </c>
      <c r="S17" s="7">
        <f t="shared" si="1"/>
        <v>370186.04205637652</v>
      </c>
      <c r="T17" s="7">
        <f t="shared" si="1"/>
        <v>356695.56511233514</v>
      </c>
      <c r="U17" s="8">
        <f t="shared" si="7"/>
        <v>17314182.850041803</v>
      </c>
      <c r="V17" s="8">
        <f t="shared" si="7"/>
        <v>14985173.657001765</v>
      </c>
      <c r="W17" s="7">
        <f t="shared" si="2"/>
        <v>17233314.088577226</v>
      </c>
      <c r="X17" s="7">
        <f t="shared" si="2"/>
        <v>14904314.434796777</v>
      </c>
      <c r="Y17" s="10">
        <f t="shared" si="3"/>
        <v>7.1639293914110225E-2</v>
      </c>
      <c r="Z17" s="10">
        <f t="shared" si="8"/>
        <v>5.255971864854718E-2</v>
      </c>
      <c r="AA17" s="10">
        <f t="shared" si="9"/>
        <v>-1.9079575265563045E-2</v>
      </c>
      <c r="AB17" s="10">
        <f t="shared" si="10"/>
        <v>7.0399999999999963E-2</v>
      </c>
      <c r="AC17" s="10">
        <f t="shared" si="11"/>
        <v>5.1148320000000087E-2</v>
      </c>
      <c r="AD17" s="10">
        <f t="shared" si="12"/>
        <v>-1.9251679999999875E-2</v>
      </c>
      <c r="AE17" s="10">
        <f t="shared" si="4"/>
        <v>0.73141828500417994</v>
      </c>
      <c r="AF17" s="10">
        <f t="shared" si="4"/>
        <v>0.49851736570017624</v>
      </c>
      <c r="AG17" s="10">
        <f t="shared" si="13"/>
        <v>-0.2329009193040037</v>
      </c>
      <c r="AH17" s="10">
        <f t="shared" si="5"/>
        <v>0.72333140885772251</v>
      </c>
      <c r="AI17" s="10">
        <f t="shared" si="5"/>
        <v>0.49043144347967726</v>
      </c>
      <c r="AJ17" s="10">
        <f t="shared" si="14"/>
        <v>-0.23289996537804525</v>
      </c>
      <c r="AK17" s="10">
        <f t="shared" si="6"/>
        <v>7.1026582394472459E-2</v>
      </c>
      <c r="AL17" s="10">
        <f t="shared" si="15"/>
        <v>5.1859472957264119E-2</v>
      </c>
      <c r="AM17" s="10">
        <f t="shared" si="16"/>
        <v>-1.9167109437208341E-2</v>
      </c>
      <c r="AN17" s="10">
        <f t="shared" si="17"/>
        <v>7.0400000000000018E-2</v>
      </c>
      <c r="AO17" s="10">
        <f t="shared" si="18"/>
        <v>5.1148320000000025E-2</v>
      </c>
      <c r="AP17" s="10">
        <f t="shared" si="19"/>
        <v>-1.9251679999999993E-2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8635699.9890911523</v>
      </c>
      <c r="J18" s="7">
        <f t="shared" si="1"/>
        <v>7358255.1307059042</v>
      </c>
      <c r="K18" s="7">
        <f t="shared" si="1"/>
        <v>959522.22101012815</v>
      </c>
      <c r="L18" s="7">
        <f t="shared" si="1"/>
        <v>920274.55798982468</v>
      </c>
      <c r="M18" s="7">
        <f t="shared" si="1"/>
        <v>4467825.2620181274</v>
      </c>
      <c r="N18" s="7">
        <f t="shared" si="1"/>
        <v>3744633.2808793755</v>
      </c>
      <c r="O18" s="7">
        <f t="shared" si="1"/>
        <v>496425.02911312511</v>
      </c>
      <c r="P18" s="7">
        <f t="shared" si="1"/>
        <v>475550.4449325616</v>
      </c>
      <c r="Q18" s="7">
        <f t="shared" si="1"/>
        <v>3598208.3287879801</v>
      </c>
      <c r="R18" s="7">
        <f t="shared" si="1"/>
        <v>2893552.0665822695</v>
      </c>
      <c r="S18" s="7">
        <f t="shared" si="1"/>
        <v>399800.92542088666</v>
      </c>
      <c r="T18" s="7">
        <f t="shared" si="1"/>
        <v>383447.73249576025</v>
      </c>
      <c r="U18" s="8">
        <f t="shared" si="7"/>
        <v>18557481.755441401</v>
      </c>
      <c r="V18" s="8">
        <f t="shared" si="7"/>
        <v>15775713.213585695</v>
      </c>
      <c r="W18" s="7">
        <f t="shared" si="2"/>
        <v>18446539.400413062</v>
      </c>
      <c r="X18" s="7">
        <f t="shared" si="2"/>
        <v>15666645.078888381</v>
      </c>
      <c r="Y18" s="10">
        <f t="shared" si="3"/>
        <v>7.1808119168418991E-2</v>
      </c>
      <c r="Z18" s="10">
        <f t="shared" si="8"/>
        <v>5.2754781137591501E-2</v>
      </c>
      <c r="AA18" s="10">
        <f t="shared" si="9"/>
        <v>-1.9053338030827489E-2</v>
      </c>
      <c r="AB18" s="10">
        <f t="shared" si="10"/>
        <v>7.039999999999999E-2</v>
      </c>
      <c r="AC18" s="10">
        <f t="shared" si="11"/>
        <v>5.1148319999999976E-2</v>
      </c>
      <c r="AD18" s="10">
        <f t="shared" si="12"/>
        <v>-1.9251680000000014E-2</v>
      </c>
      <c r="AE18" s="10">
        <f t="shared" si="4"/>
        <v>0.85574817554413984</v>
      </c>
      <c r="AF18" s="10">
        <f t="shared" si="4"/>
        <v>0.57757132135856915</v>
      </c>
      <c r="AG18" s="10">
        <f t="shared" si="13"/>
        <v>-0.2781768541855707</v>
      </c>
      <c r="AH18" s="10">
        <f t="shared" si="5"/>
        <v>0.84465394004130623</v>
      </c>
      <c r="AI18" s="10">
        <f t="shared" si="5"/>
        <v>0.56666450788883771</v>
      </c>
      <c r="AJ18" s="10">
        <f t="shared" si="14"/>
        <v>-0.27798943215246852</v>
      </c>
      <c r="AK18" s="10">
        <f t="shared" si="6"/>
        <v>7.1113391664079595E-2</v>
      </c>
      <c r="AL18" s="10">
        <f t="shared" si="15"/>
        <v>5.1958914031684733E-2</v>
      </c>
      <c r="AM18" s="10">
        <f t="shared" si="16"/>
        <v>-1.9154477632394862E-2</v>
      </c>
      <c r="AN18" s="10">
        <f t="shared" si="17"/>
        <v>7.0400000000000018E-2</v>
      </c>
      <c r="AO18" s="10">
        <f t="shared" si="18"/>
        <v>5.1148320000000025E-2</v>
      </c>
      <c r="AP18" s="10">
        <f t="shared" si="19"/>
        <v>-1.9251679999999993E-2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9326555.9882184453</v>
      </c>
      <c r="J19" s="7">
        <f t="shared" si="1"/>
        <v>7806814.3634737357</v>
      </c>
      <c r="K19" s="7">
        <f t="shared" si="1"/>
        <v>1036283.9986909385</v>
      </c>
      <c r="L19" s="7">
        <f t="shared" si="1"/>
        <v>989295.14983906155</v>
      </c>
      <c r="M19" s="7">
        <f t="shared" si="1"/>
        <v>4691216.5251190336</v>
      </c>
      <c r="N19" s="7">
        <f t="shared" si="1"/>
        <v>3855474.4259934053</v>
      </c>
      <c r="O19" s="7">
        <f t="shared" si="1"/>
        <v>521246.28056878137</v>
      </c>
      <c r="P19" s="7">
        <f t="shared" si="1"/>
        <v>496950.21495452686</v>
      </c>
      <c r="Q19" s="7">
        <f t="shared" si="1"/>
        <v>3886064.9950910187</v>
      </c>
      <c r="R19" s="7">
        <f t="shared" si="1"/>
        <v>3050266.8465083651</v>
      </c>
      <c r="S19" s="7">
        <f t="shared" si="1"/>
        <v>431784.9994545576</v>
      </c>
      <c r="T19" s="7">
        <f t="shared" si="1"/>
        <v>412206.31243294227</v>
      </c>
      <c r="U19" s="8">
        <f t="shared" si="7"/>
        <v>19893152.787142776</v>
      </c>
      <c r="V19" s="8">
        <f t="shared" si="7"/>
        <v>16611007.313202038</v>
      </c>
      <c r="W19" s="7">
        <f t="shared" si="2"/>
        <v>19745175.774202142</v>
      </c>
      <c r="X19" s="7">
        <f t="shared" si="2"/>
        <v>16467967.65470979</v>
      </c>
      <c r="Y19" s="10">
        <f t="shared" si="3"/>
        <v>7.1974799668588177E-2</v>
      </c>
      <c r="Z19" s="10">
        <f t="shared" si="8"/>
        <v>5.2948103728014423E-2</v>
      </c>
      <c r="AA19" s="10">
        <f t="shared" si="9"/>
        <v>-1.9026695940573754E-2</v>
      </c>
      <c r="AB19" s="10">
        <f t="shared" si="10"/>
        <v>7.039999999999999E-2</v>
      </c>
      <c r="AC19" s="10">
        <f t="shared" si="11"/>
        <v>5.1148320000000053E-2</v>
      </c>
      <c r="AD19" s="10">
        <f t="shared" si="12"/>
        <v>-1.9251679999999938E-2</v>
      </c>
      <c r="AE19" s="10">
        <f t="shared" si="4"/>
        <v>0.98931527871427738</v>
      </c>
      <c r="AF19" s="10">
        <f t="shared" si="4"/>
        <v>0.66110073132020331</v>
      </c>
      <c r="AG19" s="10">
        <f t="shared" si="13"/>
        <v>-0.32821454739407407</v>
      </c>
      <c r="AH19" s="10">
        <f t="shared" si="5"/>
        <v>0.97451757742021416</v>
      </c>
      <c r="AI19" s="10">
        <f t="shared" si="5"/>
        <v>0.64679676547097853</v>
      </c>
      <c r="AJ19" s="10">
        <f t="shared" si="14"/>
        <v>-0.32772081194923564</v>
      </c>
      <c r="AK19" s="10">
        <f t="shared" si="6"/>
        <v>7.1199501306231427E-2</v>
      </c>
      <c r="AL19" s="10">
        <f t="shared" si="15"/>
        <v>5.205779116876541E-2</v>
      </c>
      <c r="AM19" s="10">
        <f t="shared" si="16"/>
        <v>-1.9141710137466017E-2</v>
      </c>
      <c r="AN19" s="10">
        <f t="shared" si="17"/>
        <v>7.0400000000000018E-2</v>
      </c>
      <c r="AO19" s="10">
        <f t="shared" si="18"/>
        <v>5.1148320000000025E-2</v>
      </c>
      <c r="AP19" s="10">
        <f t="shared" si="19"/>
        <v>-1.9251679999999993E-2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10072680.467275921</v>
      </c>
      <c r="J20" s="7">
        <f t="shared" si="1"/>
        <v>8282717.7670710944</v>
      </c>
      <c r="K20" s="7">
        <f t="shared" si="1"/>
        <v>1119186.7185862137</v>
      </c>
      <c r="L20" s="7">
        <f t="shared" si="1"/>
        <v>1063492.2860769911</v>
      </c>
      <c r="M20" s="7">
        <f t="shared" si="1"/>
        <v>4925777.3513749857</v>
      </c>
      <c r="N20" s="7">
        <f t="shared" si="1"/>
        <v>3969596.4690028103</v>
      </c>
      <c r="O20" s="7">
        <f t="shared" si="1"/>
        <v>547308.59459722042</v>
      </c>
      <c r="P20" s="7">
        <f t="shared" si="1"/>
        <v>519312.97462748055</v>
      </c>
      <c r="Q20" s="7">
        <f t="shared" si="1"/>
        <v>4196950.1946983002</v>
      </c>
      <c r="R20" s="7">
        <f t="shared" si="1"/>
        <v>3215469.2989152581</v>
      </c>
      <c r="S20" s="7">
        <f t="shared" si="1"/>
        <v>466327.79941092222</v>
      </c>
      <c r="T20" s="7">
        <f t="shared" si="1"/>
        <v>443121.78586541291</v>
      </c>
      <c r="U20" s="8">
        <f t="shared" si="7"/>
        <v>21328231.12594356</v>
      </c>
      <c r="V20" s="8">
        <f t="shared" si="7"/>
        <v>17493710.581559047</v>
      </c>
      <c r="W20" s="7">
        <f t="shared" si="2"/>
        <v>21135236.148705974</v>
      </c>
      <c r="X20" s="7">
        <f t="shared" si="2"/>
        <v>17310276.534062535</v>
      </c>
      <c r="Y20" s="10">
        <f t="shared" si="3"/>
        <v>7.2139311156766237E-2</v>
      </c>
      <c r="Z20" s="10">
        <f t="shared" si="8"/>
        <v>5.3139659246038431E-2</v>
      </c>
      <c r="AA20" s="10">
        <f t="shared" si="9"/>
        <v>-1.8999651910727805E-2</v>
      </c>
      <c r="AB20" s="10">
        <f t="shared" si="10"/>
        <v>7.0400000000000074E-2</v>
      </c>
      <c r="AC20" s="10">
        <f t="shared" si="11"/>
        <v>5.1148319999999928E-2</v>
      </c>
      <c r="AD20" s="10">
        <f t="shared" si="12"/>
        <v>-1.9251680000000146E-2</v>
      </c>
      <c r="AE20" s="10">
        <f t="shared" si="4"/>
        <v>1.1328231125943558</v>
      </c>
      <c r="AF20" s="10">
        <f t="shared" si="4"/>
        <v>0.74937105815590432</v>
      </c>
      <c r="AG20" s="10">
        <f t="shared" si="13"/>
        <v>-0.38345205443845143</v>
      </c>
      <c r="AH20" s="10">
        <f t="shared" si="5"/>
        <v>1.1135236148705974</v>
      </c>
      <c r="AI20" s="10">
        <f t="shared" si="5"/>
        <v>0.7310276534062532</v>
      </c>
      <c r="AJ20" s="10">
        <f t="shared" si="14"/>
        <v>-0.38249596146434417</v>
      </c>
      <c r="AK20" s="10">
        <f t="shared" si="6"/>
        <v>7.1284904512645797E-2</v>
      </c>
      <c r="AL20" s="10">
        <f t="shared" si="15"/>
        <v>5.2156096870188629E-2</v>
      </c>
      <c r="AM20" s="10">
        <f t="shared" si="16"/>
        <v>-1.9128807642457168E-2</v>
      </c>
      <c r="AN20" s="10">
        <f t="shared" si="17"/>
        <v>7.0400000000000018E-2</v>
      </c>
      <c r="AO20" s="10">
        <f t="shared" si="18"/>
        <v>5.1148320000000025E-2</v>
      </c>
      <c r="AP20" s="10">
        <f t="shared" si="19"/>
        <v>-1.9251679999999993E-2</v>
      </c>
    </row>
    <row r="21" spans="2:42" x14ac:dyDescent="0.45">
      <c r="B21" s="32" t="s">
        <v>42</v>
      </c>
      <c r="C21" s="33" t="s">
        <v>76</v>
      </c>
      <c r="D21" s="33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10878494.904657995</v>
      </c>
      <c r="J21" s="7">
        <f t="shared" si="1"/>
        <v>8787632.2421517484</v>
      </c>
      <c r="K21" s="7">
        <f t="shared" si="1"/>
        <v>1208721.6560731109</v>
      </c>
      <c r="L21" s="7">
        <f t="shared" si="1"/>
        <v>1143254.2075327653</v>
      </c>
      <c r="M21" s="7">
        <f t="shared" si="1"/>
        <v>5172066.2189437356</v>
      </c>
      <c r="N21" s="7">
        <f t="shared" si="1"/>
        <v>4087096.5244852938</v>
      </c>
      <c r="O21" s="7">
        <f t="shared" si="1"/>
        <v>574674.02432708151</v>
      </c>
      <c r="P21" s="7">
        <f t="shared" si="1"/>
        <v>542682.05848571716</v>
      </c>
      <c r="Q21" s="7">
        <f t="shared" si="1"/>
        <v>4532706.2102741646</v>
      </c>
      <c r="R21" s="7">
        <f t="shared" si="1"/>
        <v>3389619.1161445086</v>
      </c>
      <c r="S21" s="7">
        <f t="shared" si="1"/>
        <v>503634.023363796</v>
      </c>
      <c r="T21" s="7">
        <f t="shared" si="1"/>
        <v>476355.91980531887</v>
      </c>
      <c r="U21" s="8">
        <f t="shared" si="7"/>
        <v>22870297.037639882</v>
      </c>
      <c r="V21" s="8">
        <f t="shared" si="7"/>
        <v>18426640.068605352</v>
      </c>
      <c r="W21" s="7">
        <f t="shared" si="2"/>
        <v>22623156.773574874</v>
      </c>
      <c r="X21" s="7">
        <f t="shared" si="2"/>
        <v>18195668.097515255</v>
      </c>
      <c r="Y21" s="10">
        <f t="shared" si="3"/>
        <v>7.2301631700744301E-2</v>
      </c>
      <c r="Z21" s="10">
        <f t="shared" si="8"/>
        <v>5.3329422748639187E-2</v>
      </c>
      <c r="AA21" s="10">
        <f t="shared" si="9"/>
        <v>-1.8972208952105114E-2</v>
      </c>
      <c r="AB21" s="10">
        <f t="shared" si="10"/>
        <v>7.0399999999999949E-2</v>
      </c>
      <c r="AC21" s="10">
        <f t="shared" si="11"/>
        <v>5.1148319999999955E-2</v>
      </c>
      <c r="AD21" s="10">
        <f t="shared" si="12"/>
        <v>-1.9251679999999993E-2</v>
      </c>
      <c r="AE21" s="10">
        <f t="shared" si="4"/>
        <v>1.287029703763988</v>
      </c>
      <c r="AF21" s="10">
        <f t="shared" si="4"/>
        <v>0.84266400686053489</v>
      </c>
      <c r="AG21" s="10">
        <f t="shared" si="13"/>
        <v>-0.44436569690345307</v>
      </c>
      <c r="AH21" s="10">
        <f t="shared" si="5"/>
        <v>1.2623156773574875</v>
      </c>
      <c r="AI21" s="10">
        <f t="shared" si="5"/>
        <v>0.8195668097515254</v>
      </c>
      <c r="AJ21" s="10">
        <f t="shared" si="14"/>
        <v>-0.4427488676059621</v>
      </c>
      <c r="AK21" s="10">
        <f t="shared" si="6"/>
        <v>7.1369594945001724E-2</v>
      </c>
      <c r="AL21" s="10">
        <f t="shared" si="15"/>
        <v>5.2253824086783363E-2</v>
      </c>
      <c r="AM21" s="10">
        <f t="shared" si="16"/>
        <v>-1.9115770858218362E-2</v>
      </c>
      <c r="AN21" s="10">
        <f t="shared" si="17"/>
        <v>7.0400000000000018E-2</v>
      </c>
      <c r="AO21" s="10">
        <f t="shared" si="18"/>
        <v>5.1148320000000025E-2</v>
      </c>
      <c r="AP21" s="10">
        <f t="shared" si="19"/>
        <v>-1.9251679999999993E-2</v>
      </c>
    </row>
    <row r="22" spans="2:42" x14ac:dyDescent="0.45">
      <c r="B22" t="s">
        <v>43</v>
      </c>
      <c r="C22" s="8">
        <f>_xlfn.XLOOKUP(C3,G:G,V:V)</f>
        <v>28098546.931423761</v>
      </c>
      <c r="D22" s="8">
        <f>_xlfn.XLOOKUP(C3,G:G,X:X)</f>
        <v>27119395.867656779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11748774.497030636</v>
      </c>
      <c r="J22" s="7">
        <f t="shared" si="1"/>
        <v>9323326.3036333174</v>
      </c>
      <c r="K22" s="7">
        <f t="shared" si="1"/>
        <v>1305419.3885589598</v>
      </c>
      <c r="L22" s="7">
        <f t="shared" si="1"/>
        <v>1228998.2730977228</v>
      </c>
      <c r="M22" s="7">
        <f t="shared" si="1"/>
        <v>5430669.5298909228</v>
      </c>
      <c r="N22" s="7">
        <f t="shared" si="1"/>
        <v>4208074.5816100584</v>
      </c>
      <c r="O22" s="7">
        <f t="shared" si="1"/>
        <v>603407.72554343566</v>
      </c>
      <c r="P22" s="7">
        <f t="shared" si="1"/>
        <v>567102.7511175744</v>
      </c>
      <c r="Q22" s="7">
        <f t="shared" si="1"/>
        <v>4895322.707096098</v>
      </c>
      <c r="R22" s="7">
        <f t="shared" si="1"/>
        <v>3573200.887474895</v>
      </c>
      <c r="S22" s="7">
        <f t="shared" si="1"/>
        <v>543924.74523289967</v>
      </c>
      <c r="T22" s="7">
        <f t="shared" si="1"/>
        <v>512082.61379071779</v>
      </c>
      <c r="U22" s="8">
        <f t="shared" si="7"/>
        <v>24527518.593352947</v>
      </c>
      <c r="V22" s="8">
        <f t="shared" si="7"/>
        <v>19412785.410724286</v>
      </c>
      <c r="W22" s="7">
        <f t="shared" si="2"/>
        <v>24215827.010434546</v>
      </c>
      <c r="X22" s="7">
        <f t="shared" si="2"/>
        <v>19126345.951980758</v>
      </c>
      <c r="Y22" s="10">
        <f t="shared" si="3"/>
        <v>7.2461741663679025E-2</v>
      </c>
      <c r="Z22" s="10">
        <f t="shared" si="8"/>
        <v>5.3517371503831172E-2</v>
      </c>
      <c r="AA22" s="10">
        <f t="shared" si="9"/>
        <v>-1.8944370159847852E-2</v>
      </c>
      <c r="AB22" s="10">
        <f t="shared" si="10"/>
        <v>7.0400000000000032E-2</v>
      </c>
      <c r="AC22" s="10">
        <f t="shared" si="11"/>
        <v>5.1148320000000094E-2</v>
      </c>
      <c r="AD22" s="10">
        <f t="shared" si="12"/>
        <v>-1.9251679999999938E-2</v>
      </c>
      <c r="AE22" s="10">
        <f t="shared" si="4"/>
        <v>1.4527518593352946</v>
      </c>
      <c r="AF22" s="10">
        <f t="shared" si="4"/>
        <v>0.94127854107242803</v>
      </c>
      <c r="AG22" s="10">
        <f t="shared" si="13"/>
        <v>-0.51147331826286657</v>
      </c>
      <c r="AH22" s="10">
        <f t="shared" si="5"/>
        <v>1.4215827010434547</v>
      </c>
      <c r="AI22" s="10">
        <f t="shared" si="5"/>
        <v>0.91263459519807566</v>
      </c>
      <c r="AJ22" s="10">
        <f t="shared" si="14"/>
        <v>-0.50894810584537908</v>
      </c>
      <c r="AK22" s="10">
        <f t="shared" si="6"/>
        <v>7.1453566730468987E-2</v>
      </c>
      <c r="AL22" s="10">
        <f t="shared" si="15"/>
        <v>5.2350966215831241E-2</v>
      </c>
      <c r="AM22" s="10">
        <f t="shared" si="16"/>
        <v>-1.9102600514637746E-2</v>
      </c>
      <c r="AN22" s="10">
        <f t="shared" si="17"/>
        <v>7.0400000000000018E-2</v>
      </c>
      <c r="AO22" s="10">
        <f t="shared" si="18"/>
        <v>5.1148320000000025E-2</v>
      </c>
      <c r="AP22" s="10">
        <f t="shared" si="19"/>
        <v>-1.9251679999999993E-2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12688676.456793088</v>
      </c>
      <c r="J23" s="7">
        <f t="shared" si="1"/>
        <v>9891676.2751028035</v>
      </c>
      <c r="K23" s="7">
        <f t="shared" si="1"/>
        <v>1409852.9396436766</v>
      </c>
      <c r="L23" s="7">
        <f t="shared" si="1"/>
        <v>1321173.1435800518</v>
      </c>
      <c r="M23" s="7">
        <f t="shared" si="1"/>
        <v>5702203.0063854689</v>
      </c>
      <c r="N23" s="7">
        <f t="shared" si="1"/>
        <v>4332633.5892257169</v>
      </c>
      <c r="O23" s="7">
        <f t="shared" si="1"/>
        <v>633578.11182060745</v>
      </c>
      <c r="P23" s="7">
        <f t="shared" si="1"/>
        <v>592622.37491786527</v>
      </c>
      <c r="Q23" s="7">
        <f t="shared" si="1"/>
        <v>5286948.5236637862</v>
      </c>
      <c r="R23" s="7">
        <f t="shared" si="1"/>
        <v>3766725.4475405351</v>
      </c>
      <c r="S23" s="7">
        <f t="shared" si="1"/>
        <v>587438.72485153168</v>
      </c>
      <c r="T23" s="7">
        <f t="shared" si="1"/>
        <v>550488.80982502166</v>
      </c>
      <c r="U23" s="8">
        <f t="shared" si="7"/>
        <v>26308697.763158157</v>
      </c>
      <c r="V23" s="8">
        <f t="shared" si="7"/>
        <v>20455319.640191995</v>
      </c>
      <c r="W23" s="7">
        <f t="shared" si="2"/>
        <v>25920621.231969137</v>
      </c>
      <c r="X23" s="7">
        <f t="shared" si="2"/>
        <v>20104626.415163375</v>
      </c>
      <c r="Y23" s="10">
        <f t="shared" si="3"/>
        <v>7.2619623669877328E-2</v>
      </c>
      <c r="Z23" s="10">
        <f t="shared" si="8"/>
        <v>5.3703484966756865E-2</v>
      </c>
      <c r="AA23" s="10">
        <f t="shared" si="9"/>
        <v>-1.8916138703120464E-2</v>
      </c>
      <c r="AB23" s="10">
        <f t="shared" si="10"/>
        <v>7.0399999999999963E-2</v>
      </c>
      <c r="AC23" s="10">
        <f t="shared" si="11"/>
        <v>5.1148320000000025E-2</v>
      </c>
      <c r="AD23" s="10">
        <f t="shared" si="12"/>
        <v>-1.9251679999999938E-2</v>
      </c>
      <c r="AE23" s="10">
        <f t="shared" si="4"/>
        <v>1.6308697763158153</v>
      </c>
      <c r="AF23" s="10">
        <f t="shared" si="4"/>
        <v>1.0455319640191987</v>
      </c>
      <c r="AG23" s="10">
        <f t="shared" si="13"/>
        <v>-0.58533781229661663</v>
      </c>
      <c r="AH23" s="10">
        <f t="shared" si="5"/>
        <v>1.5920621231969139</v>
      </c>
      <c r="AI23" s="10">
        <f t="shared" si="5"/>
        <v>1.0104626415163374</v>
      </c>
      <c r="AJ23" s="10">
        <f t="shared" si="14"/>
        <v>-0.58159948168057651</v>
      </c>
      <c r="AK23" s="10">
        <f t="shared" si="6"/>
        <v>7.1536814456651499E-2</v>
      </c>
      <c r="AL23" s="10">
        <f t="shared" si="15"/>
        <v>5.2447517097754748E-2</v>
      </c>
      <c r="AM23" s="10">
        <f t="shared" si="16"/>
        <v>-1.9089297358896751E-2</v>
      </c>
      <c r="AN23" s="10">
        <f t="shared" si="17"/>
        <v>7.0400000000000018E-2</v>
      </c>
      <c r="AO23" s="10">
        <f t="shared" si="18"/>
        <v>5.1148320000000025E-2</v>
      </c>
      <c r="AP23" s="10">
        <f t="shared" si="19"/>
        <v>-1.9251679999999993E-2</v>
      </c>
    </row>
    <row r="24" spans="2:42" x14ac:dyDescent="0.45">
      <c r="B24" t="s">
        <v>62</v>
      </c>
      <c r="C24" s="9">
        <f>_xlfn.XLOOKUP(C3,G:G,AE:AE)</f>
        <v>3.0185061234637454</v>
      </c>
      <c r="D24" s="9">
        <f>_xlfn.XLOOKUP(C3,G:G,AH:AH)</f>
        <v>2.8987196635413923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13703770.573336536</v>
      </c>
      <c r="J24" s="7">
        <f t="shared" si="1"/>
        <v>10494672.860833069</v>
      </c>
      <c r="K24" s="7">
        <f t="shared" si="1"/>
        <v>1522641.1748151709</v>
      </c>
      <c r="L24" s="7">
        <f t="shared" si="1"/>
        <v>1420261.1293485556</v>
      </c>
      <c r="M24" s="7">
        <f t="shared" si="1"/>
        <v>5987313.1567047425</v>
      </c>
      <c r="N24" s="7">
        <f t="shared" si="1"/>
        <v>4460879.543466798</v>
      </c>
      <c r="O24" s="7">
        <f t="shared" si="1"/>
        <v>665257.01741163782</v>
      </c>
      <c r="P24" s="7">
        <f t="shared" si="1"/>
        <v>619290.38178916916</v>
      </c>
      <c r="Q24" s="7">
        <f t="shared" si="1"/>
        <v>5709904.4055568893</v>
      </c>
      <c r="R24" s="7">
        <f t="shared" si="1"/>
        <v>3970731.2977793305</v>
      </c>
      <c r="S24" s="7">
        <f t="shared" si="1"/>
        <v>634433.82283965428</v>
      </c>
      <c r="T24" s="7">
        <f t="shared" si="1"/>
        <v>591775.47056189831</v>
      </c>
      <c r="U24" s="8">
        <f t="shared" si="7"/>
        <v>28223320.150664635</v>
      </c>
      <c r="V24" s="8">
        <f t="shared" si="7"/>
        <v>21557610.683778822</v>
      </c>
      <c r="W24" s="7">
        <f t="shared" si="2"/>
        <v>27745432.966699764</v>
      </c>
      <c r="X24" s="7">
        <f t="shared" si="2"/>
        <v>21132944.280526605</v>
      </c>
      <c r="Y24" s="10">
        <f t="shared" si="3"/>
        <v>7.277526256687826E-2</v>
      </c>
      <c r="Z24" s="10">
        <f t="shared" si="8"/>
        <v>5.3887744751784365E-2</v>
      </c>
      <c r="AA24" s="10">
        <f t="shared" si="9"/>
        <v>-1.8887517815093895E-2</v>
      </c>
      <c r="AB24" s="10">
        <f t="shared" si="10"/>
        <v>7.0400000000000004E-2</v>
      </c>
      <c r="AC24" s="10">
        <f t="shared" si="11"/>
        <v>5.1148319999999997E-2</v>
      </c>
      <c r="AD24" s="10">
        <f t="shared" si="12"/>
        <v>-1.9251680000000007E-2</v>
      </c>
      <c r="AE24" s="10">
        <f t="shared" si="4"/>
        <v>1.822332015066463</v>
      </c>
      <c r="AF24" s="10">
        <f t="shared" si="4"/>
        <v>1.1557610683778812</v>
      </c>
      <c r="AG24" s="10">
        <f t="shared" si="13"/>
        <v>-0.66657094668858186</v>
      </c>
      <c r="AH24" s="10">
        <f t="shared" si="5"/>
        <v>1.7745432966699766</v>
      </c>
      <c r="AI24" s="10">
        <f t="shared" si="5"/>
        <v>1.1132944280526602</v>
      </c>
      <c r="AJ24" s="10">
        <f t="shared" si="14"/>
        <v>-0.66124886861731635</v>
      </c>
      <c r="AK24" s="10">
        <f t="shared" si="6"/>
        <v>7.161933316597513E-2</v>
      </c>
      <c r="AL24" s="10">
        <f t="shared" si="15"/>
        <v>5.2543471012209242E-2</v>
      </c>
      <c r="AM24" s="10">
        <f t="shared" si="16"/>
        <v>-1.9075862153765888E-2</v>
      </c>
      <c r="AN24" s="10">
        <f t="shared" si="17"/>
        <v>7.0400000000000018E-2</v>
      </c>
      <c r="AO24" s="10">
        <f t="shared" si="18"/>
        <v>5.1148320000000025E-2</v>
      </c>
      <c r="AP24" s="10">
        <f t="shared" si="19"/>
        <v>-1.9251679999999993E-2</v>
      </c>
    </row>
    <row r="25" spans="2:42" x14ac:dyDescent="0.45">
      <c r="B25" t="s">
        <v>64</v>
      </c>
      <c r="C25" s="9">
        <f>_xlfn.XLOOKUP(C3,G:G,AF:AF)</f>
        <v>1.8098546931423747</v>
      </c>
      <c r="D25" s="9">
        <f>_xlfn.XLOOKUP(C3,G:G,AI:AI)</f>
        <v>1.7119395867656779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14800072.219203459</v>
      </c>
      <c r="J25" s="7">
        <f t="shared" si="1"/>
        <v>11134428.118429452</v>
      </c>
      <c r="K25" s="7">
        <f t="shared" si="1"/>
        <v>1644452.4688003848</v>
      </c>
      <c r="L25" s="7">
        <f t="shared" si="1"/>
        <v>1526780.7140496972</v>
      </c>
      <c r="M25" s="7">
        <f t="shared" si="1"/>
        <v>6286678.8145399801</v>
      </c>
      <c r="N25" s="7">
        <f t="shared" si="1"/>
        <v>4592921.5779534159</v>
      </c>
      <c r="O25" s="7">
        <f t="shared" si="1"/>
        <v>698519.86828221974</v>
      </c>
      <c r="P25" s="7">
        <f t="shared" si="1"/>
        <v>647158.44896968175</v>
      </c>
      <c r="Q25" s="7">
        <f t="shared" si="1"/>
        <v>6166696.7580014411</v>
      </c>
      <c r="R25" s="7">
        <f t="shared" si="1"/>
        <v>4185786.1048670588</v>
      </c>
      <c r="S25" s="7">
        <f t="shared" si="1"/>
        <v>685188.52866682666</v>
      </c>
      <c r="T25" s="7">
        <f t="shared" si="1"/>
        <v>636158.63085404062</v>
      </c>
      <c r="U25" s="8">
        <f t="shared" si="7"/>
        <v>30281608.65749431</v>
      </c>
      <c r="V25" s="8">
        <f t="shared" si="7"/>
        <v>22723233.595123347</v>
      </c>
      <c r="W25" s="7">
        <f t="shared" si="2"/>
        <v>29698711.447555427</v>
      </c>
      <c r="X25" s="7">
        <f t="shared" si="2"/>
        <v>22213858.877129149</v>
      </c>
      <c r="Y25" s="10">
        <f t="shared" si="3"/>
        <v>7.2928645384097532E-2</v>
      </c>
      <c r="Z25" s="10">
        <f t="shared" si="8"/>
        <v>5.4070134600844505E-2</v>
      </c>
      <c r="AA25" s="10">
        <f t="shared" si="9"/>
        <v>-1.8858510783253027E-2</v>
      </c>
      <c r="AB25" s="10">
        <f t="shared" si="10"/>
        <v>7.0399999999999963E-2</v>
      </c>
      <c r="AC25" s="10">
        <f t="shared" si="11"/>
        <v>5.1148319999999983E-2</v>
      </c>
      <c r="AD25" s="10">
        <f t="shared" si="12"/>
        <v>-1.9251679999999979E-2</v>
      </c>
      <c r="AE25" s="10">
        <f t="shared" si="4"/>
        <v>2.0281608657494306</v>
      </c>
      <c r="AF25" s="10">
        <f t="shared" si="4"/>
        <v>1.2723233595123338</v>
      </c>
      <c r="AG25" s="10">
        <f t="shared" si="13"/>
        <v>-0.75583750623709678</v>
      </c>
      <c r="AH25" s="10">
        <f t="shared" si="5"/>
        <v>1.969871144755543</v>
      </c>
      <c r="AI25" s="10">
        <f t="shared" si="5"/>
        <v>1.2213858877129149</v>
      </c>
      <c r="AJ25" s="10">
        <f t="shared" si="14"/>
        <v>-0.74848525704262814</v>
      </c>
      <c r="AK25" s="10">
        <f t="shared" si="6"/>
        <v>7.1701118349551951E-2</v>
      </c>
      <c r="AL25" s="10">
        <f t="shared" si="15"/>
        <v>5.263882267361164E-2</v>
      </c>
      <c r="AM25" s="10">
        <f t="shared" si="16"/>
        <v>-1.9062295675940311E-2</v>
      </c>
      <c r="AN25" s="10">
        <f t="shared" si="17"/>
        <v>7.0400000000000018E-2</v>
      </c>
      <c r="AO25" s="10">
        <f t="shared" si="18"/>
        <v>5.1148320000000025E-2</v>
      </c>
      <c r="AP25" s="10">
        <f t="shared" si="19"/>
        <v>-1.9251679999999993E-2</v>
      </c>
    </row>
    <row r="26" spans="2:42" x14ac:dyDescent="0.45">
      <c r="B26" t="s">
        <v>63</v>
      </c>
      <c r="C26" s="9">
        <f>_xlfn.XLOOKUP(C3,G:G,AG:AG)</f>
        <v>-1.2086514303213707</v>
      </c>
      <c r="D26" s="9">
        <f>_xlfn.XLOOKUP(C3,G:G,AJ:AJ)</f>
        <v>-1.1867800767757144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15984077.996739738</v>
      </c>
      <c r="J26" s="7">
        <f t="shared" si="1"/>
        <v>11813182.85652891</v>
      </c>
      <c r="K26" s="7">
        <f t="shared" si="1"/>
        <v>1776008.6663044158</v>
      </c>
      <c r="L26" s="7">
        <f t="shared" si="1"/>
        <v>1641289.2676034244</v>
      </c>
      <c r="M26" s="7">
        <f t="shared" si="1"/>
        <v>6601012.7552669793</v>
      </c>
      <c r="N26" s="7">
        <f t="shared" si="1"/>
        <v>4728872.0566608375</v>
      </c>
      <c r="O26" s="7">
        <f t="shared" si="1"/>
        <v>733445.86169633071</v>
      </c>
      <c r="P26" s="7">
        <f t="shared" si="1"/>
        <v>676280.57917331741</v>
      </c>
      <c r="Q26" s="7">
        <f t="shared" si="1"/>
        <v>6660032.4986415571</v>
      </c>
      <c r="R26" s="7">
        <f t="shared" si="1"/>
        <v>4412488.2803066587</v>
      </c>
      <c r="S26" s="7">
        <f t="shared" si="1"/>
        <v>740003.61096017284</v>
      </c>
      <c r="T26" s="7">
        <f t="shared" si="1"/>
        <v>683870.52816809365</v>
      </c>
      <c r="U26" s="8">
        <f t="shared" si="7"/>
        <v>32494581.389609195</v>
      </c>
      <c r="V26" s="8">
        <f t="shared" si="7"/>
        <v>23955983.568441246</v>
      </c>
      <c r="W26" s="7">
        <f t="shared" ref="W26:X41" si="20">IF($G26="","",IF($G26=1,(($C$2+$H26)*W$3)*(1+(W$4-W$5)),((W25+($H26*W$3))*(1+(W$4-W$5)))))</f>
        <v>31789500.733463328</v>
      </c>
      <c r="X26" s="7">
        <f t="shared" si="20"/>
        <v>23350060.439411391</v>
      </c>
      <c r="Y26" s="10">
        <f t="shared" si="3"/>
        <v>7.3079761288282905E-2</v>
      </c>
      <c r="Z26" s="10">
        <f t="shared" si="8"/>
        <v>5.4250640348231967E-2</v>
      </c>
      <c r="AA26" s="10">
        <f t="shared" si="9"/>
        <v>-1.8829120940050938E-2</v>
      </c>
      <c r="AB26" s="10">
        <f t="shared" si="10"/>
        <v>7.039999999999999E-2</v>
      </c>
      <c r="AC26" s="10">
        <f t="shared" si="11"/>
        <v>5.1148319999999976E-2</v>
      </c>
      <c r="AD26" s="10">
        <f t="shared" si="12"/>
        <v>-1.9251680000000014E-2</v>
      </c>
      <c r="AE26" s="10">
        <f t="shared" ref="AE26:AF41" si="21">IF($G26="","",IF($G26=1,Y26,(1+Y26)*(1+AE25)-1))</f>
        <v>2.2494581389609194</v>
      </c>
      <c r="AF26" s="10">
        <f t="shared" si="21"/>
        <v>1.3955983568441233</v>
      </c>
      <c r="AG26" s="10">
        <f t="shared" si="13"/>
        <v>-0.85385978211679614</v>
      </c>
      <c r="AH26" s="10">
        <f t="shared" ref="AH26:AI41" si="22">IF($G26="","",IF($G26=1,AB26,(1+AB26)*(1+AH25)-1))</f>
        <v>2.1789500733463334</v>
      </c>
      <c r="AI26" s="10">
        <f t="shared" si="22"/>
        <v>1.3350060439411391</v>
      </c>
      <c r="AJ26" s="10">
        <f t="shared" si="14"/>
        <v>-0.84394402940519431</v>
      </c>
      <c r="AK26" s="10">
        <f t="shared" si="6"/>
        <v>7.1782165940550868E-2</v>
      </c>
      <c r="AL26" s="10">
        <f t="shared" si="15"/>
        <v>5.2733567226129319E-2</v>
      </c>
      <c r="AM26" s="10">
        <f t="shared" si="16"/>
        <v>-1.904859871442155E-2</v>
      </c>
      <c r="AN26" s="10">
        <f t="shared" si="17"/>
        <v>7.0400000000000018E-2</v>
      </c>
      <c r="AO26" s="10">
        <f t="shared" si="18"/>
        <v>5.1148320000000025E-2</v>
      </c>
      <c r="AP26" s="10">
        <f t="shared" si="19"/>
        <v>-1.9251679999999993E-2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17262804.236478917</v>
      </c>
      <c r="J27" s="7">
        <f t="shared" si="1"/>
        <v>12533314.483462911</v>
      </c>
      <c r="K27" s="7">
        <f t="shared" si="1"/>
        <v>1918089.3596087692</v>
      </c>
      <c r="L27" s="7">
        <f t="shared" si="1"/>
        <v>1764385.9626736811</v>
      </c>
      <c r="M27" s="7">
        <f t="shared" si="1"/>
        <v>6931063.3930303287</v>
      </c>
      <c r="N27" s="7">
        <f t="shared" si="1"/>
        <v>4868846.6695379987</v>
      </c>
      <c r="O27" s="7">
        <f t="shared" si="1"/>
        <v>770118.15478114726</v>
      </c>
      <c r="P27" s="7">
        <f t="shared" si="1"/>
        <v>706713.20523611666</v>
      </c>
      <c r="Q27" s="7">
        <f t="shared" si="1"/>
        <v>7192835.0985328825</v>
      </c>
      <c r="R27" s="7">
        <f t="shared" si="1"/>
        <v>4651468.6455680672</v>
      </c>
      <c r="S27" s="7">
        <f t="shared" si="1"/>
        <v>799203.89983698667</v>
      </c>
      <c r="T27" s="7">
        <f t="shared" si="1"/>
        <v>735160.81778070063</v>
      </c>
      <c r="U27" s="8">
        <f t="shared" si="7"/>
        <v>34874114.142269038</v>
      </c>
      <c r="V27" s="8">
        <f t="shared" si="7"/>
        <v>25259889.784259479</v>
      </c>
      <c r="W27" s="7">
        <f t="shared" si="20"/>
        <v>34027481.585099146</v>
      </c>
      <c r="X27" s="7">
        <f t="shared" si="20"/>
        <v>24544376.802785747</v>
      </c>
      <c r="Y27" s="10">
        <f t="shared" si="3"/>
        <v>7.3228601536031682E-2</v>
      </c>
      <c r="Z27" s="10">
        <f t="shared" si="8"/>
        <v>5.4429249882102654E-2</v>
      </c>
      <c r="AA27" s="10">
        <f t="shared" si="9"/>
        <v>-1.8799351653929028E-2</v>
      </c>
      <c r="AB27" s="10">
        <f t="shared" si="10"/>
        <v>7.0399999999999976E-2</v>
      </c>
      <c r="AC27" s="10">
        <f t="shared" si="11"/>
        <v>5.1148320000000073E-2</v>
      </c>
      <c r="AD27" s="10">
        <f t="shared" si="12"/>
        <v>-1.9251679999999903E-2</v>
      </c>
      <c r="AE27" s="10">
        <f t="shared" si="21"/>
        <v>2.4874114142269037</v>
      </c>
      <c r="AF27" s="10">
        <f t="shared" si="21"/>
        <v>1.5259889784259464</v>
      </c>
      <c r="AG27" s="10">
        <f t="shared" si="13"/>
        <v>-0.96142243580095732</v>
      </c>
      <c r="AH27" s="10">
        <f t="shared" si="22"/>
        <v>2.4027481585099153</v>
      </c>
      <c r="AI27" s="10">
        <f t="shared" si="22"/>
        <v>1.4544376802785748</v>
      </c>
      <c r="AJ27" s="10">
        <f t="shared" si="14"/>
        <v>-0.94831047823134051</v>
      </c>
      <c r="AK27" s="10">
        <f t="shared" si="6"/>
        <v>7.1862472307108627E-2</v>
      </c>
      <c r="AL27" s="10">
        <f t="shared" si="15"/>
        <v>5.2827700238160302E-2</v>
      </c>
      <c r="AM27" s="10">
        <f t="shared" si="16"/>
        <v>-1.9034772068948325E-2</v>
      </c>
      <c r="AN27" s="10">
        <f t="shared" si="17"/>
        <v>7.0400000000000018E-2</v>
      </c>
      <c r="AO27" s="10">
        <f t="shared" si="18"/>
        <v>5.1148320000000025E-2</v>
      </c>
      <c r="AP27" s="10">
        <f t="shared" si="19"/>
        <v>-1.9251679999999993E-2</v>
      </c>
    </row>
    <row r="28" spans="2:42" x14ac:dyDescent="0.45">
      <c r="B28" t="s">
        <v>65</v>
      </c>
      <c r="C28" s="9">
        <f>_xlfn.XLOOKUP(C3,G:G,AK:AK)</f>
        <v>7.2020848968773032E-2</v>
      </c>
      <c r="D28" s="9">
        <f>_xlfn.XLOOKUP(C3,G:G,AN:AN)</f>
        <v>7.0400000000000018E-2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18643828.575397231</v>
      </c>
      <c r="J28" s="7">
        <f t="shared" si="1"/>
        <v>13297345.33437481</v>
      </c>
      <c r="K28" s="7">
        <f t="shared" si="1"/>
        <v>2071536.5083774708</v>
      </c>
      <c r="L28" s="7">
        <f t="shared" si="1"/>
        <v>1896714.9098742071</v>
      </c>
      <c r="M28" s="7">
        <f t="shared" si="1"/>
        <v>7277616.5626818454</v>
      </c>
      <c r="N28" s="7">
        <f t="shared" si="1"/>
        <v>5012964.5309563242</v>
      </c>
      <c r="O28" s="7">
        <f t="shared" si="1"/>
        <v>808624.06252020469</v>
      </c>
      <c r="P28" s="7">
        <f t="shared" si="1"/>
        <v>738515.29947174189</v>
      </c>
      <c r="Q28" s="7">
        <f t="shared" si="1"/>
        <v>7768261.9064155137</v>
      </c>
      <c r="R28" s="7">
        <f t="shared" si="1"/>
        <v>4903392.1874120338</v>
      </c>
      <c r="S28" s="7">
        <f t="shared" si="1"/>
        <v>863140.21182394563</v>
      </c>
      <c r="T28" s="7">
        <f t="shared" si="1"/>
        <v>790297.8791142531</v>
      </c>
      <c r="U28" s="8">
        <f t="shared" si="7"/>
        <v>37433007.827216215</v>
      </c>
      <c r="V28" s="8">
        <f t="shared" si="7"/>
        <v>26639230.14120337</v>
      </c>
      <c r="W28" s="7">
        <f t="shared" si="20"/>
        <v>36423016.288690127</v>
      </c>
      <c r="X28" s="7">
        <f t="shared" si="20"/>
        <v>25799780.44169521</v>
      </c>
      <c r="Y28" s="10">
        <f t="shared" si="3"/>
        <v>7.3375159423639105E-2</v>
      </c>
      <c r="Z28" s="10">
        <f t="shared" si="8"/>
        <v>5.4605953102907702E-2</v>
      </c>
      <c r="AA28" s="10">
        <f t="shared" si="9"/>
        <v>-1.8769206320731403E-2</v>
      </c>
      <c r="AB28" s="10">
        <f t="shared" si="10"/>
        <v>7.040000000000006E-2</v>
      </c>
      <c r="AC28" s="10">
        <f t="shared" si="11"/>
        <v>5.1148320000000025E-2</v>
      </c>
      <c r="AD28" s="10">
        <f t="shared" si="12"/>
        <v>-1.9251680000000035E-2</v>
      </c>
      <c r="AE28" s="10">
        <f t="shared" si="21"/>
        <v>2.7433007827216218</v>
      </c>
      <c r="AF28" s="10">
        <f t="shared" si="21"/>
        <v>1.6639230141203356</v>
      </c>
      <c r="AG28" s="10">
        <f t="shared" si="13"/>
        <v>-1.0793777686012862</v>
      </c>
      <c r="AH28" s="10">
        <f t="shared" si="22"/>
        <v>2.6423016288690135</v>
      </c>
      <c r="AI28" s="10">
        <f t="shared" si="22"/>
        <v>1.579978044169521</v>
      </c>
      <c r="AJ28" s="10">
        <f t="shared" si="14"/>
        <v>-1.0623235846994925</v>
      </c>
      <c r="AK28" s="10">
        <f t="shared" si="6"/>
        <v>7.1942034244810271E-2</v>
      </c>
      <c r="AL28" s="10">
        <f t="shared" si="15"/>
        <v>5.2921217696332068E-2</v>
      </c>
      <c r="AM28" s="10">
        <f t="shared" si="16"/>
        <v>-1.9020816548478203E-2</v>
      </c>
      <c r="AN28" s="10">
        <f t="shared" si="17"/>
        <v>7.0400000000000018E-2</v>
      </c>
      <c r="AO28" s="10">
        <f t="shared" si="18"/>
        <v>5.1148320000000025E-2</v>
      </c>
      <c r="AP28" s="10">
        <f t="shared" si="19"/>
        <v>-1.9251679999999993E-2</v>
      </c>
    </row>
    <row r="29" spans="2:42" x14ac:dyDescent="0.45">
      <c r="B29" t="s">
        <v>66</v>
      </c>
      <c r="C29" s="9">
        <f>_xlfn.XLOOKUP(C3,G:G,AL:AL)</f>
        <v>5.3014115999050926E-2</v>
      </c>
      <c r="D29" s="9">
        <f>_xlfn.XLOOKUP(C3,G:G,AO:AO)</f>
        <v>5.1148320000000025E-2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20135334.86142901</v>
      </c>
      <c r="J29" s="7">
        <f t="shared" si="1"/>
        <v>14107951.505958296</v>
      </c>
      <c r="K29" s="7">
        <f t="shared" si="1"/>
        <v>2237259.4290476684</v>
      </c>
      <c r="L29" s="7">
        <f t="shared" si="1"/>
        <v>2038968.5281147726</v>
      </c>
      <c r="M29" s="7">
        <f t="shared" si="1"/>
        <v>7641497.3908159379</v>
      </c>
      <c r="N29" s="7">
        <f t="shared" si="1"/>
        <v>5161348.2810726315</v>
      </c>
      <c r="O29" s="7">
        <f t="shared" si="1"/>
        <v>849055.26564621495</v>
      </c>
      <c r="P29" s="7">
        <f t="shared" si="1"/>
        <v>771748.48794797028</v>
      </c>
      <c r="Q29" s="7">
        <f t="shared" si="1"/>
        <v>8389722.8589287549</v>
      </c>
      <c r="R29" s="7">
        <f t="shared" si="1"/>
        <v>5168959.9082822697</v>
      </c>
      <c r="S29" s="7">
        <f t="shared" si="1"/>
        <v>932191.42876986135</v>
      </c>
      <c r="T29" s="7">
        <f t="shared" si="1"/>
        <v>849570.22004782199</v>
      </c>
      <c r="U29" s="8">
        <f t="shared" si="7"/>
        <v>40185061.234637447</v>
      </c>
      <c r="V29" s="8">
        <f t="shared" si="7"/>
        <v>28098546.931423761</v>
      </c>
      <c r="W29" s="7">
        <f t="shared" si="20"/>
        <v>38987196.635413915</v>
      </c>
      <c r="X29" s="7">
        <f t="shared" si="20"/>
        <v>27119395.867656779</v>
      </c>
      <c r="Y29" s="10">
        <f t="shared" si="3"/>
        <v>7.3519430234519137E-2</v>
      </c>
      <c r="Z29" s="10">
        <f t="shared" si="8"/>
        <v>5.4780741878994461E-2</v>
      </c>
      <c r="AA29" s="10">
        <f t="shared" si="9"/>
        <v>-1.8738688355524676E-2</v>
      </c>
      <c r="AB29" s="10">
        <f t="shared" si="10"/>
        <v>7.0400000000000074E-2</v>
      </c>
      <c r="AC29" s="10">
        <f t="shared" si="11"/>
        <v>5.1148320000000039E-2</v>
      </c>
      <c r="AD29" s="10">
        <f t="shared" si="12"/>
        <v>-1.9251680000000035E-2</v>
      </c>
      <c r="AE29" s="10">
        <f t="shared" si="21"/>
        <v>3.0185061234637454</v>
      </c>
      <c r="AF29" s="10">
        <f t="shared" si="21"/>
        <v>1.8098546931423747</v>
      </c>
      <c r="AG29" s="10">
        <f t="shared" si="13"/>
        <v>-1.2086514303213707</v>
      </c>
      <c r="AH29" s="10">
        <f t="shared" si="22"/>
        <v>2.8987196635413923</v>
      </c>
      <c r="AI29" s="10">
        <f t="shared" si="22"/>
        <v>1.7119395867656779</v>
      </c>
      <c r="AJ29" s="10">
        <f t="shared" si="14"/>
        <v>-1.1867800767757144</v>
      </c>
      <c r="AK29" s="10">
        <f t="shared" si="6"/>
        <v>7.2020848968773032E-2</v>
      </c>
      <c r="AL29" s="10">
        <f t="shared" si="15"/>
        <v>5.3014115999050926E-2</v>
      </c>
      <c r="AM29" s="10">
        <f t="shared" si="16"/>
        <v>-1.9006732969722107E-2</v>
      </c>
      <c r="AN29" s="10">
        <f t="shared" si="17"/>
        <v>7.0400000000000018E-2</v>
      </c>
      <c r="AO29" s="10">
        <f t="shared" si="18"/>
        <v>5.1148320000000025E-2</v>
      </c>
      <c r="AP29" s="10">
        <f t="shared" si="19"/>
        <v>-1.9251679999999993E-2</v>
      </c>
    </row>
    <row r="30" spans="2:42" x14ac:dyDescent="0.45">
      <c r="B30" t="s">
        <v>67</v>
      </c>
      <c r="C30" s="9">
        <f>_xlfn.XLOOKUP(C3,G:G,AM:AM)</f>
        <v>-1.9006732969722107E-2</v>
      </c>
      <c r="D30" s="9">
        <f>_xlfn.XLOOKUP(C3,G:G,AP:AP)</f>
        <v>-1.9251679999999993E-2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7" priority="1" operator="equal">
      <formula>"Error"</formula>
    </cfRule>
    <cfRule type="cellIs" dxfId="6" priority="2" operator="equal">
      <formula>"GOOD"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E3A6-E646-469B-A48C-3F442474FBD9}">
  <sheetPr>
    <tabColor rgb="FF00B050"/>
  </sheetPr>
  <dimension ref="B1:AP109"/>
  <sheetViews>
    <sheetView workbookViewId="0">
      <selection activeCell="D34" sqref="D34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'Return Simulator'!D47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'Return Simulator'!D48</f>
        <v>20</v>
      </c>
      <c r="H3" s="1" t="s">
        <v>12</v>
      </c>
      <c r="I3" s="10">
        <f>$D$7*(1-$E$7)</f>
        <v>0.38400000000000001</v>
      </c>
      <c r="J3" s="10">
        <f>$D$7*(1-$E$7)</f>
        <v>0.38400000000000001</v>
      </c>
      <c r="K3" s="10">
        <f>$D$7*$E$7</f>
        <v>9.6000000000000002E-2</v>
      </c>
      <c r="L3" s="10">
        <f>$D$7*$E$7</f>
        <v>9.6000000000000002E-2</v>
      </c>
      <c r="M3" s="10">
        <f>$D$8*(1-$E$8)</f>
        <v>0.25600000000000001</v>
      </c>
      <c r="N3" s="10">
        <f>$D$8*(1-$E$8)</f>
        <v>0.25600000000000001</v>
      </c>
      <c r="O3" s="10">
        <f>$D$8*$E$8</f>
        <v>6.4000000000000001E-2</v>
      </c>
      <c r="P3" s="10">
        <f>$D$8*$E$8</f>
        <v>6.4000000000000001E-2</v>
      </c>
      <c r="Q3" s="10">
        <f>$D$9*(1-$E$9)</f>
        <v>0.16000000000000003</v>
      </c>
      <c r="R3" s="10">
        <f>$D$9*(1-$E$9)</f>
        <v>0.16000000000000003</v>
      </c>
      <c r="S3" s="10">
        <f>$D$9*$E$9</f>
        <v>4.0000000000000008E-2</v>
      </c>
      <c r="T3" s="10">
        <f>$D$9*$E$9</f>
        <v>4.0000000000000008E-2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7.0400000000000018E-2</v>
      </c>
      <c r="X4" s="10">
        <f>SUMPRODUCT(I3:T3,I4:T4)/2</f>
        <v>7.0400000000000018E-2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16">
        <v>0</v>
      </c>
      <c r="J5" s="10">
        <f>$C$7*($C$15+$C$16)</f>
        <v>1.9040000000000001E-2</v>
      </c>
      <c r="K5" s="16">
        <v>0</v>
      </c>
      <c r="L5" s="10">
        <f>$C$11</f>
        <v>5.0000000000000001E-3</v>
      </c>
      <c r="M5" s="16">
        <v>0</v>
      </c>
      <c r="N5" s="10">
        <f>$C$8*($C$14+$C$16)</f>
        <v>2.0400000000000001E-2</v>
      </c>
      <c r="O5" s="16">
        <v>0</v>
      </c>
      <c r="P5" s="10">
        <f>$C$11</f>
        <v>5.0000000000000001E-3</v>
      </c>
      <c r="Q5" s="16">
        <v>0</v>
      </c>
      <c r="R5" s="10">
        <f>(50%*$C$9*($C$14+$C$16))+(50%*$C$9*($C$15+$C$16))</f>
        <v>2.5839999999999998E-2</v>
      </c>
      <c r="S5" s="16">
        <v>0</v>
      </c>
      <c r="T5" s="10">
        <f>$C$11</f>
        <v>5.0000000000000001E-3</v>
      </c>
      <c r="V5" s="10"/>
      <c r="W5" s="16">
        <v>0</v>
      </c>
      <c r="X5" s="10">
        <f>SUMPRODUCT(J3:T3,J5:T5)</f>
        <v>1.7668160000000002E-2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'Return Simulator'!D56</f>
        <v>0.08</v>
      </c>
      <c r="D7" s="4">
        <f>'Return Simulator'!D51</f>
        <v>0.48</v>
      </c>
      <c r="E7" s="11">
        <v>0.2</v>
      </c>
      <c r="U7" s="30" t="s">
        <v>76</v>
      </c>
      <c r="V7" s="30" t="s">
        <v>76</v>
      </c>
      <c r="W7" s="31" t="s">
        <v>77</v>
      </c>
      <c r="X7" s="31" t="s">
        <v>77</v>
      </c>
      <c r="Y7" s="30" t="s">
        <v>76</v>
      </c>
      <c r="Z7" s="30" t="s">
        <v>76</v>
      </c>
      <c r="AA7" s="30" t="s">
        <v>76</v>
      </c>
      <c r="AB7" s="31" t="s">
        <v>77</v>
      </c>
      <c r="AC7" s="31" t="s">
        <v>77</v>
      </c>
      <c r="AD7" s="31" t="s">
        <v>77</v>
      </c>
      <c r="AE7" s="30" t="s">
        <v>76</v>
      </c>
      <c r="AF7" s="30" t="s">
        <v>76</v>
      </c>
      <c r="AG7" s="30" t="s">
        <v>76</v>
      </c>
      <c r="AH7" s="31" t="s">
        <v>77</v>
      </c>
      <c r="AI7" s="31" t="s">
        <v>77</v>
      </c>
      <c r="AJ7" s="31" t="s">
        <v>77</v>
      </c>
      <c r="AK7" s="30" t="s">
        <v>76</v>
      </c>
      <c r="AL7" s="30" t="s">
        <v>76</v>
      </c>
      <c r="AM7" s="30" t="s">
        <v>76</v>
      </c>
      <c r="AN7" s="31" t="s">
        <v>77</v>
      </c>
      <c r="AO7" s="31" t="s">
        <v>77</v>
      </c>
      <c r="AP7" s="31" t="s">
        <v>77</v>
      </c>
    </row>
    <row r="8" spans="2:42" x14ac:dyDescent="0.45">
      <c r="B8" t="s">
        <v>1</v>
      </c>
      <c r="C8" s="4">
        <f>'Return Simulator'!D57</f>
        <v>0.05</v>
      </c>
      <c r="D8" s="4">
        <f>'Return Simulator'!D52</f>
        <v>0.32</v>
      </c>
      <c r="E8" s="11">
        <v>0.2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'Return Simulator'!D58</f>
        <v>0.08</v>
      </c>
      <c r="D9" s="4">
        <f>'Return Simulator'!D53</f>
        <v>0.2</v>
      </c>
      <c r="E9" s="11">
        <v>0.2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4147200.0000000005</v>
      </c>
      <c r="J10" s="7">
        <f t="shared" si="1"/>
        <v>4074086.3999999994</v>
      </c>
      <c r="K10" s="7">
        <f t="shared" si="1"/>
        <v>1036800.0000000001</v>
      </c>
      <c r="L10" s="7">
        <f t="shared" si="1"/>
        <v>1032000</v>
      </c>
      <c r="M10" s="7">
        <f t="shared" si="1"/>
        <v>2688000</v>
      </c>
      <c r="N10" s="7">
        <f t="shared" si="1"/>
        <v>2635776</v>
      </c>
      <c r="O10" s="7">
        <f t="shared" si="1"/>
        <v>672000</v>
      </c>
      <c r="P10" s="7">
        <f t="shared" si="1"/>
        <v>668800</v>
      </c>
      <c r="Q10" s="7">
        <f t="shared" si="1"/>
        <v>1728000.0000000005</v>
      </c>
      <c r="R10" s="7">
        <f t="shared" si="1"/>
        <v>1686656.0000000002</v>
      </c>
      <c r="S10" s="7">
        <f t="shared" si="1"/>
        <v>432000.00000000012</v>
      </c>
      <c r="T10" s="7">
        <f t="shared" si="1"/>
        <v>430000.00000000006</v>
      </c>
      <c r="U10" s="8">
        <f>IF(G10="","",SUM(I10,K10,M10,O10,Q10,S10))</f>
        <v>10704000</v>
      </c>
      <c r="V10" s="8">
        <f>IF(H10="","",SUM(J10,L10,N10,P10,R10,T10))</f>
        <v>10527318.399999999</v>
      </c>
      <c r="W10" s="7">
        <f t="shared" ref="W10:X25" si="2">IF($G10="","",IF($G10=1,(($C$2+$H10)*W$3)*(1+(W$4-W$5)),((W9+($H10*W$3))*(1+(W$4-W$5)))))</f>
        <v>10704000</v>
      </c>
      <c r="X10" s="7">
        <f t="shared" si="2"/>
        <v>10527318.4</v>
      </c>
      <c r="Y10" s="10">
        <f t="shared" ref="Y10:Y73" si="3">IF($G10="","",IF($G10=1,(U10-$C$2-H10)/($C$2+H10),(U10-U9-H10)/(U9+H10)))</f>
        <v>7.0400000000000004E-2</v>
      </c>
      <c r="Z10" s="10">
        <f>IF($G10="","",IF($G10=1,(V10-$C$2-H10)/($C$2+H10),(V10-V9-H10)/(V9+H10)))</f>
        <v>5.2731839999999849E-2</v>
      </c>
      <c r="AA10" s="10">
        <f>IF($G10="","",Z10-Y10)</f>
        <v>-1.7668160000000155E-2</v>
      </c>
      <c r="AB10" s="10">
        <f>IF($G10="","",IF($G10=1,(W10-$C$2-H10)/($C$2+H10),(W10-W9-H10)/(W9+H10)))</f>
        <v>7.0400000000000004E-2</v>
      </c>
      <c r="AC10" s="10">
        <f>IF($G10="","",IF($G10=1,(X10-$C$2-H10)/($C$2+H10),(X10-X9-H10)/(X9+H10)))</f>
        <v>5.2731840000000037E-2</v>
      </c>
      <c r="AD10" s="10">
        <f>IF($G10="","",AC10-AB10)</f>
        <v>-1.7668159999999968E-2</v>
      </c>
      <c r="AE10" s="10">
        <f t="shared" ref="AE10:AF25" si="4">IF($G10="","",IF($G10=1,Y10,(1+Y10)*(1+AE9)-1))</f>
        <v>7.0400000000000004E-2</v>
      </c>
      <c r="AF10" s="10">
        <f t="shared" si="4"/>
        <v>5.2731839999999849E-2</v>
      </c>
      <c r="AG10" s="10">
        <f>IF($G10="","",AF10-AE10)</f>
        <v>-1.7668160000000155E-2</v>
      </c>
      <c r="AH10" s="10">
        <f t="shared" ref="AH10:AI25" si="5">IF($G10="","",IF($G10=1,AB10,(1+AB10)*(1+AH9)-1))</f>
        <v>7.0400000000000004E-2</v>
      </c>
      <c r="AI10" s="10">
        <f t="shared" si="5"/>
        <v>5.2731840000000037E-2</v>
      </c>
      <c r="AJ10" s="10">
        <f>IF($G10="","",AI10-AH10)</f>
        <v>-1.7668159999999968E-2</v>
      </c>
      <c r="AK10" s="10">
        <f t="shared" ref="AK10:AK73" si="6">IF($G10="","",(1+AE10)^(1/G10)-1)</f>
        <v>7.0400000000000018E-2</v>
      </c>
      <c r="AL10" s="10">
        <f>IF($G10="","",(1+AF10)^(1/G10)-1)</f>
        <v>5.2731839999999863E-2</v>
      </c>
      <c r="AM10" s="10">
        <f>IF($G10="","",AL10-AK10)</f>
        <v>-1.7668160000000155E-2</v>
      </c>
      <c r="AN10" s="10">
        <f>IF($G10="","",(1+AH10)^(1/G10)-1)</f>
        <v>7.0400000000000018E-2</v>
      </c>
      <c r="AO10" s="10">
        <f>IF($G10="","",(1+AI10)^(1/G10)-1)</f>
        <v>5.2731840000000085E-2</v>
      </c>
      <c r="AP10" s="10">
        <f>IF($G10="","",AO10-AN10)</f>
        <v>-1.7668159999999933E-2</v>
      </c>
    </row>
    <row r="11" spans="2:42" x14ac:dyDescent="0.45">
      <c r="B11" t="s">
        <v>5</v>
      </c>
      <c r="C11" s="4">
        <f>'Return Simulator'!D71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4478976.0000000009</v>
      </c>
      <c r="J11" s="7">
        <f t="shared" si="1"/>
        <v>4322442.706943999</v>
      </c>
      <c r="K11" s="7">
        <f t="shared" si="1"/>
        <v>1119744.0000000002</v>
      </c>
      <c r="L11" s="7">
        <f t="shared" si="1"/>
        <v>1109400</v>
      </c>
      <c r="M11" s="7">
        <f t="shared" si="1"/>
        <v>2822400</v>
      </c>
      <c r="N11" s="7">
        <f t="shared" si="1"/>
        <v>2713794.9696000004</v>
      </c>
      <c r="O11" s="7">
        <f t="shared" si="1"/>
        <v>705600</v>
      </c>
      <c r="P11" s="7">
        <f t="shared" si="1"/>
        <v>698896</v>
      </c>
      <c r="Q11" s="7">
        <f t="shared" si="1"/>
        <v>1866240.0000000007</v>
      </c>
      <c r="R11" s="7">
        <f t="shared" si="1"/>
        <v>1778005.2889600003</v>
      </c>
      <c r="S11" s="7">
        <f t="shared" si="1"/>
        <v>466560.00000000017</v>
      </c>
      <c r="T11" s="7">
        <f t="shared" si="1"/>
        <v>462250.00000000006</v>
      </c>
      <c r="U11" s="8">
        <f t="shared" ref="U11:V74" si="7">IF(G11="","",SUM(I11,K11,M11,O11,Q11,S11))</f>
        <v>11459520</v>
      </c>
      <c r="V11" s="8">
        <f t="shared" si="7"/>
        <v>11084788.965504</v>
      </c>
      <c r="W11" s="7">
        <f t="shared" si="2"/>
        <v>11457561.6</v>
      </c>
      <c r="X11" s="7">
        <f t="shared" si="2"/>
        <v>11082443.269497856</v>
      </c>
      <c r="Y11" s="10">
        <f t="shared" si="3"/>
        <v>7.0582959641255605E-2</v>
      </c>
      <c r="Z11" s="10">
        <f t="shared" ref="Z11:Z74" si="8">IF($G11="","",IF($G11=1,(V11-$C$2-H11)/($C$2+H11),(V11-V10-H11)/(V10+H11)))</f>
        <v>5.2954659897434232E-2</v>
      </c>
      <c r="AA11" s="10">
        <f t="shared" ref="AA11:AA74" si="9">IF($G11="","",Z11-Y11)</f>
        <v>-1.7628299743821373E-2</v>
      </c>
      <c r="AB11" s="10">
        <f t="shared" ref="AB11:AB74" si="10">IF($G11="","",IF($G11=1,(W11-$C$2-H11)/($C$2+H11),(W11-W10-H11)/(W10+H11)))</f>
        <v>7.0399999999999963E-2</v>
      </c>
      <c r="AC11" s="10">
        <f t="shared" ref="AC11:AC74" si="11">IF($G11="","",IF($G11=1,(X11-$C$2-H11)/($C$2+H11),(X11-X10-H11)/(X10+H11)))</f>
        <v>5.2731840000000009E-2</v>
      </c>
      <c r="AD11" s="10">
        <f t="shared" ref="AD11:AD74" si="12">IF($G11="","",AC11-AB11)</f>
        <v>-1.7668159999999954E-2</v>
      </c>
      <c r="AE11" s="10">
        <f t="shared" si="4"/>
        <v>0.14595200000000008</v>
      </c>
      <c r="AF11" s="10">
        <f t="shared" si="4"/>
        <v>0.10847889655039999</v>
      </c>
      <c r="AG11" s="10">
        <f t="shared" ref="AG11:AG74" si="13">IF($G11="","",AF11-AE11)</f>
        <v>-3.7473103449600087E-2</v>
      </c>
      <c r="AH11" s="10">
        <f t="shared" si="5"/>
        <v>0.14575616000000013</v>
      </c>
      <c r="AI11" s="10">
        <f t="shared" si="5"/>
        <v>0.1082443269497857</v>
      </c>
      <c r="AJ11" s="10">
        <f t="shared" ref="AJ11:AJ74" si="14">IF($G11="","",AI11-AH11)</f>
        <v>-3.7511833050214438E-2</v>
      </c>
      <c r="AK11" s="10">
        <f t="shared" si="6"/>
        <v>7.0491475911882207E-2</v>
      </c>
      <c r="AL11" s="10">
        <f t="shared" ref="AL11:AL74" si="15">IF($G11="","",(1+AF11)^(1/G11)-1)</f>
        <v>5.2843244054118443E-2</v>
      </c>
      <c r="AM11" s="10">
        <f t="shared" ref="AM11:AM74" si="16">IF($G11="","",AL11-AK11)</f>
        <v>-1.7648231857763763E-2</v>
      </c>
      <c r="AN11" s="10">
        <f t="shared" ref="AN11:AN74" si="17">IF($G11="","",(1+AH11)^(1/G11)-1)</f>
        <v>7.0400000000000018E-2</v>
      </c>
      <c r="AO11" s="10">
        <f t="shared" ref="AO11:AO74" si="18">IF($G11="","",(1+AI11)^(1/G11)-1)</f>
        <v>5.2731840000000085E-2</v>
      </c>
      <c r="AP11" s="10">
        <f t="shared" ref="AP11:AP74" si="19">IF($G11="","",AO11-AN11)</f>
        <v>-1.7668159999999933E-2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4837294.080000001</v>
      </c>
      <c r="J12" s="7">
        <f t="shared" si="1"/>
        <v>4585938.8143593045</v>
      </c>
      <c r="K12" s="7">
        <f t="shared" si="1"/>
        <v>1209323.5200000003</v>
      </c>
      <c r="L12" s="7">
        <f t="shared" si="1"/>
        <v>1192605</v>
      </c>
      <c r="M12" s="7">
        <f t="shared" si="1"/>
        <v>2963520</v>
      </c>
      <c r="N12" s="7">
        <f t="shared" si="1"/>
        <v>2794123.3007001607</v>
      </c>
      <c r="O12" s="7">
        <f t="shared" si="1"/>
        <v>740880</v>
      </c>
      <c r="P12" s="7">
        <f t="shared" si="1"/>
        <v>730346.32</v>
      </c>
      <c r="Q12" s="7">
        <f t="shared" si="1"/>
        <v>2015539.2000000009</v>
      </c>
      <c r="R12" s="7">
        <f t="shared" si="1"/>
        <v>1874302.0554100738</v>
      </c>
      <c r="S12" s="7">
        <f t="shared" si="1"/>
        <v>503884.80000000022</v>
      </c>
      <c r="T12" s="7">
        <f t="shared" si="1"/>
        <v>496918.75000000006</v>
      </c>
      <c r="U12" s="8">
        <f t="shared" si="7"/>
        <v>12270441.600000003</v>
      </c>
      <c r="V12" s="8">
        <f t="shared" si="7"/>
        <v>11674234.24046954</v>
      </c>
      <c r="W12" s="7">
        <f t="shared" si="2"/>
        <v>12264173.93664</v>
      </c>
      <c r="X12" s="7">
        <f t="shared" si="2"/>
        <v>11666840.894794095</v>
      </c>
      <c r="Y12" s="10">
        <f t="shared" si="3"/>
        <v>7.0764011058055076E-2</v>
      </c>
      <c r="Z12" s="10">
        <f t="shared" si="8"/>
        <v>5.3176048438982514E-2</v>
      </c>
      <c r="AA12" s="10">
        <f t="shared" si="9"/>
        <v>-1.7587962619072563E-2</v>
      </c>
      <c r="AB12" s="10">
        <f t="shared" si="10"/>
        <v>7.0400000000000032E-2</v>
      </c>
      <c r="AC12" s="10">
        <f t="shared" si="11"/>
        <v>5.2731840000000085E-2</v>
      </c>
      <c r="AD12" s="10">
        <f t="shared" si="12"/>
        <v>-1.7668159999999947E-2</v>
      </c>
      <c r="AE12" s="10">
        <f t="shared" si="4"/>
        <v>0.22704416000000038</v>
      </c>
      <c r="AF12" s="10">
        <f t="shared" si="4"/>
        <v>0.16742342404695387</v>
      </c>
      <c r="AG12" s="10">
        <f t="shared" si="13"/>
        <v>-5.9620735953046511E-2</v>
      </c>
      <c r="AH12" s="10">
        <f t="shared" si="5"/>
        <v>0.22641739366400015</v>
      </c>
      <c r="AI12" s="10">
        <f t="shared" si="5"/>
        <v>0.16668408947940949</v>
      </c>
      <c r="AJ12" s="10">
        <f t="shared" si="14"/>
        <v>-5.9733304184590663E-2</v>
      </c>
      <c r="AK12" s="10">
        <f t="shared" si="6"/>
        <v>7.058231325231934E-2</v>
      </c>
      <c r="AL12" s="10">
        <f t="shared" si="15"/>
        <v>5.2954167162273524E-2</v>
      </c>
      <c r="AM12" s="10">
        <f t="shared" si="16"/>
        <v>-1.7628146090045815E-2</v>
      </c>
      <c r="AN12" s="10">
        <f t="shared" si="17"/>
        <v>7.0400000000000018E-2</v>
      </c>
      <c r="AO12" s="10">
        <f t="shared" si="18"/>
        <v>5.2731840000000085E-2</v>
      </c>
      <c r="AP12" s="10">
        <f t="shared" si="19"/>
        <v>-1.7668159999999933E-2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5224277.6064000018</v>
      </c>
      <c r="J13" s="7">
        <f t="shared" si="1"/>
        <v>4865497.6444826471</v>
      </c>
      <c r="K13" s="7">
        <f t="shared" si="1"/>
        <v>1306069.4016000004</v>
      </c>
      <c r="L13" s="7">
        <f t="shared" si="1"/>
        <v>1282050.375</v>
      </c>
      <c r="M13" s="7">
        <f t="shared" si="1"/>
        <v>3111696</v>
      </c>
      <c r="N13" s="7">
        <f t="shared" si="1"/>
        <v>2876829.3504008856</v>
      </c>
      <c r="O13" s="7">
        <f t="shared" si="1"/>
        <v>777924</v>
      </c>
      <c r="P13" s="7">
        <f t="shared" si="1"/>
        <v>763211.90439999988</v>
      </c>
      <c r="Q13" s="7">
        <f t="shared" si="1"/>
        <v>2176782.3360000011</v>
      </c>
      <c r="R13" s="7">
        <f t="shared" si="1"/>
        <v>1975814.2547310835</v>
      </c>
      <c r="S13" s="7">
        <f t="shared" si="1"/>
        <v>544195.58400000026</v>
      </c>
      <c r="T13" s="7">
        <f t="shared" si="1"/>
        <v>534187.65625</v>
      </c>
      <c r="U13" s="8">
        <f t="shared" si="7"/>
        <v>13140944.928000003</v>
      </c>
      <c r="V13" s="8">
        <f t="shared" si="7"/>
        <v>12297591.185264617</v>
      </c>
      <c r="W13" s="7">
        <f t="shared" si="2"/>
        <v>13127571.781779457</v>
      </c>
      <c r="X13" s="7">
        <f t="shared" si="2"/>
        <v>12282054.882163836</v>
      </c>
      <c r="Y13" s="10">
        <f t="shared" si="3"/>
        <v>7.0943113245410791E-2</v>
      </c>
      <c r="Z13" s="10">
        <f t="shared" si="8"/>
        <v>5.3395960022300029E-2</v>
      </c>
      <c r="AA13" s="10">
        <f t="shared" si="9"/>
        <v>-1.7547153223110762E-2</v>
      </c>
      <c r="AB13" s="10">
        <f t="shared" si="10"/>
        <v>7.0400000000000074E-2</v>
      </c>
      <c r="AC13" s="10">
        <f t="shared" si="11"/>
        <v>5.2731840000000113E-2</v>
      </c>
      <c r="AD13" s="10">
        <f t="shared" si="12"/>
        <v>-1.7668159999999961E-2</v>
      </c>
      <c r="AE13" s="10">
        <f t="shared" si="4"/>
        <v>0.31409449280000046</v>
      </c>
      <c r="AF13" s="10">
        <f t="shared" si="4"/>
        <v>0.22975911852646158</v>
      </c>
      <c r="AG13" s="10">
        <f t="shared" si="13"/>
        <v>-8.4335374273538877E-2</v>
      </c>
      <c r="AH13" s="10">
        <f t="shared" si="5"/>
        <v>0.31275717817794568</v>
      </c>
      <c r="AI13" s="10">
        <f t="shared" si="5"/>
        <v>0.22820548821638353</v>
      </c>
      <c r="AJ13" s="10">
        <f t="shared" si="14"/>
        <v>-8.4551689961562149E-2</v>
      </c>
      <c r="AK13" s="10">
        <f t="shared" si="6"/>
        <v>7.0672501853373371E-2</v>
      </c>
      <c r="AL13" s="10">
        <f t="shared" si="15"/>
        <v>5.3064598003556229E-2</v>
      </c>
      <c r="AM13" s="10">
        <f t="shared" si="16"/>
        <v>-1.7607903849817141E-2</v>
      </c>
      <c r="AN13" s="10">
        <f t="shared" si="17"/>
        <v>7.0400000000000018E-2</v>
      </c>
      <c r="AO13" s="10">
        <f t="shared" si="18"/>
        <v>5.2731840000000085E-2</v>
      </c>
      <c r="AP13" s="10">
        <f t="shared" si="19"/>
        <v>-1.7668159999999933E-2</v>
      </c>
    </row>
    <row r="14" spans="2:42" x14ac:dyDescent="0.45">
      <c r="B14" t="s">
        <v>7</v>
      </c>
      <c r="C14" s="4">
        <f>'Return Simulator'!D61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5642219.8149120025</v>
      </c>
      <c r="J14" s="7">
        <f t="shared" si="1"/>
        <v>5162098.3808903089</v>
      </c>
      <c r="K14" s="7">
        <f t="shared" si="1"/>
        <v>1410554.9537280006</v>
      </c>
      <c r="L14" s="7">
        <f t="shared" si="1"/>
        <v>1378204.153125</v>
      </c>
      <c r="M14" s="7">
        <f t="shared" si="1"/>
        <v>3267280.8000000003</v>
      </c>
      <c r="N14" s="7">
        <f t="shared" si="1"/>
        <v>2961983.4991727518</v>
      </c>
      <c r="O14" s="7">
        <f t="shared" si="1"/>
        <v>816820.20000000007</v>
      </c>
      <c r="P14" s="7">
        <f t="shared" si="1"/>
        <v>797556.44009799988</v>
      </c>
      <c r="Q14" s="7">
        <f t="shared" si="1"/>
        <v>2350924.9228800014</v>
      </c>
      <c r="R14" s="7">
        <f t="shared" si="1"/>
        <v>2082824.354767319</v>
      </c>
      <c r="S14" s="7">
        <f t="shared" si="1"/>
        <v>587731.23072000034</v>
      </c>
      <c r="T14" s="7">
        <f t="shared" si="1"/>
        <v>574251.73046875</v>
      </c>
      <c r="U14" s="8">
        <f t="shared" si="7"/>
        <v>14075531.922240004</v>
      </c>
      <c r="V14" s="8">
        <f t="shared" si="7"/>
        <v>12956918.558522129</v>
      </c>
      <c r="W14" s="7">
        <f t="shared" si="2"/>
        <v>14051752.835216731</v>
      </c>
      <c r="X14" s="7">
        <f t="shared" si="2"/>
        <v>12929710.235081319</v>
      </c>
      <c r="Y14" s="10">
        <f t="shared" si="3"/>
        <v>7.1120227606207703E-2</v>
      </c>
      <c r="Z14" s="10">
        <f t="shared" si="8"/>
        <v>5.3614351243643568E-2</v>
      </c>
      <c r="AA14" s="10">
        <f t="shared" si="9"/>
        <v>-1.7505876362564135E-2</v>
      </c>
      <c r="AB14" s="10">
        <f t="shared" si="10"/>
        <v>7.0400000000000018E-2</v>
      </c>
      <c r="AC14" s="10">
        <f t="shared" si="11"/>
        <v>5.2731840000000071E-2</v>
      </c>
      <c r="AD14" s="10">
        <f t="shared" si="12"/>
        <v>-1.7668159999999947E-2</v>
      </c>
      <c r="AE14" s="10">
        <f t="shared" si="4"/>
        <v>0.40755319222400055</v>
      </c>
      <c r="AF14" s="10">
        <f t="shared" si="4"/>
        <v>0.2956918558522128</v>
      </c>
      <c r="AG14" s="10">
        <f t="shared" si="13"/>
        <v>-0.11186133637178775</v>
      </c>
      <c r="AH14" s="10">
        <f t="shared" si="5"/>
        <v>0.40517528352167309</v>
      </c>
      <c r="AI14" s="10">
        <f t="shared" si="5"/>
        <v>0.29297102350813176</v>
      </c>
      <c r="AJ14" s="10">
        <f t="shared" si="14"/>
        <v>-0.11220426001354133</v>
      </c>
      <c r="AK14" s="10">
        <f t="shared" si="6"/>
        <v>7.0762032029570765E-2</v>
      </c>
      <c r="AL14" s="10">
        <f t="shared" si="15"/>
        <v>5.3174525698832298E-2</v>
      </c>
      <c r="AM14" s="10">
        <f t="shared" si="16"/>
        <v>-1.7587506330738467E-2</v>
      </c>
      <c r="AN14" s="10">
        <f t="shared" si="17"/>
        <v>7.0400000000000018E-2</v>
      </c>
      <c r="AO14" s="10">
        <f t="shared" si="18"/>
        <v>5.2731840000000085E-2</v>
      </c>
      <c r="AP14" s="10">
        <f t="shared" si="19"/>
        <v>-1.7668159999999933E-2</v>
      </c>
    </row>
    <row r="15" spans="2:42" x14ac:dyDescent="0.45">
      <c r="B15" t="s">
        <v>8</v>
      </c>
      <c r="C15" s="4">
        <f>'Return Simulator'!D62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6093597.4001049632</v>
      </c>
      <c r="J15" s="7">
        <f t="shared" si="1"/>
        <v>5476779.8981893817</v>
      </c>
      <c r="K15" s="7">
        <f t="shared" si="1"/>
        <v>1523399.3500262408</v>
      </c>
      <c r="L15" s="7">
        <f t="shared" si="1"/>
        <v>1481569.464609375</v>
      </c>
      <c r="M15" s="7">
        <f t="shared" si="1"/>
        <v>3430644.8400000003</v>
      </c>
      <c r="N15" s="7">
        <f t="shared" si="1"/>
        <v>3049658.2107482655</v>
      </c>
      <c r="O15" s="7">
        <f t="shared" si="1"/>
        <v>857661.21000000008</v>
      </c>
      <c r="P15" s="7">
        <f t="shared" si="1"/>
        <v>833446.47990240983</v>
      </c>
      <c r="Q15" s="7">
        <f t="shared" si="1"/>
        <v>2538998.9167104014</v>
      </c>
      <c r="R15" s="7">
        <f t="shared" si="1"/>
        <v>2195630.1218215171</v>
      </c>
      <c r="S15" s="7">
        <f t="shared" si="1"/>
        <v>634749.72917760035</v>
      </c>
      <c r="T15" s="7">
        <f t="shared" si="1"/>
        <v>617320.61025390623</v>
      </c>
      <c r="U15" s="8">
        <f t="shared" si="7"/>
        <v>15079051.446019206</v>
      </c>
      <c r="V15" s="8">
        <f t="shared" si="7"/>
        <v>13654404.785524854</v>
      </c>
      <c r="W15" s="7">
        <f t="shared" si="2"/>
        <v>15040996.234815989</v>
      </c>
      <c r="X15" s="7">
        <f t="shared" si="2"/>
        <v>13611517.646443991</v>
      </c>
      <c r="Y15" s="10">
        <f t="shared" si="3"/>
        <v>7.1295317954811643E-2</v>
      </c>
      <c r="Z15" s="10">
        <f t="shared" si="8"/>
        <v>5.383118091330201E-2</v>
      </c>
      <c r="AA15" s="10">
        <f t="shared" si="9"/>
        <v>-1.7464137041509634E-2</v>
      </c>
      <c r="AB15" s="10">
        <f t="shared" si="10"/>
        <v>7.0400000000000004E-2</v>
      </c>
      <c r="AC15" s="10">
        <f t="shared" si="11"/>
        <v>5.2731840000000134E-2</v>
      </c>
      <c r="AD15" s="10">
        <f t="shared" si="12"/>
        <v>-1.766815999999987E-2</v>
      </c>
      <c r="AE15" s="10">
        <f t="shared" si="4"/>
        <v>0.50790514460192093</v>
      </c>
      <c r="AF15" s="10">
        <f t="shared" si="4"/>
        <v>0.3654404785524854</v>
      </c>
      <c r="AG15" s="10">
        <f t="shared" si="13"/>
        <v>-0.14246466604943553</v>
      </c>
      <c r="AH15" s="10">
        <f t="shared" si="5"/>
        <v>0.50409962348159887</v>
      </c>
      <c r="AI15" s="10">
        <f t="shared" si="5"/>
        <v>0.36115176464439891</v>
      </c>
      <c r="AJ15" s="10">
        <f t="shared" si="14"/>
        <v>-0.14294785883719996</v>
      </c>
      <c r="AK15" s="10">
        <f t="shared" si="6"/>
        <v>7.0850894578311951E-2</v>
      </c>
      <c r="AL15" s="10">
        <f t="shared" si="15"/>
        <v>5.3283939813108194E-2</v>
      </c>
      <c r="AM15" s="10">
        <f t="shared" si="16"/>
        <v>-1.7566954765203757E-2</v>
      </c>
      <c r="AN15" s="10">
        <f t="shared" si="17"/>
        <v>7.0400000000000018E-2</v>
      </c>
      <c r="AO15" s="10">
        <f t="shared" si="18"/>
        <v>5.2731840000000085E-2</v>
      </c>
      <c r="AP15" s="10">
        <f t="shared" si="19"/>
        <v>-1.7668159999999933E-2</v>
      </c>
    </row>
    <row r="16" spans="2:42" x14ac:dyDescent="0.45">
      <c r="B16" t="s">
        <v>9</v>
      </c>
      <c r="C16" s="4">
        <f>'Return Simulator'!D63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6581085.1921133604</v>
      </c>
      <c r="J16" s="7">
        <f t="shared" si="1"/>
        <v>5810644.4007830061</v>
      </c>
      <c r="K16" s="7">
        <f t="shared" si="1"/>
        <v>1645271.2980283401</v>
      </c>
      <c r="L16" s="7">
        <f t="shared" si="1"/>
        <v>1592687.1744550781</v>
      </c>
      <c r="M16" s="7">
        <f t="shared" si="1"/>
        <v>3602177.0820000004</v>
      </c>
      <c r="N16" s="7">
        <f t="shared" si="1"/>
        <v>3139928.0937864142</v>
      </c>
      <c r="O16" s="7">
        <f t="shared" si="1"/>
        <v>900544.2705000001</v>
      </c>
      <c r="P16" s="7">
        <f t="shared" si="1"/>
        <v>870951.57149801822</v>
      </c>
      <c r="Q16" s="7">
        <f t="shared" si="1"/>
        <v>2742118.8300472335</v>
      </c>
      <c r="R16" s="7">
        <f t="shared" si="1"/>
        <v>2314545.4492193703</v>
      </c>
      <c r="S16" s="7">
        <f t="shared" si="1"/>
        <v>685529.70751180837</v>
      </c>
      <c r="T16" s="7">
        <f t="shared" si="1"/>
        <v>663619.65602294914</v>
      </c>
      <c r="U16" s="8">
        <f t="shared" si="7"/>
        <v>16156726.380200744</v>
      </c>
      <c r="V16" s="8">
        <f t="shared" si="7"/>
        <v>14392376.345764836</v>
      </c>
      <c r="W16" s="7">
        <f t="shared" si="2"/>
        <v>16099882.369747035</v>
      </c>
      <c r="X16" s="7">
        <f t="shared" si="2"/>
        <v>14329278.017133454</v>
      </c>
      <c r="Y16" s="10">
        <f t="shared" si="3"/>
        <v>7.1468350515246651E-2</v>
      </c>
      <c r="Z16" s="10">
        <f t="shared" si="8"/>
        <v>5.4046410065586421E-2</v>
      </c>
      <c r="AA16" s="10">
        <f t="shared" si="9"/>
        <v>-1.742194044966023E-2</v>
      </c>
      <c r="AB16" s="10">
        <f t="shared" si="10"/>
        <v>7.040000000000006E-2</v>
      </c>
      <c r="AC16" s="10">
        <f t="shared" si="11"/>
        <v>5.2731840000000127E-2</v>
      </c>
      <c r="AD16" s="10">
        <f t="shared" si="12"/>
        <v>-1.7668159999999933E-2</v>
      </c>
      <c r="AE16" s="10">
        <f t="shared" si="4"/>
        <v>0.61567263802007477</v>
      </c>
      <c r="AF16" s="10">
        <f t="shared" si="4"/>
        <v>0.43923763457648368</v>
      </c>
      <c r="AG16" s="10">
        <f t="shared" si="13"/>
        <v>-0.17643500344359109</v>
      </c>
      <c r="AH16" s="10">
        <f t="shared" si="5"/>
        <v>0.60998823697470339</v>
      </c>
      <c r="AI16" s="10">
        <f t="shared" si="5"/>
        <v>0.43292780171334511</v>
      </c>
      <c r="AJ16" s="10">
        <f t="shared" si="14"/>
        <v>-0.17706043526135828</v>
      </c>
      <c r="AK16" s="10">
        <f t="shared" si="6"/>
        <v>7.0939080779508279E-2</v>
      </c>
      <c r="AL16" s="10">
        <f t="shared" si="15"/>
        <v>5.3392830357122056E-2</v>
      </c>
      <c r="AM16" s="10">
        <f t="shared" si="16"/>
        <v>-1.7546250422386223E-2</v>
      </c>
      <c r="AN16" s="10">
        <f t="shared" si="17"/>
        <v>7.0400000000000018E-2</v>
      </c>
      <c r="AO16" s="10">
        <f t="shared" si="18"/>
        <v>5.2731840000000085E-2</v>
      </c>
      <c r="AP16" s="10">
        <f t="shared" si="19"/>
        <v>-1.7668159999999933E-2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7107572.00748243</v>
      </c>
      <c r="J17" s="7">
        <f t="shared" si="1"/>
        <v>6164861.2834547376</v>
      </c>
      <c r="K17" s="7">
        <f t="shared" si="1"/>
        <v>1776893.0018706075</v>
      </c>
      <c r="L17" s="7">
        <f t="shared" si="1"/>
        <v>1712138.7125392088</v>
      </c>
      <c r="M17" s="7">
        <f t="shared" si="1"/>
        <v>3782285.9361000005</v>
      </c>
      <c r="N17" s="7">
        <f t="shared" si="1"/>
        <v>3232869.9653624925</v>
      </c>
      <c r="O17" s="7">
        <f t="shared" si="1"/>
        <v>945571.48402500013</v>
      </c>
      <c r="P17" s="7">
        <f t="shared" si="1"/>
        <v>910144.39221542899</v>
      </c>
      <c r="Q17" s="7">
        <f t="shared" si="1"/>
        <v>2961488.3364510122</v>
      </c>
      <c r="R17" s="7">
        <f t="shared" si="1"/>
        <v>2439901.2307490911</v>
      </c>
      <c r="S17" s="7">
        <f t="shared" si="1"/>
        <v>740372.08411275304</v>
      </c>
      <c r="T17" s="7">
        <f t="shared" si="1"/>
        <v>713391.13022467028</v>
      </c>
      <c r="U17" s="8">
        <f t="shared" si="7"/>
        <v>17314182.850041803</v>
      </c>
      <c r="V17" s="8">
        <f t="shared" si="7"/>
        <v>15173306.71454563</v>
      </c>
      <c r="W17" s="7">
        <f t="shared" si="2"/>
        <v>17233314.088577226</v>
      </c>
      <c r="X17" s="7">
        <f t="shared" si="2"/>
        <v>15084887.212848453</v>
      </c>
      <c r="Y17" s="10">
        <f t="shared" si="3"/>
        <v>7.1639293914110225E-2</v>
      </c>
      <c r="Z17" s="10">
        <f t="shared" si="8"/>
        <v>5.4260001963511301E-2</v>
      </c>
      <c r="AA17" s="10">
        <f t="shared" si="9"/>
        <v>-1.7379291950598924E-2</v>
      </c>
      <c r="AB17" s="10">
        <f t="shared" si="10"/>
        <v>7.0399999999999963E-2</v>
      </c>
      <c r="AC17" s="10">
        <f t="shared" si="11"/>
        <v>5.273184000000003E-2</v>
      </c>
      <c r="AD17" s="10">
        <f t="shared" si="12"/>
        <v>-1.7668159999999933E-2</v>
      </c>
      <c r="AE17" s="10">
        <f t="shared" si="4"/>
        <v>0.7314182850041806</v>
      </c>
      <c r="AF17" s="10">
        <f t="shared" si="4"/>
        <v>0.51733067145456313</v>
      </c>
      <c r="AG17" s="10">
        <f t="shared" si="13"/>
        <v>-0.21408761354961747</v>
      </c>
      <c r="AH17" s="10">
        <f t="shared" si="5"/>
        <v>0.72333140885772251</v>
      </c>
      <c r="AI17" s="10">
        <f t="shared" si="5"/>
        <v>0.50848872128484501</v>
      </c>
      <c r="AJ17" s="10">
        <f t="shared" si="14"/>
        <v>-0.2148426875728775</v>
      </c>
      <c r="AK17" s="10">
        <f t="shared" si="6"/>
        <v>7.1026582394472459E-2</v>
      </c>
      <c r="AL17" s="10">
        <f t="shared" si="15"/>
        <v>5.3501187788174809E-2</v>
      </c>
      <c r="AM17" s="10">
        <f t="shared" si="16"/>
        <v>-1.7525394606297651E-2</v>
      </c>
      <c r="AN17" s="10">
        <f t="shared" si="17"/>
        <v>7.0400000000000018E-2</v>
      </c>
      <c r="AO17" s="10">
        <f t="shared" si="18"/>
        <v>5.2731840000000085E-2</v>
      </c>
      <c r="AP17" s="10">
        <f t="shared" si="19"/>
        <v>-1.7668159999999933E-2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7676177.7680810252</v>
      </c>
      <c r="J18" s="7">
        <f t="shared" si="1"/>
        <v>6540671.2272941377</v>
      </c>
      <c r="K18" s="7">
        <f t="shared" si="1"/>
        <v>1919044.4420202563</v>
      </c>
      <c r="L18" s="7">
        <f t="shared" si="1"/>
        <v>1840549.1159796494</v>
      </c>
      <c r="M18" s="7">
        <f t="shared" si="1"/>
        <v>3971400.2329050009</v>
      </c>
      <c r="N18" s="7">
        <f t="shared" si="1"/>
        <v>3328562.9163372223</v>
      </c>
      <c r="O18" s="7">
        <f t="shared" si="1"/>
        <v>992850.05822625023</v>
      </c>
      <c r="P18" s="7">
        <f t="shared" si="1"/>
        <v>951100.8898651232</v>
      </c>
      <c r="Q18" s="7">
        <f t="shared" si="1"/>
        <v>3198407.4033670933</v>
      </c>
      <c r="R18" s="7">
        <f t="shared" si="1"/>
        <v>2572046.2814064617</v>
      </c>
      <c r="S18" s="7">
        <f t="shared" si="1"/>
        <v>799601.85084177332</v>
      </c>
      <c r="T18" s="7">
        <f t="shared" si="1"/>
        <v>766895.46499152051</v>
      </c>
      <c r="U18" s="8">
        <f t="shared" si="7"/>
        <v>18557481.755441397</v>
      </c>
      <c r="V18" s="8">
        <f t="shared" si="7"/>
        <v>15999825.895874115</v>
      </c>
      <c r="W18" s="7">
        <f t="shared" si="2"/>
        <v>18446539.400413062</v>
      </c>
      <c r="X18" s="7">
        <f t="shared" si="2"/>
        <v>15880341.071774425</v>
      </c>
      <c r="Y18" s="10">
        <f t="shared" si="3"/>
        <v>7.1808119168418783E-2</v>
      </c>
      <c r="Z18" s="10">
        <f t="shared" si="8"/>
        <v>5.4471922098309422E-2</v>
      </c>
      <c r="AA18" s="10">
        <f t="shared" si="9"/>
        <v>-1.733619707010936E-2</v>
      </c>
      <c r="AB18" s="10">
        <f t="shared" si="10"/>
        <v>7.039999999999999E-2</v>
      </c>
      <c r="AC18" s="10">
        <f t="shared" si="11"/>
        <v>5.2731840000000106E-2</v>
      </c>
      <c r="AD18" s="10">
        <f t="shared" si="12"/>
        <v>-1.7668159999999884E-2</v>
      </c>
      <c r="AE18" s="10">
        <f t="shared" si="4"/>
        <v>0.85574817554414007</v>
      </c>
      <c r="AF18" s="10">
        <f t="shared" si="4"/>
        <v>0.59998258958741157</v>
      </c>
      <c r="AG18" s="10">
        <f t="shared" si="13"/>
        <v>-0.25576558595672849</v>
      </c>
      <c r="AH18" s="10">
        <f t="shared" si="5"/>
        <v>0.84465394004130623</v>
      </c>
      <c r="AI18" s="10">
        <f t="shared" si="5"/>
        <v>0.5880341071774422</v>
      </c>
      <c r="AJ18" s="10">
        <f t="shared" si="14"/>
        <v>-0.25661983286386403</v>
      </c>
      <c r="AK18" s="10">
        <f t="shared" si="6"/>
        <v>7.1113391664079595E-2</v>
      </c>
      <c r="AL18" s="10">
        <f t="shared" si="15"/>
        <v>5.3609003010224088E-2</v>
      </c>
      <c r="AM18" s="10">
        <f t="shared" si="16"/>
        <v>-1.7504388653855507E-2</v>
      </c>
      <c r="AN18" s="10">
        <f t="shared" si="17"/>
        <v>7.0400000000000018E-2</v>
      </c>
      <c r="AO18" s="10">
        <f t="shared" si="18"/>
        <v>5.2731840000000085E-2</v>
      </c>
      <c r="AP18" s="10">
        <f t="shared" si="19"/>
        <v>-1.7668159999999933E-2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8290271.9895275077</v>
      </c>
      <c r="J19" s="7">
        <f t="shared" si="1"/>
        <v>6939390.5453099879</v>
      </c>
      <c r="K19" s="7">
        <f t="shared" si="1"/>
        <v>2072567.9973818769</v>
      </c>
      <c r="L19" s="7">
        <f t="shared" si="1"/>
        <v>1978590.2996781231</v>
      </c>
      <c r="M19" s="7">
        <f t="shared" si="1"/>
        <v>4169970.2445502509</v>
      </c>
      <c r="N19" s="7">
        <f t="shared" si="1"/>
        <v>3427088.3786608041</v>
      </c>
      <c r="O19" s="7">
        <f t="shared" si="1"/>
        <v>1042492.5611375627</v>
      </c>
      <c r="P19" s="7">
        <f t="shared" si="1"/>
        <v>993900.42990905372</v>
      </c>
      <c r="Q19" s="7">
        <f t="shared" si="1"/>
        <v>3454279.9956364608</v>
      </c>
      <c r="R19" s="7">
        <f t="shared" si="1"/>
        <v>2711348.3080074359</v>
      </c>
      <c r="S19" s="7">
        <f t="shared" si="1"/>
        <v>863569.99890911521</v>
      </c>
      <c r="T19" s="7">
        <f t="shared" si="1"/>
        <v>824412.62486588454</v>
      </c>
      <c r="U19" s="8">
        <f t="shared" si="7"/>
        <v>19893152.787142772</v>
      </c>
      <c r="V19" s="8">
        <f t="shared" si="7"/>
        <v>16874730.586431291</v>
      </c>
      <c r="W19" s="7">
        <f t="shared" si="2"/>
        <v>19745175.774202142</v>
      </c>
      <c r="X19" s="7">
        <f t="shared" si="2"/>
        <v>16717740.676316664</v>
      </c>
      <c r="Y19" s="10">
        <f t="shared" si="3"/>
        <v>7.1974799668588191E-2</v>
      </c>
      <c r="Z19" s="10">
        <f t="shared" si="8"/>
        <v>5.4682138183940396E-2</v>
      </c>
      <c r="AA19" s="10">
        <f t="shared" si="9"/>
        <v>-1.7292661484647795E-2</v>
      </c>
      <c r="AB19" s="10">
        <f t="shared" si="10"/>
        <v>7.039999999999999E-2</v>
      </c>
      <c r="AC19" s="10">
        <f t="shared" si="11"/>
        <v>5.2731840000000071E-2</v>
      </c>
      <c r="AD19" s="10">
        <f t="shared" si="12"/>
        <v>-1.7668159999999919E-2</v>
      </c>
      <c r="AE19" s="10">
        <f t="shared" si="4"/>
        <v>0.9893152787142776</v>
      </c>
      <c r="AF19" s="10">
        <f t="shared" si="4"/>
        <v>0.68747305864312924</v>
      </c>
      <c r="AG19" s="10">
        <f t="shared" si="13"/>
        <v>-0.30184222007114836</v>
      </c>
      <c r="AH19" s="10">
        <f t="shared" si="5"/>
        <v>0.97451757742021416</v>
      </c>
      <c r="AI19" s="10">
        <f t="shared" si="5"/>
        <v>0.67177406763166614</v>
      </c>
      <c r="AJ19" s="10">
        <f t="shared" si="14"/>
        <v>-0.30274350978854803</v>
      </c>
      <c r="AK19" s="10">
        <f t="shared" si="6"/>
        <v>7.1199501306231427E-2</v>
      </c>
      <c r="AL19" s="10">
        <f t="shared" si="15"/>
        <v>5.3716267373256077E-2</v>
      </c>
      <c r="AM19" s="10">
        <f t="shared" si="16"/>
        <v>-1.7483233932975351E-2</v>
      </c>
      <c r="AN19" s="10">
        <f t="shared" si="17"/>
        <v>7.0400000000000018E-2</v>
      </c>
      <c r="AO19" s="10">
        <f t="shared" si="18"/>
        <v>5.2731840000000085E-2</v>
      </c>
      <c r="AP19" s="10">
        <f t="shared" si="19"/>
        <v>-1.7668159999999933E-2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8953493.7486897092</v>
      </c>
      <c r="J20" s="7">
        <f t="shared" si="1"/>
        <v>7362415.792952084</v>
      </c>
      <c r="K20" s="7">
        <f t="shared" si="1"/>
        <v>2238373.4371724273</v>
      </c>
      <c r="L20" s="7">
        <f t="shared" si="1"/>
        <v>2126984.5721539822</v>
      </c>
      <c r="M20" s="7">
        <f t="shared" si="1"/>
        <v>4378468.7567777634</v>
      </c>
      <c r="N20" s="7">
        <f t="shared" si="1"/>
        <v>3528530.1946691643</v>
      </c>
      <c r="O20" s="7">
        <f t="shared" si="1"/>
        <v>1094617.1891944408</v>
      </c>
      <c r="P20" s="7">
        <f t="shared" si="1"/>
        <v>1038625.9492549611</v>
      </c>
      <c r="Q20" s="7">
        <f t="shared" si="1"/>
        <v>3730622.3952873778</v>
      </c>
      <c r="R20" s="7">
        <f t="shared" si="1"/>
        <v>2858194.9323691186</v>
      </c>
      <c r="S20" s="7">
        <f t="shared" si="1"/>
        <v>932655.59882184444</v>
      </c>
      <c r="T20" s="7">
        <f t="shared" si="1"/>
        <v>886243.57173082582</v>
      </c>
      <c r="U20" s="8">
        <f t="shared" si="7"/>
        <v>21328231.125943564</v>
      </c>
      <c r="V20" s="8">
        <f t="shared" si="7"/>
        <v>17800995.01313014</v>
      </c>
      <c r="W20" s="7">
        <f t="shared" si="2"/>
        <v>21135236.148705974</v>
      </c>
      <c r="X20" s="7">
        <f t="shared" si="2"/>
        <v>17599297.902821686</v>
      </c>
      <c r="Y20" s="10">
        <f t="shared" si="3"/>
        <v>7.2139311156766625E-2</v>
      </c>
      <c r="Z20" s="10">
        <f t="shared" si="8"/>
        <v>5.4890620146768057E-2</v>
      </c>
      <c r="AA20" s="10">
        <f t="shared" si="9"/>
        <v>-1.7248691009998568E-2</v>
      </c>
      <c r="AB20" s="10">
        <f t="shared" si="10"/>
        <v>7.0400000000000074E-2</v>
      </c>
      <c r="AC20" s="10">
        <f t="shared" si="11"/>
        <v>5.2731840000000023E-2</v>
      </c>
      <c r="AD20" s="10">
        <f t="shared" si="12"/>
        <v>-1.7668160000000051E-2</v>
      </c>
      <c r="AE20" s="10">
        <f t="shared" si="4"/>
        <v>1.1328231125943566</v>
      </c>
      <c r="AF20" s="10">
        <f t="shared" si="4"/>
        <v>0.78009950131301409</v>
      </c>
      <c r="AG20" s="10">
        <f t="shared" si="13"/>
        <v>-0.35272361128134255</v>
      </c>
      <c r="AH20" s="10">
        <f t="shared" si="5"/>
        <v>1.1135236148705974</v>
      </c>
      <c r="AI20" s="10">
        <f t="shared" si="5"/>
        <v>0.75992979028216845</v>
      </c>
      <c r="AJ20" s="10">
        <f t="shared" si="14"/>
        <v>-0.35359382458842892</v>
      </c>
      <c r="AK20" s="10">
        <f t="shared" si="6"/>
        <v>7.1284904512645797E-2</v>
      </c>
      <c r="AL20" s="10">
        <f t="shared" si="15"/>
        <v>5.3822972671960345E-2</v>
      </c>
      <c r="AM20" s="10">
        <f t="shared" si="16"/>
        <v>-1.7461931840685452E-2</v>
      </c>
      <c r="AN20" s="10">
        <f t="shared" si="17"/>
        <v>7.0400000000000018E-2</v>
      </c>
      <c r="AO20" s="10">
        <f t="shared" si="18"/>
        <v>5.2731840000000085E-2</v>
      </c>
      <c r="AP20" s="10">
        <f t="shared" si="19"/>
        <v>-1.7668159999999933E-2</v>
      </c>
    </row>
    <row r="21" spans="2:42" x14ac:dyDescent="0.45">
      <c r="B21" s="32" t="s">
        <v>42</v>
      </c>
      <c r="C21" s="33" t="s">
        <v>76</v>
      </c>
      <c r="D21" s="33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9669773.248584887</v>
      </c>
      <c r="J21" s="7">
        <f t="shared" si="1"/>
        <v>7811228.6596904425</v>
      </c>
      <c r="K21" s="7">
        <f t="shared" si="1"/>
        <v>2417443.3121462218</v>
      </c>
      <c r="L21" s="7">
        <f t="shared" si="1"/>
        <v>2286508.4150655307</v>
      </c>
      <c r="M21" s="7">
        <f t="shared" si="1"/>
        <v>4597392.1946166521</v>
      </c>
      <c r="N21" s="7">
        <f t="shared" si="1"/>
        <v>3632974.6884313719</v>
      </c>
      <c r="O21" s="7">
        <f t="shared" si="1"/>
        <v>1149348.048654163</v>
      </c>
      <c r="P21" s="7">
        <f t="shared" si="1"/>
        <v>1085364.1169714343</v>
      </c>
      <c r="Q21" s="7">
        <f t="shared" si="1"/>
        <v>4029072.186910368</v>
      </c>
      <c r="R21" s="7">
        <f t="shared" si="1"/>
        <v>3012994.7699062298</v>
      </c>
      <c r="S21" s="7">
        <f t="shared" si="1"/>
        <v>1007268.046727592</v>
      </c>
      <c r="T21" s="7">
        <f t="shared" si="1"/>
        <v>952711.83961063775</v>
      </c>
      <c r="U21" s="8">
        <f t="shared" si="7"/>
        <v>22870297.037639882</v>
      </c>
      <c r="V21" s="8">
        <f t="shared" si="7"/>
        <v>18781782.489675645</v>
      </c>
      <c r="W21" s="7">
        <f t="shared" si="2"/>
        <v>22623156.773574874</v>
      </c>
      <c r="X21" s="7">
        <f t="shared" si="2"/>
        <v>18527341.263945617</v>
      </c>
      <c r="Y21" s="10">
        <f t="shared" si="3"/>
        <v>7.2301631700744121E-2</v>
      </c>
      <c r="Z21" s="10">
        <f t="shared" si="8"/>
        <v>5.5097340110598844E-2</v>
      </c>
      <c r="AA21" s="10">
        <f t="shared" si="9"/>
        <v>-1.7204291590145276E-2</v>
      </c>
      <c r="AB21" s="10">
        <f t="shared" si="10"/>
        <v>7.0399999999999949E-2</v>
      </c>
      <c r="AC21" s="10">
        <f t="shared" si="11"/>
        <v>5.2731840000000113E-2</v>
      </c>
      <c r="AD21" s="10">
        <f t="shared" si="12"/>
        <v>-1.7668159999999836E-2</v>
      </c>
      <c r="AE21" s="10">
        <f t="shared" si="4"/>
        <v>1.2870297037639884</v>
      </c>
      <c r="AF21" s="10">
        <f t="shared" si="4"/>
        <v>0.87817824896756447</v>
      </c>
      <c r="AG21" s="10">
        <f t="shared" si="13"/>
        <v>-0.40885145479642393</v>
      </c>
      <c r="AH21" s="10">
        <f t="shared" si="5"/>
        <v>1.2623156773574875</v>
      </c>
      <c r="AI21" s="10">
        <f t="shared" si="5"/>
        <v>0.85273412639456136</v>
      </c>
      <c r="AJ21" s="10">
        <f t="shared" si="14"/>
        <v>-0.40958155096292614</v>
      </c>
      <c r="AK21" s="10">
        <f t="shared" si="6"/>
        <v>7.1369594945001724E-2</v>
      </c>
      <c r="AL21" s="10">
        <f t="shared" si="15"/>
        <v>5.3929111143730335E-2</v>
      </c>
      <c r="AM21" s="10">
        <f t="shared" si="16"/>
        <v>-1.7440483801271389E-2</v>
      </c>
      <c r="AN21" s="10">
        <f t="shared" si="17"/>
        <v>7.0400000000000018E-2</v>
      </c>
      <c r="AO21" s="10">
        <f t="shared" si="18"/>
        <v>5.2731840000000085E-2</v>
      </c>
      <c r="AP21" s="10">
        <f t="shared" si="19"/>
        <v>-1.7668159999999933E-2</v>
      </c>
    </row>
    <row r="22" spans="2:42" x14ac:dyDescent="0.45">
      <c r="B22" t="s">
        <v>43</v>
      </c>
      <c r="C22" s="8">
        <f>_xlfn.XLOOKUP(C3,G:G,V:V)</f>
        <v>29043471.979166195</v>
      </c>
      <c r="D22" s="8">
        <f>_xlfn.XLOOKUP(C3,G:G,X:X)</f>
        <v>27948285.332057267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10443355.108471679</v>
      </c>
      <c r="J22" s="7">
        <f t="shared" si="1"/>
        <v>8287401.1587851709</v>
      </c>
      <c r="K22" s="7">
        <f t="shared" si="1"/>
        <v>2610838.7771179196</v>
      </c>
      <c r="L22" s="7">
        <f t="shared" si="1"/>
        <v>2457996.5461954456</v>
      </c>
      <c r="M22" s="7">
        <f t="shared" si="1"/>
        <v>4827261.8043474853</v>
      </c>
      <c r="N22" s="7">
        <f t="shared" si="1"/>
        <v>3740510.7392089409</v>
      </c>
      <c r="O22" s="7">
        <f t="shared" si="1"/>
        <v>1206815.4510868713</v>
      </c>
      <c r="P22" s="7">
        <f t="shared" si="1"/>
        <v>1134205.5022351488</v>
      </c>
      <c r="Q22" s="7">
        <f t="shared" si="1"/>
        <v>4351397.9618631974</v>
      </c>
      <c r="R22" s="7">
        <f t="shared" si="1"/>
        <v>3176178.566644351</v>
      </c>
      <c r="S22" s="7">
        <f t="shared" si="1"/>
        <v>1087849.4904657993</v>
      </c>
      <c r="T22" s="7">
        <f t="shared" si="1"/>
        <v>1024165.2275814356</v>
      </c>
      <c r="U22" s="8">
        <f t="shared" si="7"/>
        <v>24527518.593352951</v>
      </c>
      <c r="V22" s="8">
        <f t="shared" si="7"/>
        <v>19820457.74065049</v>
      </c>
      <c r="W22" s="7">
        <f t="shared" si="2"/>
        <v>24215827.010434546</v>
      </c>
      <c r="X22" s="7">
        <f t="shared" si="2"/>
        <v>19504322.059101395</v>
      </c>
      <c r="Y22" s="10">
        <f t="shared" si="3"/>
        <v>7.2461741663679191E-2</v>
      </c>
      <c r="Z22" s="10">
        <f t="shared" si="8"/>
        <v>5.5302272377278645E-2</v>
      </c>
      <c r="AA22" s="10">
        <f t="shared" si="9"/>
        <v>-1.7159469286400546E-2</v>
      </c>
      <c r="AB22" s="10">
        <f t="shared" si="10"/>
        <v>7.0400000000000032E-2</v>
      </c>
      <c r="AC22" s="10">
        <f t="shared" si="11"/>
        <v>5.273184000000003E-2</v>
      </c>
      <c r="AD22" s="10">
        <f t="shared" si="12"/>
        <v>-1.7668160000000002E-2</v>
      </c>
      <c r="AE22" s="10">
        <f t="shared" si="4"/>
        <v>1.4527518593352955</v>
      </c>
      <c r="AF22" s="10">
        <f t="shared" si="4"/>
        <v>0.982045774065049</v>
      </c>
      <c r="AG22" s="10">
        <f t="shared" si="13"/>
        <v>-0.47070608527024649</v>
      </c>
      <c r="AH22" s="10">
        <f t="shared" si="5"/>
        <v>1.4215827010434547</v>
      </c>
      <c r="AI22" s="10">
        <f t="shared" si="5"/>
        <v>0.95043220591013933</v>
      </c>
      <c r="AJ22" s="10">
        <f t="shared" si="14"/>
        <v>-0.47115049513331542</v>
      </c>
      <c r="AK22" s="10">
        <f t="shared" si="6"/>
        <v>7.1453566730468987E-2</v>
      </c>
      <c r="AL22" s="10">
        <f t="shared" si="15"/>
        <v>5.4034675466013482E-2</v>
      </c>
      <c r="AM22" s="10">
        <f t="shared" si="16"/>
        <v>-1.7418891264455505E-2</v>
      </c>
      <c r="AN22" s="10">
        <f t="shared" si="17"/>
        <v>7.0400000000000018E-2</v>
      </c>
      <c r="AO22" s="10">
        <f t="shared" si="18"/>
        <v>5.2731840000000085E-2</v>
      </c>
      <c r="AP22" s="10">
        <f t="shared" si="19"/>
        <v>-1.7668159999999933E-2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11278823.517149413</v>
      </c>
      <c r="J23" s="7">
        <f t="shared" si="1"/>
        <v>8792601.1334247142</v>
      </c>
      <c r="K23" s="7">
        <f t="shared" si="1"/>
        <v>2819705.8792873533</v>
      </c>
      <c r="L23" s="7">
        <f t="shared" si="1"/>
        <v>2642346.2871601037</v>
      </c>
      <c r="M23" s="7">
        <f t="shared" si="1"/>
        <v>5068624.8945648596</v>
      </c>
      <c r="N23" s="7">
        <f t="shared" si="1"/>
        <v>3851229.857089526</v>
      </c>
      <c r="O23" s="7">
        <f t="shared" si="1"/>
        <v>1267156.2236412149</v>
      </c>
      <c r="P23" s="7">
        <f t="shared" si="1"/>
        <v>1185244.7498357305</v>
      </c>
      <c r="Q23" s="7">
        <f t="shared" si="1"/>
        <v>4699509.7988122534</v>
      </c>
      <c r="R23" s="7">
        <f t="shared" si="1"/>
        <v>3348200.3978138091</v>
      </c>
      <c r="S23" s="7">
        <f t="shared" si="1"/>
        <v>1174877.4497030634</v>
      </c>
      <c r="T23" s="7">
        <f t="shared" si="1"/>
        <v>1100977.6196500433</v>
      </c>
      <c r="U23" s="8">
        <f t="shared" si="7"/>
        <v>26308697.763158161</v>
      </c>
      <c r="V23" s="8">
        <f t="shared" si="7"/>
        <v>20920600.044973925</v>
      </c>
      <c r="W23" s="7">
        <f t="shared" si="2"/>
        <v>25920621.231969137</v>
      </c>
      <c r="X23" s="7">
        <f t="shared" si="2"/>
        <v>20532820.849230401</v>
      </c>
      <c r="Y23" s="10">
        <f t="shared" si="3"/>
        <v>7.2619623669877328E-2</v>
      </c>
      <c r="Z23" s="10">
        <f t="shared" si="8"/>
        <v>5.5505393403055138E-2</v>
      </c>
      <c r="AA23" s="10">
        <f t="shared" si="9"/>
        <v>-1.711423026682219E-2</v>
      </c>
      <c r="AB23" s="10">
        <f t="shared" si="10"/>
        <v>7.0399999999999963E-2</v>
      </c>
      <c r="AC23" s="10">
        <f t="shared" si="11"/>
        <v>5.273184000000003E-2</v>
      </c>
      <c r="AD23" s="10">
        <f t="shared" si="12"/>
        <v>-1.7668159999999933E-2</v>
      </c>
      <c r="AE23" s="10">
        <f t="shared" si="4"/>
        <v>1.6308697763158166</v>
      </c>
      <c r="AF23" s="10">
        <f t="shared" si="4"/>
        <v>1.0920600044973927</v>
      </c>
      <c r="AG23" s="10">
        <f t="shared" si="13"/>
        <v>-0.53880977181842393</v>
      </c>
      <c r="AH23" s="10">
        <f t="shared" si="5"/>
        <v>1.5920621231969139</v>
      </c>
      <c r="AI23" s="10">
        <f t="shared" si="5"/>
        <v>1.05328208492304</v>
      </c>
      <c r="AJ23" s="10">
        <f t="shared" si="14"/>
        <v>-0.53878003827387388</v>
      </c>
      <c r="AK23" s="10">
        <f t="shared" si="6"/>
        <v>7.1536814456651499E-2</v>
      </c>
      <c r="AL23" s="10">
        <f t="shared" si="15"/>
        <v>5.4139658753036946E-2</v>
      </c>
      <c r="AM23" s="10">
        <f t="shared" si="16"/>
        <v>-1.7397155703614553E-2</v>
      </c>
      <c r="AN23" s="10">
        <f t="shared" si="17"/>
        <v>7.0400000000000018E-2</v>
      </c>
      <c r="AO23" s="10">
        <f t="shared" si="18"/>
        <v>5.2731840000000085E-2</v>
      </c>
      <c r="AP23" s="10">
        <f t="shared" si="19"/>
        <v>-1.7668159999999933E-2</v>
      </c>
    </row>
    <row r="24" spans="2:42" x14ac:dyDescent="0.45">
      <c r="B24" t="s">
        <v>62</v>
      </c>
      <c r="C24" s="9">
        <f>_xlfn.XLOOKUP(C3,G:G,AE:AE)</f>
        <v>3.0185061234637462</v>
      </c>
      <c r="D24" s="9">
        <f>_xlfn.XLOOKUP(C3,G:G,AH:AH)</f>
        <v>2.8987196635413923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12181129.398521367</v>
      </c>
      <c r="J24" s="7">
        <f t="shared" si="1"/>
        <v>9328598.098518284</v>
      </c>
      <c r="K24" s="7">
        <f t="shared" si="1"/>
        <v>3045282.3496303419</v>
      </c>
      <c r="L24" s="7">
        <f t="shared" si="1"/>
        <v>2840522.2586971112</v>
      </c>
      <c r="M24" s="7">
        <f t="shared" si="1"/>
        <v>5322056.1392931025</v>
      </c>
      <c r="N24" s="7">
        <f t="shared" si="1"/>
        <v>3965226.2608593763</v>
      </c>
      <c r="O24" s="7">
        <f t="shared" si="1"/>
        <v>1330514.0348232756</v>
      </c>
      <c r="P24" s="7">
        <f t="shared" si="1"/>
        <v>1238580.7635783383</v>
      </c>
      <c r="Q24" s="7">
        <f t="shared" si="1"/>
        <v>5075470.5827172343</v>
      </c>
      <c r="R24" s="7">
        <f t="shared" si="1"/>
        <v>3529538.9313594052</v>
      </c>
      <c r="S24" s="7">
        <f t="shared" si="1"/>
        <v>1268867.6456793086</v>
      </c>
      <c r="T24" s="7">
        <f t="shared" si="1"/>
        <v>1183550.9411237966</v>
      </c>
      <c r="U24" s="8">
        <f t="shared" si="7"/>
        <v>28223320.150664628</v>
      </c>
      <c r="V24" s="8">
        <f t="shared" si="7"/>
        <v>22086017.254136309</v>
      </c>
      <c r="W24" s="7">
        <f t="shared" si="2"/>
        <v>27745432.966699764</v>
      </c>
      <c r="X24" s="7">
        <f t="shared" si="2"/>
        <v>21615554.273000684</v>
      </c>
      <c r="Y24" s="10">
        <f t="shared" si="3"/>
        <v>7.2775262566877816E-2</v>
      </c>
      <c r="Z24" s="10">
        <f t="shared" si="8"/>
        <v>5.5706681770935643E-2</v>
      </c>
      <c r="AA24" s="10">
        <f t="shared" si="9"/>
        <v>-1.7068580795942173E-2</v>
      </c>
      <c r="AB24" s="10">
        <f t="shared" si="10"/>
        <v>7.0400000000000004E-2</v>
      </c>
      <c r="AC24" s="10">
        <f t="shared" si="11"/>
        <v>5.2731840000000037E-2</v>
      </c>
      <c r="AD24" s="10">
        <f t="shared" si="12"/>
        <v>-1.7668159999999968E-2</v>
      </c>
      <c r="AE24" s="10">
        <f t="shared" si="4"/>
        <v>1.8223320150664635</v>
      </c>
      <c r="AF24" s="10">
        <f t="shared" si="4"/>
        <v>1.2086017254136312</v>
      </c>
      <c r="AG24" s="10">
        <f t="shared" si="13"/>
        <v>-0.61373028965283227</v>
      </c>
      <c r="AH24" s="10">
        <f t="shared" si="5"/>
        <v>1.7745432966699766</v>
      </c>
      <c r="AI24" s="10">
        <f t="shared" si="5"/>
        <v>1.1615554273000681</v>
      </c>
      <c r="AJ24" s="10">
        <f t="shared" si="14"/>
        <v>-0.61298786936990846</v>
      </c>
      <c r="AK24" s="10">
        <f t="shared" si="6"/>
        <v>7.161933316597513E-2</v>
      </c>
      <c r="AL24" s="10">
        <f t="shared" si="15"/>
        <v>5.4244054551936705E-2</v>
      </c>
      <c r="AM24" s="10">
        <f t="shared" si="16"/>
        <v>-1.7375278614038425E-2</v>
      </c>
      <c r="AN24" s="10">
        <f t="shared" si="17"/>
        <v>7.0400000000000018E-2</v>
      </c>
      <c r="AO24" s="10">
        <f t="shared" si="18"/>
        <v>5.2731840000000085E-2</v>
      </c>
      <c r="AP24" s="10">
        <f t="shared" si="19"/>
        <v>-1.7668159999999933E-2</v>
      </c>
    </row>
    <row r="25" spans="2:42" x14ac:dyDescent="0.45">
      <c r="B25" t="s">
        <v>64</v>
      </c>
      <c r="C25" s="9">
        <f>_xlfn.XLOOKUP(C3,G:G,AF:AF)</f>
        <v>1.9043471979166191</v>
      </c>
      <c r="D25" s="9">
        <f>_xlfn.XLOOKUP(C3,G:G,AI:AI)</f>
        <v>1.794828533205727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13155619.750403078</v>
      </c>
      <c r="J25" s="7">
        <f t="shared" si="1"/>
        <v>9897269.4386039581</v>
      </c>
      <c r="K25" s="7">
        <f t="shared" si="1"/>
        <v>3288904.9376007696</v>
      </c>
      <c r="L25" s="7">
        <f t="shared" si="1"/>
        <v>3053561.4280993943</v>
      </c>
      <c r="M25" s="7">
        <f t="shared" si="1"/>
        <v>5588158.946257758</v>
      </c>
      <c r="N25" s="7">
        <f t="shared" si="1"/>
        <v>4082596.9581808141</v>
      </c>
      <c r="O25" s="7">
        <f t="shared" si="1"/>
        <v>1397039.7365644395</v>
      </c>
      <c r="P25" s="7">
        <f t="shared" si="1"/>
        <v>1294316.8979393635</v>
      </c>
      <c r="Q25" s="7">
        <f t="shared" si="1"/>
        <v>5481508.2293346133</v>
      </c>
      <c r="R25" s="7">
        <f t="shared" si="1"/>
        <v>3720698.7598818303</v>
      </c>
      <c r="S25" s="7">
        <f t="shared" si="1"/>
        <v>1370377.0573336533</v>
      </c>
      <c r="T25" s="7">
        <f t="shared" si="1"/>
        <v>1272317.2617080812</v>
      </c>
      <c r="U25" s="8">
        <f t="shared" si="7"/>
        <v>30281608.65749431</v>
      </c>
      <c r="V25" s="8">
        <f t="shared" si="7"/>
        <v>23320760.744413443</v>
      </c>
      <c r="W25" s="7">
        <f t="shared" si="2"/>
        <v>29698711.447555427</v>
      </c>
      <c r="X25" s="7">
        <f t="shared" si="2"/>
        <v>22755382.222435873</v>
      </c>
      <c r="Y25" s="10">
        <f t="shared" si="3"/>
        <v>7.2928645384097809E-2</v>
      </c>
      <c r="Z25" s="10">
        <f t="shared" si="8"/>
        <v>5.5906118159257022E-2</v>
      </c>
      <c r="AA25" s="10">
        <f t="shared" si="9"/>
        <v>-1.7022527224840787E-2</v>
      </c>
      <c r="AB25" s="10">
        <f t="shared" si="10"/>
        <v>7.0399999999999963E-2</v>
      </c>
      <c r="AC25" s="10">
        <f t="shared" si="11"/>
        <v>5.2731840000000044E-2</v>
      </c>
      <c r="AD25" s="10">
        <f t="shared" si="12"/>
        <v>-1.7668159999999919E-2</v>
      </c>
      <c r="AE25" s="10">
        <f t="shared" si="4"/>
        <v>2.0281608657494319</v>
      </c>
      <c r="AF25" s="10">
        <f t="shared" si="4"/>
        <v>1.3320760744413445</v>
      </c>
      <c r="AG25" s="10">
        <f t="shared" si="13"/>
        <v>-0.69608479130808742</v>
      </c>
      <c r="AH25" s="10">
        <f t="shared" si="5"/>
        <v>1.969871144755543</v>
      </c>
      <c r="AI25" s="10">
        <f t="shared" si="5"/>
        <v>1.2755382222435871</v>
      </c>
      <c r="AJ25" s="10">
        <f t="shared" si="14"/>
        <v>-0.69433292251195589</v>
      </c>
      <c r="AK25" s="10">
        <f t="shared" si="6"/>
        <v>7.1701118349551951E-2</v>
      </c>
      <c r="AL25" s="10">
        <f t="shared" si="15"/>
        <v>5.4347856838316888E-2</v>
      </c>
      <c r="AM25" s="10">
        <f t="shared" si="16"/>
        <v>-1.7353261511235063E-2</v>
      </c>
      <c r="AN25" s="10">
        <f t="shared" si="17"/>
        <v>7.0400000000000018E-2</v>
      </c>
      <c r="AO25" s="10">
        <f t="shared" si="18"/>
        <v>5.2731840000000085E-2</v>
      </c>
      <c r="AP25" s="10">
        <f t="shared" si="19"/>
        <v>-1.7668159999999933E-2</v>
      </c>
    </row>
    <row r="26" spans="2:42" x14ac:dyDescent="0.45">
      <c r="B26" t="s">
        <v>63</v>
      </c>
      <c r="C26" s="9">
        <f>_xlfn.XLOOKUP(C3,G:G,AG:AG)</f>
        <v>-1.1141589255471271</v>
      </c>
      <c r="D26" s="9">
        <f>_xlfn.XLOOKUP(C3,G:G,AJ:AJ)</f>
        <v>-1.1038911303356653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14208069.330435326</v>
      </c>
      <c r="J26" s="7">
        <f t="shared" si="1"/>
        <v>10500606.983581254</v>
      </c>
      <c r="K26" s="7">
        <f t="shared" si="1"/>
        <v>3552017.3326088316</v>
      </c>
      <c r="L26" s="7">
        <f t="shared" si="1"/>
        <v>3282578.5352068488</v>
      </c>
      <c r="M26" s="7">
        <f t="shared" si="1"/>
        <v>5867566.8935706457</v>
      </c>
      <c r="N26" s="7">
        <f t="shared" si="1"/>
        <v>4203441.8281429661</v>
      </c>
      <c r="O26" s="7">
        <f t="shared" si="1"/>
        <v>1466891.7233926614</v>
      </c>
      <c r="P26" s="7">
        <f t="shared" si="1"/>
        <v>1352561.1583466348</v>
      </c>
      <c r="Q26" s="7">
        <f t="shared" si="1"/>
        <v>5920028.8876813827</v>
      </c>
      <c r="R26" s="7">
        <f t="shared" si="1"/>
        <v>3922211.8047170304</v>
      </c>
      <c r="S26" s="7">
        <f t="shared" si="1"/>
        <v>1480007.2219203457</v>
      </c>
      <c r="T26" s="7">
        <f t="shared" si="1"/>
        <v>1367741.0563361873</v>
      </c>
      <c r="U26" s="8">
        <f t="shared" si="7"/>
        <v>32494581.389609195</v>
      </c>
      <c r="V26" s="8">
        <f t="shared" si="7"/>
        <v>24629141.366330922</v>
      </c>
      <c r="W26" s="7">
        <f t="shared" ref="W26:X41" si="20">IF($G26="","",IF($G26=1,(($C$2+$H26)*W$3)*(1+(W$4-W$5)),((W25+($H26*W$3))*(1+(W$4-W$5)))))</f>
        <v>31789500.733463328</v>
      </c>
      <c r="X26" s="7">
        <f t="shared" si="20"/>
        <v>23955315.396928206</v>
      </c>
      <c r="Y26" s="10">
        <f t="shared" si="3"/>
        <v>7.3079761288282905E-2</v>
      </c>
      <c r="Z26" s="10">
        <f t="shared" si="8"/>
        <v>5.6103685306702747E-2</v>
      </c>
      <c r="AA26" s="10">
        <f t="shared" si="9"/>
        <v>-1.6976075981580158E-2</v>
      </c>
      <c r="AB26" s="10">
        <f t="shared" si="10"/>
        <v>7.039999999999999E-2</v>
      </c>
      <c r="AC26" s="10">
        <f t="shared" si="11"/>
        <v>5.2731840000000009E-2</v>
      </c>
      <c r="AD26" s="10">
        <f t="shared" si="12"/>
        <v>-1.7668159999999981E-2</v>
      </c>
      <c r="AE26" s="10">
        <f t="shared" ref="AE26:AF41" si="21">IF($G26="","",IF($G26=1,Y26,(1+Y26)*(1+AE25)-1))</f>
        <v>2.2494581389609207</v>
      </c>
      <c r="AF26" s="10">
        <f t="shared" si="21"/>
        <v>1.4629141366330924</v>
      </c>
      <c r="AG26" s="10">
        <f t="shared" si="13"/>
        <v>-0.78654400232782828</v>
      </c>
      <c r="AH26" s="10">
        <f t="shared" ref="AH26:AI41" si="22">IF($G26="","",IF($G26=1,AB26,(1+AB26)*(1+AH25)-1))</f>
        <v>2.1789500733463334</v>
      </c>
      <c r="AI26" s="10">
        <f t="shared" si="22"/>
        <v>1.3955315396928207</v>
      </c>
      <c r="AJ26" s="10">
        <f t="shared" si="14"/>
        <v>-0.78341853365351266</v>
      </c>
      <c r="AK26" s="10">
        <f t="shared" si="6"/>
        <v>7.1782165940550868E-2</v>
      </c>
      <c r="AL26" s="10">
        <f t="shared" si="15"/>
        <v>5.4451060011267982E-2</v>
      </c>
      <c r="AM26" s="10">
        <f t="shared" si="16"/>
        <v>-1.7331105929282886E-2</v>
      </c>
      <c r="AN26" s="10">
        <f t="shared" si="17"/>
        <v>7.0400000000000018E-2</v>
      </c>
      <c r="AO26" s="10">
        <f t="shared" si="18"/>
        <v>5.2731840000000085E-2</v>
      </c>
      <c r="AP26" s="10">
        <f t="shared" si="19"/>
        <v>-1.7668159999999933E-2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15344714.876870153</v>
      </c>
      <c r="J27" s="7">
        <f t="shared" si="1"/>
        <v>11140723.985300366</v>
      </c>
      <c r="K27" s="7">
        <f t="shared" si="1"/>
        <v>3836178.7192175384</v>
      </c>
      <c r="L27" s="7">
        <f t="shared" si="1"/>
        <v>3528771.9253473622</v>
      </c>
      <c r="M27" s="7">
        <f t="shared" si="1"/>
        <v>6160945.238249178</v>
      </c>
      <c r="N27" s="7">
        <f t="shared" si="1"/>
        <v>4327863.7062559985</v>
      </c>
      <c r="O27" s="7">
        <f t="shared" si="1"/>
        <v>1540236.3095622945</v>
      </c>
      <c r="P27" s="7">
        <f t="shared" si="1"/>
        <v>1413426.4104722333</v>
      </c>
      <c r="Q27" s="7">
        <f t="shared" si="1"/>
        <v>6393631.1986958934</v>
      </c>
      <c r="R27" s="7">
        <f t="shared" si="1"/>
        <v>4134638.7960605049</v>
      </c>
      <c r="S27" s="7">
        <f t="shared" si="1"/>
        <v>1598407.7996739733</v>
      </c>
      <c r="T27" s="7">
        <f t="shared" si="1"/>
        <v>1470321.6355614013</v>
      </c>
      <c r="U27" s="8">
        <f t="shared" si="7"/>
        <v>34874114.14226903</v>
      </c>
      <c r="V27" s="8">
        <f t="shared" si="7"/>
        <v>26015746.458997868</v>
      </c>
      <c r="W27" s="7">
        <f t="shared" si="20"/>
        <v>34027481.585099146</v>
      </c>
      <c r="X27" s="7">
        <f t="shared" si="20"/>
        <v>25218523.255588561</v>
      </c>
      <c r="Y27" s="10">
        <f t="shared" si="3"/>
        <v>7.3228601536031446E-2</v>
      </c>
      <c r="Z27" s="10">
        <f t="shared" si="8"/>
        <v>5.62993679740088E-2</v>
      </c>
      <c r="AA27" s="10">
        <f t="shared" si="9"/>
        <v>-1.6929233562022646E-2</v>
      </c>
      <c r="AB27" s="10">
        <f t="shared" si="10"/>
        <v>7.0399999999999976E-2</v>
      </c>
      <c r="AC27" s="10">
        <f t="shared" si="11"/>
        <v>5.2731840000000023E-2</v>
      </c>
      <c r="AD27" s="10">
        <f t="shared" si="12"/>
        <v>-1.7668159999999954E-2</v>
      </c>
      <c r="AE27" s="10">
        <f t="shared" si="21"/>
        <v>2.4874114142269046</v>
      </c>
      <c r="AF27" s="10">
        <f t="shared" si="21"/>
        <v>1.6015746458997868</v>
      </c>
      <c r="AG27" s="10">
        <f t="shared" si="13"/>
        <v>-0.88583676832711777</v>
      </c>
      <c r="AH27" s="10">
        <f t="shared" si="22"/>
        <v>2.4027481585099153</v>
      </c>
      <c r="AI27" s="10">
        <f t="shared" si="22"/>
        <v>1.5218523255588563</v>
      </c>
      <c r="AJ27" s="10">
        <f t="shared" si="14"/>
        <v>-0.880895832951059</v>
      </c>
      <c r="AK27" s="10">
        <f t="shared" si="6"/>
        <v>7.1862472307108627E-2</v>
      </c>
      <c r="AL27" s="10">
        <f t="shared" si="15"/>
        <v>5.4553658887872336E-2</v>
      </c>
      <c r="AM27" s="10">
        <f t="shared" si="16"/>
        <v>-1.7308813419236291E-2</v>
      </c>
      <c r="AN27" s="10">
        <f t="shared" si="17"/>
        <v>7.0400000000000018E-2</v>
      </c>
      <c r="AO27" s="10">
        <f t="shared" si="18"/>
        <v>5.2731840000000085E-2</v>
      </c>
      <c r="AP27" s="10">
        <f t="shared" si="19"/>
        <v>-1.7668159999999933E-2</v>
      </c>
    </row>
    <row r="28" spans="2:42" x14ac:dyDescent="0.45">
      <c r="B28" t="s">
        <v>65</v>
      </c>
      <c r="C28" s="9">
        <f>_xlfn.XLOOKUP(C3,G:G,AK:AK)</f>
        <v>7.2020848968773032E-2</v>
      </c>
      <c r="D28" s="9">
        <f>_xlfn.XLOOKUP(C3,G:G,AN:AN)</f>
        <v>7.0400000000000018E-2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16572292.067019766</v>
      </c>
      <c r="J28" s="7">
        <f t="shared" si="1"/>
        <v>11819862.519444276</v>
      </c>
      <c r="K28" s="7">
        <f t="shared" si="1"/>
        <v>4143073.0167549415</v>
      </c>
      <c r="L28" s="7">
        <f t="shared" si="1"/>
        <v>3793429.8197484142</v>
      </c>
      <c r="M28" s="7">
        <f t="shared" si="1"/>
        <v>6468992.5001616376</v>
      </c>
      <c r="N28" s="7">
        <f t="shared" si="1"/>
        <v>4455968.471961176</v>
      </c>
      <c r="O28" s="7">
        <f t="shared" si="1"/>
        <v>1617248.1250404094</v>
      </c>
      <c r="P28" s="7">
        <f t="shared" si="1"/>
        <v>1477030.5989434838</v>
      </c>
      <c r="Q28" s="7">
        <f t="shared" si="1"/>
        <v>6905121.6945915651</v>
      </c>
      <c r="R28" s="7">
        <f t="shared" si="1"/>
        <v>4358570.833255142</v>
      </c>
      <c r="S28" s="7">
        <f t="shared" si="1"/>
        <v>1726280.4236478913</v>
      </c>
      <c r="T28" s="7">
        <f t="shared" si="1"/>
        <v>1580595.7582285062</v>
      </c>
      <c r="U28" s="8">
        <f t="shared" si="7"/>
        <v>37433007.827216208</v>
      </c>
      <c r="V28" s="8">
        <f t="shared" si="7"/>
        <v>27485458.001580998</v>
      </c>
      <c r="W28" s="7">
        <f t="shared" si="20"/>
        <v>36423016.288690127</v>
      </c>
      <c r="X28" s="7">
        <f t="shared" si="20"/>
        <v>26548342.388938539</v>
      </c>
      <c r="Y28" s="10">
        <f t="shared" si="3"/>
        <v>7.3375159423639119E-2</v>
      </c>
      <c r="Z28" s="10">
        <f t="shared" si="8"/>
        <v>5.6493152902588051E-2</v>
      </c>
      <c r="AA28" s="10">
        <f t="shared" si="9"/>
        <v>-1.6882006521051068E-2</v>
      </c>
      <c r="AB28" s="10">
        <f t="shared" si="10"/>
        <v>7.040000000000006E-2</v>
      </c>
      <c r="AC28" s="10">
        <f t="shared" si="11"/>
        <v>5.2731840000000092E-2</v>
      </c>
      <c r="AD28" s="10">
        <f t="shared" si="12"/>
        <v>-1.7668159999999968E-2</v>
      </c>
      <c r="AE28" s="10">
        <f t="shared" si="21"/>
        <v>2.7433007827216227</v>
      </c>
      <c r="AF28" s="10">
        <f t="shared" si="21"/>
        <v>1.7485458001580998</v>
      </c>
      <c r="AG28" s="10">
        <f t="shared" si="13"/>
        <v>-0.9947549825635229</v>
      </c>
      <c r="AH28" s="10">
        <f t="shared" si="22"/>
        <v>2.6423016288690135</v>
      </c>
      <c r="AI28" s="10">
        <f t="shared" si="22"/>
        <v>1.6548342388938542</v>
      </c>
      <c r="AJ28" s="10">
        <f t="shared" si="14"/>
        <v>-0.98746738997515937</v>
      </c>
      <c r="AK28" s="10">
        <f t="shared" si="6"/>
        <v>7.1942034244810493E-2</v>
      </c>
      <c r="AL28" s="10">
        <f t="shared" si="15"/>
        <v>5.4655648697228054E-2</v>
      </c>
      <c r="AM28" s="10">
        <f t="shared" si="16"/>
        <v>-1.7286385547582439E-2</v>
      </c>
      <c r="AN28" s="10">
        <f t="shared" si="17"/>
        <v>7.0400000000000018E-2</v>
      </c>
      <c r="AO28" s="10">
        <f t="shared" si="18"/>
        <v>5.2731840000000085E-2</v>
      </c>
      <c r="AP28" s="10">
        <f t="shared" si="19"/>
        <v>-1.7668159999999933E-2</v>
      </c>
    </row>
    <row r="29" spans="2:42" x14ac:dyDescent="0.45">
      <c r="B29" t="s">
        <v>66</v>
      </c>
      <c r="C29" s="9">
        <f>_xlfn.XLOOKUP(C3,G:G,AL:AL)</f>
        <v>5.4757025074019694E-2</v>
      </c>
      <c r="D29" s="9">
        <f>_xlfn.XLOOKUP(C3,G:G,AO:AO)</f>
        <v>5.2731840000000085E-2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17898075.432381347</v>
      </c>
      <c r="J29" s="7">
        <f t="shared" si="1"/>
        <v>12540401.338629598</v>
      </c>
      <c r="K29" s="7">
        <f t="shared" si="1"/>
        <v>4474518.8580953367</v>
      </c>
      <c r="L29" s="7">
        <f t="shared" si="1"/>
        <v>4077937.0562295453</v>
      </c>
      <c r="M29" s="7">
        <f t="shared" si="1"/>
        <v>6792442.1251697196</v>
      </c>
      <c r="N29" s="7">
        <f t="shared" si="1"/>
        <v>4587865.1387312273</v>
      </c>
      <c r="O29" s="7">
        <f t="shared" si="1"/>
        <v>1698110.5312924299</v>
      </c>
      <c r="P29" s="7">
        <f t="shared" si="1"/>
        <v>1543496.9758959406</v>
      </c>
      <c r="Q29" s="7">
        <f t="shared" si="1"/>
        <v>7457531.4301588908</v>
      </c>
      <c r="R29" s="7">
        <f t="shared" si="1"/>
        <v>4594631.0295842402</v>
      </c>
      <c r="S29" s="7">
        <f t="shared" si="1"/>
        <v>1864382.8575397227</v>
      </c>
      <c r="T29" s="7">
        <f t="shared" si="1"/>
        <v>1699140.440095644</v>
      </c>
      <c r="U29" s="8">
        <f t="shared" si="7"/>
        <v>40185061.234637447</v>
      </c>
      <c r="V29" s="8">
        <f t="shared" si="7"/>
        <v>29043471.979166195</v>
      </c>
      <c r="W29" s="7">
        <f t="shared" si="20"/>
        <v>38987196.635413915</v>
      </c>
      <c r="X29" s="7">
        <f t="shared" si="20"/>
        <v>27948285.332057267</v>
      </c>
      <c r="Y29" s="10">
        <f t="shared" si="3"/>
        <v>7.3519430234519345E-2</v>
      </c>
      <c r="Z29" s="10">
        <f t="shared" si="8"/>
        <v>5.6685028770325663E-2</v>
      </c>
      <c r="AA29" s="10">
        <f t="shared" si="9"/>
        <v>-1.6834401464193682E-2</v>
      </c>
      <c r="AB29" s="10">
        <f t="shared" si="10"/>
        <v>7.0400000000000074E-2</v>
      </c>
      <c r="AC29" s="10">
        <f t="shared" si="11"/>
        <v>5.2731840000000148E-2</v>
      </c>
      <c r="AD29" s="10">
        <f t="shared" si="12"/>
        <v>-1.7668159999999926E-2</v>
      </c>
      <c r="AE29" s="10">
        <f t="shared" si="21"/>
        <v>3.0185061234637462</v>
      </c>
      <c r="AF29" s="10">
        <f t="shared" si="21"/>
        <v>1.9043471979166191</v>
      </c>
      <c r="AG29" s="10">
        <f t="shared" si="13"/>
        <v>-1.1141589255471271</v>
      </c>
      <c r="AH29" s="10">
        <f t="shared" si="22"/>
        <v>2.8987196635413923</v>
      </c>
      <c r="AI29" s="10">
        <f t="shared" si="22"/>
        <v>1.794828533205727</v>
      </c>
      <c r="AJ29" s="10">
        <f t="shared" si="14"/>
        <v>-1.1038911303356653</v>
      </c>
      <c r="AK29" s="10">
        <f t="shared" si="6"/>
        <v>7.2020848968773032E-2</v>
      </c>
      <c r="AL29" s="10">
        <f t="shared" si="15"/>
        <v>5.4757025074019694E-2</v>
      </c>
      <c r="AM29" s="10">
        <f t="shared" si="16"/>
        <v>-1.7263823894753338E-2</v>
      </c>
      <c r="AN29" s="10">
        <f t="shared" si="17"/>
        <v>7.0400000000000018E-2</v>
      </c>
      <c r="AO29" s="10">
        <f t="shared" si="18"/>
        <v>5.2731840000000085E-2</v>
      </c>
      <c r="AP29" s="10">
        <f t="shared" si="19"/>
        <v>-1.7668159999999933E-2</v>
      </c>
    </row>
    <row r="30" spans="2:42" x14ac:dyDescent="0.45">
      <c r="B30" t="s">
        <v>67</v>
      </c>
      <c r="C30" s="9">
        <f>_xlfn.XLOOKUP(C3,G:G,AM:AM)</f>
        <v>-1.7263823894753338E-2</v>
      </c>
      <c r="D30" s="9">
        <f>_xlfn.XLOOKUP(C3,G:G,AP:AP)</f>
        <v>-1.7668159999999933E-2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5" priority="1" operator="equal">
      <formula>"Error"</formula>
    </cfRule>
    <cfRule type="cellIs" dxfId="4" priority="2" operator="equal">
      <formula>"GOOD"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0074-A988-4300-8BF9-04BB05302AE6}">
  <sheetPr>
    <tabColor rgb="FF00B0F0"/>
  </sheetPr>
  <dimension ref="B1:AP109"/>
  <sheetViews>
    <sheetView workbookViewId="0">
      <selection activeCell="D34" sqref="D34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'Return Simulator'!D47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'Return Simulator'!D48</f>
        <v>20</v>
      </c>
      <c r="H3" s="1" t="s">
        <v>12</v>
      </c>
      <c r="I3" s="10">
        <f>$D$7*(1-$E$7)</f>
        <v>0.33599999999999997</v>
      </c>
      <c r="J3" s="10">
        <f>$D$7*(1-$E$7)</f>
        <v>0.33599999999999997</v>
      </c>
      <c r="K3" s="10">
        <f>$D$7*$E$7</f>
        <v>0.14399999999999999</v>
      </c>
      <c r="L3" s="10">
        <f>$D$7*$E$7</f>
        <v>0.14399999999999999</v>
      </c>
      <c r="M3" s="10">
        <f>$D$8*(1-$E$8)</f>
        <v>0.22399999999999998</v>
      </c>
      <c r="N3" s="10">
        <f>$D$8*(1-$E$8)</f>
        <v>0.22399999999999998</v>
      </c>
      <c r="O3" s="10">
        <f>$D$8*$E$8</f>
        <v>9.6000000000000002E-2</v>
      </c>
      <c r="P3" s="10">
        <f>$D$8*$E$8</f>
        <v>9.6000000000000002E-2</v>
      </c>
      <c r="Q3" s="10">
        <f>$D$9*(1-$E$9)</f>
        <v>0.13999999999999999</v>
      </c>
      <c r="R3" s="10">
        <f>$D$9*(1-$E$9)</f>
        <v>0.13999999999999999</v>
      </c>
      <c r="S3" s="10">
        <f>$D$9*$E$9</f>
        <v>0.06</v>
      </c>
      <c r="T3" s="10">
        <f>$D$9*$E$9</f>
        <v>0.06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7.039999999999999E-2</v>
      </c>
      <c r="X4" s="10">
        <f>SUMPRODUCT(I3:T3,I4:T4)/2</f>
        <v>7.039999999999999E-2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16">
        <v>0</v>
      </c>
      <c r="J5" s="10">
        <f>$C$7*($C$15+$C$16)</f>
        <v>1.9040000000000001E-2</v>
      </c>
      <c r="K5" s="16">
        <v>0</v>
      </c>
      <c r="L5" s="10">
        <f>$C$11</f>
        <v>5.0000000000000001E-3</v>
      </c>
      <c r="M5" s="16">
        <v>0</v>
      </c>
      <c r="N5" s="10">
        <f>$C$8*($C$14+$C$16)</f>
        <v>2.0400000000000001E-2</v>
      </c>
      <c r="O5" s="16">
        <v>0</v>
      </c>
      <c r="P5" s="10">
        <f>$C$11</f>
        <v>5.0000000000000001E-3</v>
      </c>
      <c r="Q5" s="16">
        <v>0</v>
      </c>
      <c r="R5" s="10">
        <f>(50%*$C$9*($C$14+$C$16))+(50%*$C$9*($C$15+$C$16))</f>
        <v>2.5839999999999998E-2</v>
      </c>
      <c r="S5" s="16">
        <v>0</v>
      </c>
      <c r="T5" s="10">
        <f>$C$11</f>
        <v>5.0000000000000001E-3</v>
      </c>
      <c r="V5" s="10"/>
      <c r="W5" s="16">
        <v>0</v>
      </c>
      <c r="X5" s="10">
        <f>SUMPRODUCT(J3:T3,J5:T5)</f>
        <v>1.6084640000000001E-2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'Return Simulator'!D56</f>
        <v>0.08</v>
      </c>
      <c r="D7" s="4">
        <f>'Return Simulator'!D51</f>
        <v>0.48</v>
      </c>
      <c r="E7" s="11">
        <v>0.3</v>
      </c>
      <c r="U7" s="30" t="s">
        <v>76</v>
      </c>
      <c r="V7" s="30" t="s">
        <v>76</v>
      </c>
      <c r="W7" s="31" t="s">
        <v>77</v>
      </c>
      <c r="X7" s="31" t="s">
        <v>77</v>
      </c>
      <c r="Y7" s="30" t="s">
        <v>76</v>
      </c>
      <c r="Z7" s="30" t="s">
        <v>76</v>
      </c>
      <c r="AA7" s="30" t="s">
        <v>76</v>
      </c>
      <c r="AB7" s="31" t="s">
        <v>77</v>
      </c>
      <c r="AC7" s="31" t="s">
        <v>77</v>
      </c>
      <c r="AD7" s="31" t="s">
        <v>77</v>
      </c>
      <c r="AE7" s="30" t="s">
        <v>76</v>
      </c>
      <c r="AF7" s="30" t="s">
        <v>76</v>
      </c>
      <c r="AG7" s="30" t="s">
        <v>76</v>
      </c>
      <c r="AH7" s="31" t="s">
        <v>77</v>
      </c>
      <c r="AI7" s="31" t="s">
        <v>77</v>
      </c>
      <c r="AJ7" s="31" t="s">
        <v>77</v>
      </c>
      <c r="AK7" s="30" t="s">
        <v>76</v>
      </c>
      <c r="AL7" s="30" t="s">
        <v>76</v>
      </c>
      <c r="AM7" s="30" t="s">
        <v>76</v>
      </c>
      <c r="AN7" s="31" t="s">
        <v>77</v>
      </c>
      <c r="AO7" s="31" t="s">
        <v>77</v>
      </c>
      <c r="AP7" s="31" t="s">
        <v>77</v>
      </c>
    </row>
    <row r="8" spans="2:42" x14ac:dyDescent="0.45">
      <c r="B8" t="s">
        <v>1</v>
      </c>
      <c r="C8" s="4">
        <f>'Return Simulator'!D57</f>
        <v>0.05</v>
      </c>
      <c r="D8" s="4">
        <f>'Return Simulator'!D52</f>
        <v>0.32</v>
      </c>
      <c r="E8" s="11">
        <v>0.3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'Return Simulator'!D58</f>
        <v>0.08</v>
      </c>
      <c r="D9" s="4">
        <f>'Return Simulator'!D53</f>
        <v>0.2</v>
      </c>
      <c r="E9" s="11">
        <v>0.3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3628799.9999999995</v>
      </c>
      <c r="J10" s="7">
        <f t="shared" si="1"/>
        <v>3564825.5999999992</v>
      </c>
      <c r="K10" s="7">
        <f t="shared" si="1"/>
        <v>1555200</v>
      </c>
      <c r="L10" s="7">
        <f t="shared" si="1"/>
        <v>1548000</v>
      </c>
      <c r="M10" s="7">
        <f t="shared" si="1"/>
        <v>2352000</v>
      </c>
      <c r="N10" s="7">
        <f t="shared" si="1"/>
        <v>2306304</v>
      </c>
      <c r="O10" s="7">
        <f t="shared" si="1"/>
        <v>1008000</v>
      </c>
      <c r="P10" s="7">
        <f t="shared" si="1"/>
        <v>1003199.9999999999</v>
      </c>
      <c r="Q10" s="7">
        <f t="shared" si="1"/>
        <v>1511999.9999999998</v>
      </c>
      <c r="R10" s="7">
        <f t="shared" si="1"/>
        <v>1475823.9999999998</v>
      </c>
      <c r="S10" s="7">
        <f t="shared" si="1"/>
        <v>648000</v>
      </c>
      <c r="T10" s="7">
        <f t="shared" si="1"/>
        <v>645000</v>
      </c>
      <c r="U10" s="8">
        <f>IF(G10="","",SUM(I10,K10,M10,O10,Q10,S10))</f>
        <v>10704000</v>
      </c>
      <c r="V10" s="8">
        <f>IF(H10="","",SUM(J10,L10,N10,P10,R10,T10))</f>
        <v>10543153.6</v>
      </c>
      <c r="W10" s="7">
        <f t="shared" ref="W10:X25" si="2">IF($G10="","",IF($G10=1,(($C$2+$H10)*W$3)*(1+(W$4-W$5)),((W9+($H10*W$3))*(1+(W$4-W$5)))))</f>
        <v>10704000</v>
      </c>
      <c r="X10" s="7">
        <f t="shared" si="2"/>
        <v>10543153.6</v>
      </c>
      <c r="Y10" s="10">
        <f t="shared" ref="Y10:Y73" si="3">IF($G10="","",IF($G10=1,(U10-$C$2-H10)/($C$2+H10),(U10-U9-H10)/(U9+H10)))</f>
        <v>7.0400000000000004E-2</v>
      </c>
      <c r="Z10" s="10">
        <f>IF($G10="","",IF($G10=1,(V10-$C$2-H10)/($C$2+H10),(V10-V9-H10)/(V9+H10)))</f>
        <v>5.4315359999999965E-2</v>
      </c>
      <c r="AA10" s="10">
        <f>IF($G10="","",Z10-Y10)</f>
        <v>-1.6084640000000039E-2</v>
      </c>
      <c r="AB10" s="10">
        <f>IF($G10="","",IF($G10=1,(W10-$C$2-H10)/($C$2+H10),(W10-W9-H10)/(W9+H10)))</f>
        <v>7.0400000000000004E-2</v>
      </c>
      <c r="AC10" s="10">
        <f>IF($G10="","",IF($G10=1,(X10-$C$2-H10)/($C$2+H10),(X10-X9-H10)/(X9+H10)))</f>
        <v>5.4315359999999965E-2</v>
      </c>
      <c r="AD10" s="10">
        <f>IF($G10="","",AC10-AB10)</f>
        <v>-1.6084640000000039E-2</v>
      </c>
      <c r="AE10" s="10">
        <f t="shared" ref="AE10:AF25" si="4">IF($G10="","",IF($G10=1,Y10,(1+Y10)*(1+AE9)-1))</f>
        <v>7.0400000000000004E-2</v>
      </c>
      <c r="AF10" s="10">
        <f t="shared" si="4"/>
        <v>5.4315359999999965E-2</v>
      </c>
      <c r="AG10" s="10">
        <f>IF($G10="","",AF10-AE10)</f>
        <v>-1.6084640000000039E-2</v>
      </c>
      <c r="AH10" s="10">
        <f t="shared" ref="AH10:AI25" si="5">IF($G10="","",IF($G10=1,AB10,(1+AB10)*(1+AH9)-1))</f>
        <v>7.0400000000000004E-2</v>
      </c>
      <c r="AI10" s="10">
        <f t="shared" si="5"/>
        <v>5.4315359999999965E-2</v>
      </c>
      <c r="AJ10" s="10">
        <f>IF($G10="","",AI10-AH10)</f>
        <v>-1.6084640000000039E-2</v>
      </c>
      <c r="AK10" s="10">
        <f t="shared" ref="AK10:AK73" si="6">IF($G10="","",(1+AE10)^(1/G10)-1)</f>
        <v>7.0400000000000018E-2</v>
      </c>
      <c r="AL10" s="10">
        <f>IF($G10="","",(1+AF10)^(1/G10)-1)</f>
        <v>5.4315359999999924E-2</v>
      </c>
      <c r="AM10" s="10">
        <f>IF($G10="","",AL10-AK10)</f>
        <v>-1.6084640000000094E-2</v>
      </c>
      <c r="AN10" s="10">
        <f>IF($G10="","",(1+AH10)^(1/G10)-1)</f>
        <v>7.0400000000000018E-2</v>
      </c>
      <c r="AO10" s="10">
        <f>IF($G10="","",(1+AI10)^(1/G10)-1)</f>
        <v>5.4315359999999924E-2</v>
      </c>
      <c r="AP10" s="10">
        <f>IF($G10="","",AO10-AN10)</f>
        <v>-1.6084640000000094E-2</v>
      </c>
    </row>
    <row r="11" spans="2:42" x14ac:dyDescent="0.45">
      <c r="B11" t="s">
        <v>5</v>
      </c>
      <c r="C11" s="4">
        <f>'Return Simulator'!D71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3919103.9999999995</v>
      </c>
      <c r="J11" s="7">
        <f t="shared" si="1"/>
        <v>3782137.3685759986</v>
      </c>
      <c r="K11" s="7">
        <f t="shared" si="1"/>
        <v>1679616</v>
      </c>
      <c r="L11" s="7">
        <f t="shared" si="1"/>
        <v>1664100</v>
      </c>
      <c r="M11" s="7">
        <f t="shared" si="1"/>
        <v>2469600</v>
      </c>
      <c r="N11" s="7">
        <f t="shared" si="1"/>
        <v>2374570.5984</v>
      </c>
      <c r="O11" s="7">
        <f t="shared" si="1"/>
        <v>1058400</v>
      </c>
      <c r="P11" s="7">
        <f t="shared" si="1"/>
        <v>1048343.9999999998</v>
      </c>
      <c r="Q11" s="7">
        <f t="shared" si="1"/>
        <v>1632959.9999999998</v>
      </c>
      <c r="R11" s="7">
        <f t="shared" si="1"/>
        <v>1555754.6278399997</v>
      </c>
      <c r="S11" s="7">
        <f t="shared" si="1"/>
        <v>699840</v>
      </c>
      <c r="T11" s="7">
        <f t="shared" si="1"/>
        <v>693375</v>
      </c>
      <c r="U11" s="8">
        <f t="shared" ref="U11:V74" si="7">IF(G11="","",SUM(I11,K11,M11,O11,Q11,S11))</f>
        <v>11459520</v>
      </c>
      <c r="V11" s="8">
        <f t="shared" si="7"/>
        <v>11118281.594815997</v>
      </c>
      <c r="W11" s="7">
        <f t="shared" si="2"/>
        <v>11457561.6</v>
      </c>
      <c r="X11" s="7">
        <f t="shared" si="2"/>
        <v>11115808.783319294</v>
      </c>
      <c r="Y11" s="10">
        <f t="shared" si="3"/>
        <v>7.0582959641255605E-2</v>
      </c>
      <c r="Z11" s="10">
        <f t="shared" ref="Z11:Z74" si="8">IF($G11="","",IF($G11=1,(V11-$C$2-H11)/($C$2+H11),(V11-V10-H11)/(V10+H11)))</f>
        <v>5.4549901920806484E-2</v>
      </c>
      <c r="AA11" s="10">
        <f t="shared" ref="AA11:AA74" si="9">IF($G11="","",Z11-Y11)</f>
        <v>-1.603305772044912E-2</v>
      </c>
      <c r="AB11" s="10">
        <f t="shared" ref="AB11:AB74" si="10">IF($G11="","",IF($G11=1,(W11-$C$2-H11)/($C$2+H11),(W11-W10-H11)/(W10+H11)))</f>
        <v>7.0399999999999963E-2</v>
      </c>
      <c r="AC11" s="10">
        <f t="shared" ref="AC11:AC74" si="11">IF($G11="","",IF($G11=1,(X11-$C$2-H11)/($C$2+H11),(X11-X10-H11)/(X10+H11)))</f>
        <v>5.4315359999999889E-2</v>
      </c>
      <c r="AD11" s="10">
        <f t="shared" ref="AD11:AD74" si="12">IF($G11="","",AC11-AB11)</f>
        <v>-1.6084640000000074E-2</v>
      </c>
      <c r="AE11" s="10">
        <f t="shared" si="4"/>
        <v>0.14595200000000008</v>
      </c>
      <c r="AF11" s="10">
        <f t="shared" si="4"/>
        <v>0.11182815948159974</v>
      </c>
      <c r="AG11" s="10">
        <f t="shared" ref="AG11:AG74" si="13">IF($G11="","",AF11-AE11)</f>
        <v>-3.4123840518400339E-2</v>
      </c>
      <c r="AH11" s="10">
        <f t="shared" si="5"/>
        <v>0.14575616000000013</v>
      </c>
      <c r="AI11" s="10">
        <f t="shared" si="5"/>
        <v>0.11158087833192942</v>
      </c>
      <c r="AJ11" s="10">
        <f t="shared" ref="AJ11:AJ74" si="14">IF($G11="","",AI11-AH11)</f>
        <v>-3.4175281668070712E-2</v>
      </c>
      <c r="AK11" s="10">
        <f t="shared" si="6"/>
        <v>7.0491475911882207E-2</v>
      </c>
      <c r="AL11" s="10">
        <f t="shared" ref="AL11:AL74" si="15">IF($G11="","",(1+AF11)^(1/G11)-1)</f>
        <v>5.4432624439133992E-2</v>
      </c>
      <c r="AM11" s="10">
        <f t="shared" ref="AM11:AM74" si="16">IF($G11="","",AL11-AK11)</f>
        <v>-1.6058851472748215E-2</v>
      </c>
      <c r="AN11" s="10">
        <f t="shared" ref="AN11:AN74" si="17">IF($G11="","",(1+AH11)^(1/G11)-1)</f>
        <v>7.0400000000000018E-2</v>
      </c>
      <c r="AO11" s="10">
        <f t="shared" ref="AO11:AO74" si="18">IF($G11="","",(1+AI11)^(1/G11)-1)</f>
        <v>5.4315359999999924E-2</v>
      </c>
      <c r="AP11" s="10">
        <f t="shared" ref="AP11:AP74" si="19">IF($G11="","",AO11-AN11)</f>
        <v>-1.6084640000000094E-2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4232632.3199999994</v>
      </c>
      <c r="J12" s="7">
        <f t="shared" si="1"/>
        <v>4012696.4625643911</v>
      </c>
      <c r="K12" s="7">
        <f t="shared" si="1"/>
        <v>1813985.28</v>
      </c>
      <c r="L12" s="7">
        <f t="shared" si="1"/>
        <v>1788907.5</v>
      </c>
      <c r="M12" s="7">
        <f t="shared" si="1"/>
        <v>2593080</v>
      </c>
      <c r="N12" s="7">
        <f t="shared" si="1"/>
        <v>2444857.88811264</v>
      </c>
      <c r="O12" s="7">
        <f t="shared" si="1"/>
        <v>1111320</v>
      </c>
      <c r="P12" s="7">
        <f t="shared" si="1"/>
        <v>1095519.4799999997</v>
      </c>
      <c r="Q12" s="7">
        <f t="shared" si="1"/>
        <v>1763596.7999999998</v>
      </c>
      <c r="R12" s="7">
        <f t="shared" si="1"/>
        <v>1640014.2984838141</v>
      </c>
      <c r="S12" s="7">
        <f t="shared" si="1"/>
        <v>755827.20000000007</v>
      </c>
      <c r="T12" s="7">
        <f t="shared" si="1"/>
        <v>745378.125</v>
      </c>
      <c r="U12" s="8">
        <f t="shared" si="7"/>
        <v>12270441.599999998</v>
      </c>
      <c r="V12" s="8">
        <f t="shared" si="7"/>
        <v>11727373.754160844</v>
      </c>
      <c r="W12" s="7">
        <f t="shared" si="2"/>
        <v>12264173.93664</v>
      </c>
      <c r="X12" s="7">
        <f t="shared" si="2"/>
        <v>11719567.939076442</v>
      </c>
      <c r="Y12" s="10">
        <f t="shared" si="3"/>
        <v>7.0764011058054591E-2</v>
      </c>
      <c r="Z12" s="10">
        <f t="shared" si="8"/>
        <v>5.4782940524625789E-2</v>
      </c>
      <c r="AA12" s="10">
        <f t="shared" si="9"/>
        <v>-1.5981070533428801E-2</v>
      </c>
      <c r="AB12" s="10">
        <f t="shared" si="10"/>
        <v>7.0400000000000032E-2</v>
      </c>
      <c r="AC12" s="10">
        <f t="shared" si="11"/>
        <v>5.4315359999999854E-2</v>
      </c>
      <c r="AD12" s="10">
        <f t="shared" si="12"/>
        <v>-1.6084640000000178E-2</v>
      </c>
      <c r="AE12" s="10">
        <f t="shared" si="4"/>
        <v>0.22704415999999972</v>
      </c>
      <c r="AF12" s="10">
        <f t="shared" si="4"/>
        <v>0.17273737541608436</v>
      </c>
      <c r="AG12" s="10">
        <f t="shared" si="13"/>
        <v>-5.4306784583915357E-2</v>
      </c>
      <c r="AH12" s="10">
        <f t="shared" si="5"/>
        <v>0.22641739366400015</v>
      </c>
      <c r="AI12" s="10">
        <f t="shared" si="5"/>
        <v>0.17195679390764429</v>
      </c>
      <c r="AJ12" s="10">
        <f t="shared" si="14"/>
        <v>-5.4460599756355865E-2</v>
      </c>
      <c r="AK12" s="10">
        <f t="shared" si="6"/>
        <v>7.0582313252319118E-2</v>
      </c>
      <c r="AL12" s="10">
        <f t="shared" si="15"/>
        <v>5.4549383538222473E-2</v>
      </c>
      <c r="AM12" s="10">
        <f t="shared" si="16"/>
        <v>-1.6032929714096644E-2</v>
      </c>
      <c r="AN12" s="10">
        <f t="shared" si="17"/>
        <v>7.0400000000000018E-2</v>
      </c>
      <c r="AO12" s="10">
        <f t="shared" si="18"/>
        <v>5.4315359999999924E-2</v>
      </c>
      <c r="AP12" s="10">
        <f t="shared" si="19"/>
        <v>-1.6084640000000094E-2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4571242.9055999992</v>
      </c>
      <c r="J13" s="7">
        <f t="shared" si="1"/>
        <v>4257310.4389223158</v>
      </c>
      <c r="K13" s="7">
        <f t="shared" si="1"/>
        <v>1959104.1024000002</v>
      </c>
      <c r="L13" s="7">
        <f t="shared" si="1"/>
        <v>1923075.5625</v>
      </c>
      <c r="M13" s="7">
        <f t="shared" si="1"/>
        <v>2722734</v>
      </c>
      <c r="N13" s="7">
        <f t="shared" si="1"/>
        <v>2517225.6816007742</v>
      </c>
      <c r="O13" s="7">
        <f t="shared" si="1"/>
        <v>1166886</v>
      </c>
      <c r="P13" s="7">
        <f t="shared" si="1"/>
        <v>1144817.8565999996</v>
      </c>
      <c r="Q13" s="7">
        <f t="shared" si="1"/>
        <v>1904684.544</v>
      </c>
      <c r="R13" s="7">
        <f t="shared" si="1"/>
        <v>1728837.4728896974</v>
      </c>
      <c r="S13" s="7">
        <f t="shared" si="1"/>
        <v>816293.37600000016</v>
      </c>
      <c r="T13" s="7">
        <f t="shared" si="1"/>
        <v>801281.484375</v>
      </c>
      <c r="U13" s="8">
        <f t="shared" si="7"/>
        <v>13140944.927999999</v>
      </c>
      <c r="V13" s="8">
        <f t="shared" si="7"/>
        <v>12372548.496887786</v>
      </c>
      <c r="W13" s="7">
        <f t="shared" si="2"/>
        <v>13127571.781779457</v>
      </c>
      <c r="X13" s="7">
        <f t="shared" si="2"/>
        <v>12356120.490731837</v>
      </c>
      <c r="Y13" s="10">
        <f t="shared" si="3"/>
        <v>7.0943113245410971E-2</v>
      </c>
      <c r="Z13" s="10">
        <f t="shared" si="8"/>
        <v>5.5014426610052916E-2</v>
      </c>
      <c r="AA13" s="10">
        <f t="shared" si="9"/>
        <v>-1.5928686635358055E-2</v>
      </c>
      <c r="AB13" s="10">
        <f t="shared" si="10"/>
        <v>7.0400000000000074E-2</v>
      </c>
      <c r="AC13" s="10">
        <f t="shared" si="11"/>
        <v>5.4315359999999993E-2</v>
      </c>
      <c r="AD13" s="10">
        <f t="shared" si="12"/>
        <v>-1.6084640000000081E-2</v>
      </c>
      <c r="AE13" s="10">
        <f t="shared" si="4"/>
        <v>0.31409449280000001</v>
      </c>
      <c r="AF13" s="10">
        <f t="shared" si="4"/>
        <v>0.23725484968877875</v>
      </c>
      <c r="AG13" s="10">
        <f t="shared" si="13"/>
        <v>-7.6839643111221267E-2</v>
      </c>
      <c r="AH13" s="10">
        <f t="shared" si="5"/>
        <v>0.31275717817794568</v>
      </c>
      <c r="AI13" s="10">
        <f t="shared" si="5"/>
        <v>0.23561204907318367</v>
      </c>
      <c r="AJ13" s="10">
        <f t="shared" si="14"/>
        <v>-7.7145129104762011E-2</v>
      </c>
      <c r="AK13" s="10">
        <f t="shared" si="6"/>
        <v>7.0672501853373371E-2</v>
      </c>
      <c r="AL13" s="10">
        <f t="shared" si="15"/>
        <v>5.466562508504591E-2</v>
      </c>
      <c r="AM13" s="10">
        <f t="shared" si="16"/>
        <v>-1.600687676832746E-2</v>
      </c>
      <c r="AN13" s="10">
        <f t="shared" si="17"/>
        <v>7.0400000000000018E-2</v>
      </c>
      <c r="AO13" s="10">
        <f t="shared" si="18"/>
        <v>5.4315359999999924E-2</v>
      </c>
      <c r="AP13" s="10">
        <f t="shared" si="19"/>
        <v>-1.6084640000000094E-2</v>
      </c>
    </row>
    <row r="14" spans="2:42" x14ac:dyDescent="0.45">
      <c r="B14" t="s">
        <v>7</v>
      </c>
      <c r="C14" s="4">
        <f>'Return Simulator'!D61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4936942.3380479999</v>
      </c>
      <c r="J14" s="7">
        <f t="shared" si="1"/>
        <v>4516836.0832790202</v>
      </c>
      <c r="K14" s="7">
        <f t="shared" si="1"/>
        <v>2115832.4305920005</v>
      </c>
      <c r="L14" s="7">
        <f t="shared" si="1"/>
        <v>2067306.2296874998</v>
      </c>
      <c r="M14" s="7">
        <f t="shared" si="1"/>
        <v>2858870.7</v>
      </c>
      <c r="N14" s="7">
        <f t="shared" si="1"/>
        <v>2591735.5617761575</v>
      </c>
      <c r="O14" s="7">
        <f t="shared" si="1"/>
        <v>1225230.3</v>
      </c>
      <c r="P14" s="7">
        <f t="shared" si="1"/>
        <v>1196334.6601469994</v>
      </c>
      <c r="Q14" s="7">
        <f t="shared" si="1"/>
        <v>2057059.30752</v>
      </c>
      <c r="R14" s="7">
        <f t="shared" si="1"/>
        <v>1822471.3104214035</v>
      </c>
      <c r="S14" s="7">
        <f t="shared" si="1"/>
        <v>881596.84608000028</v>
      </c>
      <c r="T14" s="7">
        <f t="shared" si="1"/>
        <v>861377.595703125</v>
      </c>
      <c r="U14" s="8">
        <f t="shared" si="7"/>
        <v>14075531.92224</v>
      </c>
      <c r="V14" s="8">
        <f t="shared" si="7"/>
        <v>13056061.441014206</v>
      </c>
      <c r="W14" s="7">
        <f t="shared" si="2"/>
        <v>14051752.835216731</v>
      </c>
      <c r="X14" s="7">
        <f t="shared" si="2"/>
        <v>13027247.623389313</v>
      </c>
      <c r="Y14" s="10">
        <f t="shared" si="3"/>
        <v>7.1120227606207717E-2</v>
      </c>
      <c r="Z14" s="10">
        <f t="shared" si="8"/>
        <v>5.5244313190475819E-2</v>
      </c>
      <c r="AA14" s="10">
        <f t="shared" si="9"/>
        <v>-1.5875914415731898E-2</v>
      </c>
      <c r="AB14" s="10">
        <f t="shared" si="10"/>
        <v>7.0400000000000018E-2</v>
      </c>
      <c r="AC14" s="10">
        <f t="shared" si="11"/>
        <v>5.4315359999999951E-2</v>
      </c>
      <c r="AD14" s="10">
        <f t="shared" si="12"/>
        <v>-1.6084640000000067E-2</v>
      </c>
      <c r="AE14" s="10">
        <f t="shared" si="4"/>
        <v>0.4075531922240001</v>
      </c>
      <c r="AF14" s="10">
        <f t="shared" si="4"/>
        <v>0.30560614410142084</v>
      </c>
      <c r="AG14" s="10">
        <f t="shared" si="13"/>
        <v>-0.10194704812257926</v>
      </c>
      <c r="AH14" s="10">
        <f t="shared" si="5"/>
        <v>0.40517528352167309</v>
      </c>
      <c r="AI14" s="10">
        <f t="shared" si="5"/>
        <v>0.30272476233893131</v>
      </c>
      <c r="AJ14" s="10">
        <f t="shared" si="14"/>
        <v>-0.10245052118274178</v>
      </c>
      <c r="AK14" s="10">
        <f t="shared" si="6"/>
        <v>7.0762032029570765E-2</v>
      </c>
      <c r="AL14" s="10">
        <f t="shared" si="15"/>
        <v>5.4781337312702183E-2</v>
      </c>
      <c r="AM14" s="10">
        <f t="shared" si="16"/>
        <v>-1.5980694716868582E-2</v>
      </c>
      <c r="AN14" s="10">
        <f t="shared" si="17"/>
        <v>7.0400000000000018E-2</v>
      </c>
      <c r="AO14" s="10">
        <f t="shared" si="18"/>
        <v>5.4315359999999924E-2</v>
      </c>
      <c r="AP14" s="10">
        <f t="shared" si="19"/>
        <v>-1.6084640000000094E-2</v>
      </c>
    </row>
    <row r="15" spans="2:42" x14ac:dyDescent="0.45">
      <c r="B15" t="s">
        <v>8</v>
      </c>
      <c r="C15" s="4">
        <f>'Return Simulator'!D62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5331897.7250918401</v>
      </c>
      <c r="J15" s="7">
        <f t="shared" si="1"/>
        <v>4792182.4109157091</v>
      </c>
      <c r="K15" s="7">
        <f t="shared" si="1"/>
        <v>2285099.0250393609</v>
      </c>
      <c r="L15" s="7">
        <f t="shared" si="1"/>
        <v>2222354.1969140624</v>
      </c>
      <c r="M15" s="7">
        <f t="shared" si="1"/>
        <v>3001814.2350000003</v>
      </c>
      <c r="N15" s="7">
        <f t="shared" si="1"/>
        <v>2668450.9344047317</v>
      </c>
      <c r="O15" s="7">
        <f t="shared" si="1"/>
        <v>1286491.8150000002</v>
      </c>
      <c r="P15" s="7">
        <f t="shared" si="1"/>
        <v>1250169.7198536142</v>
      </c>
      <c r="Q15" s="7">
        <f t="shared" si="1"/>
        <v>2221624.0521216001</v>
      </c>
      <c r="R15" s="7">
        <f t="shared" si="1"/>
        <v>1921176.3565938268</v>
      </c>
      <c r="S15" s="7">
        <f t="shared" si="1"/>
        <v>952124.59376640036</v>
      </c>
      <c r="T15" s="7">
        <f t="shared" si="1"/>
        <v>925980.91538085928</v>
      </c>
      <c r="U15" s="8">
        <f t="shared" si="7"/>
        <v>15079051.446019201</v>
      </c>
      <c r="V15" s="8">
        <f t="shared" si="7"/>
        <v>13780314.534062803</v>
      </c>
      <c r="W15" s="7">
        <f t="shared" si="2"/>
        <v>15040996.234815989</v>
      </c>
      <c r="X15" s="7">
        <f t="shared" si="2"/>
        <v>13734827.267862847</v>
      </c>
      <c r="Y15" s="10">
        <f t="shared" si="3"/>
        <v>7.1295317954811532E-2</v>
      </c>
      <c r="Z15" s="10">
        <f t="shared" si="8"/>
        <v>5.5472555511529222E-2</v>
      </c>
      <c r="AA15" s="10">
        <f t="shared" si="9"/>
        <v>-1.5822762443282311E-2</v>
      </c>
      <c r="AB15" s="10">
        <f t="shared" si="10"/>
        <v>7.0400000000000004E-2</v>
      </c>
      <c r="AC15" s="10">
        <f t="shared" si="11"/>
        <v>5.4315359999999931E-2</v>
      </c>
      <c r="AD15" s="10">
        <f t="shared" si="12"/>
        <v>-1.6084640000000074E-2</v>
      </c>
      <c r="AE15" s="10">
        <f t="shared" si="4"/>
        <v>0.50790514460192004</v>
      </c>
      <c r="AF15" s="10">
        <f t="shared" si="4"/>
        <v>0.37803145340628053</v>
      </c>
      <c r="AG15" s="10">
        <f t="shared" si="13"/>
        <v>-0.12987369119563952</v>
      </c>
      <c r="AH15" s="10">
        <f t="shared" si="5"/>
        <v>0.50409962348159887</v>
      </c>
      <c r="AI15" s="10">
        <f t="shared" si="5"/>
        <v>0.3734827267862848</v>
      </c>
      <c r="AJ15" s="10">
        <f t="shared" si="14"/>
        <v>-0.13061689669531407</v>
      </c>
      <c r="AK15" s="10">
        <f t="shared" si="6"/>
        <v>7.0850894578311729E-2</v>
      </c>
      <c r="AL15" s="10">
        <f t="shared" si="15"/>
        <v>5.4896508902293695E-2</v>
      </c>
      <c r="AM15" s="10">
        <f t="shared" si="16"/>
        <v>-1.5954385676018035E-2</v>
      </c>
      <c r="AN15" s="10">
        <f t="shared" si="17"/>
        <v>7.0400000000000018E-2</v>
      </c>
      <c r="AO15" s="10">
        <f t="shared" si="18"/>
        <v>5.4315359999999924E-2</v>
      </c>
      <c r="AP15" s="10">
        <f t="shared" si="19"/>
        <v>-1.6084640000000094E-2</v>
      </c>
    </row>
    <row r="16" spans="2:42" x14ac:dyDescent="0.45">
      <c r="B16" t="s">
        <v>9</v>
      </c>
      <c r="C16" s="4">
        <f>'Return Simulator'!D63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5758449.5430991873</v>
      </c>
      <c r="J16" s="7">
        <f t="shared" si="1"/>
        <v>5084313.8506851299</v>
      </c>
      <c r="K16" s="7">
        <f t="shared" si="1"/>
        <v>2467906.9470425099</v>
      </c>
      <c r="L16" s="7">
        <f t="shared" si="1"/>
        <v>2389030.761682617</v>
      </c>
      <c r="M16" s="7">
        <f t="shared" si="1"/>
        <v>3151904.9467500006</v>
      </c>
      <c r="N16" s="7">
        <f t="shared" si="1"/>
        <v>2747437.0820631119</v>
      </c>
      <c r="O16" s="7">
        <f t="shared" si="1"/>
        <v>1350816.4057500002</v>
      </c>
      <c r="P16" s="7">
        <f t="shared" si="1"/>
        <v>1306427.3572470269</v>
      </c>
      <c r="Q16" s="7">
        <f t="shared" si="1"/>
        <v>2399353.9762913282</v>
      </c>
      <c r="R16" s="7">
        <f t="shared" si="1"/>
        <v>2025227.2680669485</v>
      </c>
      <c r="S16" s="7">
        <f t="shared" si="1"/>
        <v>1028294.5612677125</v>
      </c>
      <c r="T16" s="7">
        <f t="shared" si="1"/>
        <v>995429.48403442372</v>
      </c>
      <c r="U16" s="8">
        <f t="shared" si="7"/>
        <v>16156726.38020074</v>
      </c>
      <c r="V16" s="8">
        <f t="shared" si="7"/>
        <v>14547865.803779259</v>
      </c>
      <c r="W16" s="7">
        <f t="shared" si="2"/>
        <v>16099882.369747035</v>
      </c>
      <c r="X16" s="7">
        <f t="shared" si="2"/>
        <v>14480839.355454633</v>
      </c>
      <c r="Y16" s="10">
        <f t="shared" si="3"/>
        <v>7.1468350515246803E-2</v>
      </c>
      <c r="Z16" s="10">
        <f t="shared" si="8"/>
        <v>5.5699111063044947E-2</v>
      </c>
      <c r="AA16" s="10">
        <f t="shared" si="9"/>
        <v>-1.5769239452201857E-2</v>
      </c>
      <c r="AB16" s="10">
        <f t="shared" si="10"/>
        <v>7.040000000000006E-2</v>
      </c>
      <c r="AC16" s="10">
        <f t="shared" si="11"/>
        <v>5.4315359999999924E-2</v>
      </c>
      <c r="AD16" s="10">
        <f t="shared" si="12"/>
        <v>-1.6084640000000136E-2</v>
      </c>
      <c r="AE16" s="10">
        <f t="shared" si="4"/>
        <v>0.6156726380200741</v>
      </c>
      <c r="AF16" s="10">
        <f t="shared" si="4"/>
        <v>0.45478658037792608</v>
      </c>
      <c r="AG16" s="10">
        <f t="shared" si="13"/>
        <v>-0.16088605764214803</v>
      </c>
      <c r="AH16" s="10">
        <f t="shared" si="5"/>
        <v>0.60998823697470339</v>
      </c>
      <c r="AI16" s="10">
        <f t="shared" si="5"/>
        <v>0.44808393554546333</v>
      </c>
      <c r="AJ16" s="10">
        <f t="shared" si="14"/>
        <v>-0.16190430142924006</v>
      </c>
      <c r="AK16" s="10">
        <f t="shared" si="6"/>
        <v>7.0939080779508279E-2</v>
      </c>
      <c r="AL16" s="10">
        <f t="shared" si="15"/>
        <v>5.5011128984828961E-2</v>
      </c>
      <c r="AM16" s="10">
        <f t="shared" si="16"/>
        <v>-1.5927951794679318E-2</v>
      </c>
      <c r="AN16" s="10">
        <f t="shared" si="17"/>
        <v>7.0400000000000018E-2</v>
      </c>
      <c r="AO16" s="10">
        <f t="shared" si="18"/>
        <v>5.4315359999999924E-2</v>
      </c>
      <c r="AP16" s="10">
        <f t="shared" si="19"/>
        <v>-1.6084640000000094E-2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6219125.5065471223</v>
      </c>
      <c r="J17" s="7">
        <f t="shared" si="1"/>
        <v>5394253.6230228953</v>
      </c>
      <c r="K17" s="7">
        <f t="shared" si="1"/>
        <v>2665339.502805911</v>
      </c>
      <c r="L17" s="7">
        <f t="shared" si="1"/>
        <v>2568208.0688088131</v>
      </c>
      <c r="M17" s="7">
        <f t="shared" si="1"/>
        <v>3309500.1940875007</v>
      </c>
      <c r="N17" s="7">
        <f t="shared" si="1"/>
        <v>2828761.2196921804</v>
      </c>
      <c r="O17" s="7">
        <f t="shared" si="1"/>
        <v>1418357.2260375002</v>
      </c>
      <c r="P17" s="7">
        <f t="shared" si="1"/>
        <v>1365216.5883231431</v>
      </c>
      <c r="Q17" s="7">
        <f t="shared" si="1"/>
        <v>2591302.2943946347</v>
      </c>
      <c r="R17" s="7">
        <f t="shared" si="1"/>
        <v>2134913.5769054545</v>
      </c>
      <c r="S17" s="7">
        <f t="shared" si="1"/>
        <v>1110558.1261691295</v>
      </c>
      <c r="T17" s="7">
        <f t="shared" si="1"/>
        <v>1070086.6953370054</v>
      </c>
      <c r="U17" s="8">
        <f t="shared" si="7"/>
        <v>17314182.850041799</v>
      </c>
      <c r="V17" s="8">
        <f t="shared" si="7"/>
        <v>15361439.772089489</v>
      </c>
      <c r="W17" s="7">
        <f t="shared" si="2"/>
        <v>17233314.088577226</v>
      </c>
      <c r="X17" s="7">
        <f t="shared" si="2"/>
        <v>15267371.358148318</v>
      </c>
      <c r="Y17" s="10">
        <f t="shared" si="3"/>
        <v>7.1639293914110239E-2</v>
      </c>
      <c r="Z17" s="10">
        <f t="shared" si="8"/>
        <v>5.5923939585618011E-2</v>
      </c>
      <c r="AA17" s="10">
        <f t="shared" si="9"/>
        <v>-1.5715354328492227E-2</v>
      </c>
      <c r="AB17" s="10">
        <f t="shared" si="10"/>
        <v>7.0399999999999963E-2</v>
      </c>
      <c r="AC17" s="10">
        <f t="shared" si="11"/>
        <v>5.4315359999999889E-2</v>
      </c>
      <c r="AD17" s="10">
        <f t="shared" si="12"/>
        <v>-1.6084640000000074E-2</v>
      </c>
      <c r="AE17" s="10">
        <f t="shared" si="4"/>
        <v>0.73141828500417994</v>
      </c>
      <c r="AF17" s="10">
        <f t="shared" si="4"/>
        <v>0.53614397720894891</v>
      </c>
      <c r="AG17" s="10">
        <f t="shared" si="13"/>
        <v>-0.19527430779523103</v>
      </c>
      <c r="AH17" s="10">
        <f t="shared" si="5"/>
        <v>0.72333140885772251</v>
      </c>
      <c r="AI17" s="10">
        <f t="shared" si="5"/>
        <v>0.52673713581483184</v>
      </c>
      <c r="AJ17" s="10">
        <f t="shared" si="14"/>
        <v>-0.19659427304289068</v>
      </c>
      <c r="AK17" s="10">
        <f t="shared" si="6"/>
        <v>7.1026582394472459E-2</v>
      </c>
      <c r="AL17" s="10">
        <f t="shared" si="15"/>
        <v>5.5125187142356591E-2</v>
      </c>
      <c r="AM17" s="10">
        <f t="shared" si="16"/>
        <v>-1.5901395252115869E-2</v>
      </c>
      <c r="AN17" s="10">
        <f t="shared" si="17"/>
        <v>7.0400000000000018E-2</v>
      </c>
      <c r="AO17" s="10">
        <f t="shared" si="18"/>
        <v>5.4315359999999924E-2</v>
      </c>
      <c r="AP17" s="10">
        <f t="shared" si="19"/>
        <v>-1.6084640000000094E-2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6716655.5470708925</v>
      </c>
      <c r="J18" s="7">
        <f t="shared" si="1"/>
        <v>5723087.3238823703</v>
      </c>
      <c r="K18" s="7">
        <f t="shared" si="1"/>
        <v>2878566.6630303841</v>
      </c>
      <c r="L18" s="7">
        <f t="shared" si="1"/>
        <v>2760823.6739694742</v>
      </c>
      <c r="M18" s="7">
        <f t="shared" si="1"/>
        <v>3474975.2037918759</v>
      </c>
      <c r="N18" s="7">
        <f t="shared" si="1"/>
        <v>2912492.5517950691</v>
      </c>
      <c r="O18" s="7">
        <f t="shared" si="1"/>
        <v>1489275.0873393752</v>
      </c>
      <c r="P18" s="7">
        <f t="shared" si="1"/>
        <v>1426651.3347976843</v>
      </c>
      <c r="Q18" s="7">
        <f t="shared" si="1"/>
        <v>2798606.4779462055</v>
      </c>
      <c r="R18" s="7">
        <f t="shared" si="1"/>
        <v>2250540.496230654</v>
      </c>
      <c r="S18" s="7">
        <f t="shared" si="1"/>
        <v>1199402.77626266</v>
      </c>
      <c r="T18" s="7">
        <f t="shared" si="1"/>
        <v>1150343.1974872807</v>
      </c>
      <c r="U18" s="8">
        <f t="shared" si="7"/>
        <v>18557481.755441394</v>
      </c>
      <c r="V18" s="8">
        <f t="shared" si="7"/>
        <v>16223938.578162532</v>
      </c>
      <c r="W18" s="7">
        <f t="shared" si="2"/>
        <v>18446539.400413062</v>
      </c>
      <c r="X18" s="7">
        <f t="shared" si="2"/>
        <v>16096624.129719831</v>
      </c>
      <c r="Y18" s="10">
        <f t="shared" si="3"/>
        <v>7.1808119168418796E-2</v>
      </c>
      <c r="Z18" s="10">
        <f t="shared" si="8"/>
        <v>5.61470030719474E-2</v>
      </c>
      <c r="AA18" s="10">
        <f t="shared" si="9"/>
        <v>-1.5661116096471396E-2</v>
      </c>
      <c r="AB18" s="10">
        <f t="shared" si="10"/>
        <v>7.039999999999999E-2</v>
      </c>
      <c r="AC18" s="10">
        <f t="shared" si="11"/>
        <v>5.4315359999999896E-2</v>
      </c>
      <c r="AD18" s="10">
        <f t="shared" si="12"/>
        <v>-1.6084640000000094E-2</v>
      </c>
      <c r="AE18" s="10">
        <f t="shared" si="4"/>
        <v>0.8557481755441394</v>
      </c>
      <c r="AF18" s="10">
        <f t="shared" si="4"/>
        <v>0.62239385781625312</v>
      </c>
      <c r="AG18" s="10">
        <f t="shared" si="13"/>
        <v>-0.23335431772788628</v>
      </c>
      <c r="AH18" s="10">
        <f t="shared" si="5"/>
        <v>0.84465394004130623</v>
      </c>
      <c r="AI18" s="10">
        <f t="shared" si="5"/>
        <v>0.6096624129719832</v>
      </c>
      <c r="AJ18" s="10">
        <f t="shared" si="14"/>
        <v>-0.23499152706932303</v>
      </c>
      <c r="AK18" s="10">
        <f t="shared" si="6"/>
        <v>7.1113391664079595E-2</v>
      </c>
      <c r="AL18" s="10">
        <f t="shared" si="15"/>
        <v>5.5238673408348093E-2</v>
      </c>
      <c r="AM18" s="10">
        <f t="shared" si="16"/>
        <v>-1.5874718255731501E-2</v>
      </c>
      <c r="AN18" s="10">
        <f t="shared" si="17"/>
        <v>7.0400000000000018E-2</v>
      </c>
      <c r="AO18" s="10">
        <f t="shared" si="18"/>
        <v>5.4315359999999924E-2</v>
      </c>
      <c r="AP18" s="10">
        <f t="shared" si="19"/>
        <v>-1.6084640000000094E-2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7253987.9908365645</v>
      </c>
      <c r="J19" s="7">
        <f t="shared" si="1"/>
        <v>6071966.727146239</v>
      </c>
      <c r="K19" s="7">
        <f t="shared" si="1"/>
        <v>3108851.9960728153</v>
      </c>
      <c r="L19" s="7">
        <f t="shared" si="1"/>
        <v>2967885.4495171844</v>
      </c>
      <c r="M19" s="7">
        <f t="shared" si="1"/>
        <v>3648723.9639814696</v>
      </c>
      <c r="N19" s="7">
        <f t="shared" si="1"/>
        <v>2998702.3313282034</v>
      </c>
      <c r="O19" s="7">
        <f t="shared" si="1"/>
        <v>1563738.8417063439</v>
      </c>
      <c r="P19" s="7">
        <f t="shared" si="1"/>
        <v>1490850.6448635801</v>
      </c>
      <c r="Q19" s="7">
        <f t="shared" si="1"/>
        <v>3022494.996181902</v>
      </c>
      <c r="R19" s="7">
        <f t="shared" si="1"/>
        <v>2372429.7695065062</v>
      </c>
      <c r="S19" s="7">
        <f t="shared" si="1"/>
        <v>1295354.998363673</v>
      </c>
      <c r="T19" s="7">
        <f t="shared" si="1"/>
        <v>1236618.9372988266</v>
      </c>
      <c r="U19" s="8">
        <f t="shared" si="7"/>
        <v>19893152.787142769</v>
      </c>
      <c r="V19" s="8">
        <f t="shared" si="7"/>
        <v>17138453.85966054</v>
      </c>
      <c r="W19" s="7">
        <f t="shared" si="2"/>
        <v>19745175.774202142</v>
      </c>
      <c r="X19" s="7">
        <f t="shared" si="2"/>
        <v>16970918.064110249</v>
      </c>
      <c r="Y19" s="10">
        <f t="shared" si="3"/>
        <v>7.1974799668588205E-2</v>
      </c>
      <c r="Z19" s="10">
        <f t="shared" si="8"/>
        <v>5.6368265763095754E-2</v>
      </c>
      <c r="AA19" s="10">
        <f t="shared" si="9"/>
        <v>-1.5606533905492451E-2</v>
      </c>
      <c r="AB19" s="10">
        <f t="shared" si="10"/>
        <v>7.039999999999999E-2</v>
      </c>
      <c r="AC19" s="10">
        <f t="shared" si="11"/>
        <v>5.4315359999999931E-2</v>
      </c>
      <c r="AD19" s="10">
        <f t="shared" si="12"/>
        <v>-1.608464000000006E-2</v>
      </c>
      <c r="AE19" s="10">
        <f t="shared" si="4"/>
        <v>0.98931527871427694</v>
      </c>
      <c r="AF19" s="10">
        <f t="shared" si="4"/>
        <v>0.71384538596605385</v>
      </c>
      <c r="AG19" s="10">
        <f t="shared" si="13"/>
        <v>-0.27546989274822309</v>
      </c>
      <c r="AH19" s="10">
        <f t="shared" si="5"/>
        <v>0.97451757742021416</v>
      </c>
      <c r="AI19" s="10">
        <f t="shared" si="5"/>
        <v>0.69709180641102497</v>
      </c>
      <c r="AJ19" s="10">
        <f t="shared" si="14"/>
        <v>-0.27742577100918919</v>
      </c>
      <c r="AK19" s="10">
        <f t="shared" si="6"/>
        <v>7.1199501306231427E-2</v>
      </c>
      <c r="AL19" s="10">
        <f t="shared" si="15"/>
        <v>5.5351578267354595E-2</v>
      </c>
      <c r="AM19" s="10">
        <f t="shared" si="16"/>
        <v>-1.5847923038876832E-2</v>
      </c>
      <c r="AN19" s="10">
        <f t="shared" si="17"/>
        <v>7.0400000000000018E-2</v>
      </c>
      <c r="AO19" s="10">
        <f t="shared" si="18"/>
        <v>5.4315359999999924E-2</v>
      </c>
      <c r="AP19" s="10">
        <f t="shared" si="19"/>
        <v>-1.6084640000000094E-2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7834307.0301034898</v>
      </c>
      <c r="J20" s="7">
        <f t="shared" si="1"/>
        <v>6442113.8188330736</v>
      </c>
      <c r="K20" s="7">
        <f t="shared" si="1"/>
        <v>3357560.1557586407</v>
      </c>
      <c r="L20" s="7">
        <f t="shared" si="1"/>
        <v>3190476.8582309731</v>
      </c>
      <c r="M20" s="7">
        <f t="shared" si="1"/>
        <v>3831160.1621805434</v>
      </c>
      <c r="N20" s="7">
        <f t="shared" si="1"/>
        <v>3087463.9203355187</v>
      </c>
      <c r="O20" s="7">
        <f t="shared" si="1"/>
        <v>1641925.7837916613</v>
      </c>
      <c r="P20" s="7">
        <f t="shared" si="1"/>
        <v>1557938.9238824411</v>
      </c>
      <c r="Q20" s="7">
        <f t="shared" si="1"/>
        <v>3264294.5958764544</v>
      </c>
      <c r="R20" s="7">
        <f t="shared" si="1"/>
        <v>2500920.5658229785</v>
      </c>
      <c r="S20" s="7">
        <f t="shared" si="1"/>
        <v>1398983.3982327669</v>
      </c>
      <c r="T20" s="7">
        <f t="shared" si="1"/>
        <v>1329365.3575962386</v>
      </c>
      <c r="U20" s="8">
        <f t="shared" si="7"/>
        <v>21328231.125943556</v>
      </c>
      <c r="V20" s="8">
        <f t="shared" si="7"/>
        <v>18108279.444701221</v>
      </c>
      <c r="W20" s="7">
        <f t="shared" si="2"/>
        <v>21135236.148705974</v>
      </c>
      <c r="X20" s="7">
        <f t="shared" si="2"/>
        <v>17892699.5882929</v>
      </c>
      <c r="Y20" s="10">
        <f t="shared" si="3"/>
        <v>7.2139311156766445E-2</v>
      </c>
      <c r="Z20" s="10">
        <f t="shared" si="8"/>
        <v>5.6587694139866265E-2</v>
      </c>
      <c r="AA20" s="10">
        <f t="shared" si="9"/>
        <v>-1.5551617016900179E-2</v>
      </c>
      <c r="AB20" s="10">
        <f t="shared" si="10"/>
        <v>7.0400000000000074E-2</v>
      </c>
      <c r="AC20" s="10">
        <f t="shared" si="11"/>
        <v>5.4315359999999993E-2</v>
      </c>
      <c r="AD20" s="10">
        <f t="shared" si="12"/>
        <v>-1.6084640000000081E-2</v>
      </c>
      <c r="AE20" s="10">
        <f t="shared" si="4"/>
        <v>1.1328231125943558</v>
      </c>
      <c r="AF20" s="10">
        <f t="shared" si="4"/>
        <v>0.81082794447012185</v>
      </c>
      <c r="AG20" s="10">
        <f t="shared" si="13"/>
        <v>-0.3219951681242339</v>
      </c>
      <c r="AH20" s="10">
        <f t="shared" si="5"/>
        <v>1.1135236148705974</v>
      </c>
      <c r="AI20" s="10">
        <f t="shared" si="5"/>
        <v>0.78926995882928996</v>
      </c>
      <c r="AJ20" s="10">
        <f t="shared" si="14"/>
        <v>-0.3242536560413074</v>
      </c>
      <c r="AK20" s="10">
        <f t="shared" si="6"/>
        <v>7.1284904512645797E-2</v>
      </c>
      <c r="AL20" s="10">
        <f t="shared" si="15"/>
        <v>5.5463892653952351E-2</v>
      </c>
      <c r="AM20" s="10">
        <f t="shared" si="16"/>
        <v>-1.5821011858693446E-2</v>
      </c>
      <c r="AN20" s="10">
        <f t="shared" si="17"/>
        <v>7.0400000000000018E-2</v>
      </c>
      <c r="AO20" s="10">
        <f t="shared" si="18"/>
        <v>5.4315359999999924E-2</v>
      </c>
      <c r="AP20" s="10">
        <f t="shared" si="19"/>
        <v>-1.6084640000000094E-2</v>
      </c>
    </row>
    <row r="21" spans="2:42" x14ac:dyDescent="0.45">
      <c r="B21" s="32" t="s">
        <v>42</v>
      </c>
      <c r="C21" s="33" t="s">
        <v>76</v>
      </c>
      <c r="D21" s="33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8461051.5925117694</v>
      </c>
      <c r="J21" s="7">
        <f t="shared" si="1"/>
        <v>6834825.0772291375</v>
      </c>
      <c r="K21" s="7">
        <f t="shared" si="1"/>
        <v>3626164.9682193324</v>
      </c>
      <c r="L21" s="7">
        <f t="shared" si="1"/>
        <v>3429762.622598296</v>
      </c>
      <c r="M21" s="7">
        <f t="shared" si="1"/>
        <v>4022718.1702895709</v>
      </c>
      <c r="N21" s="7">
        <f t="shared" si="1"/>
        <v>3178852.8523774501</v>
      </c>
      <c r="O21" s="7">
        <f t="shared" si="1"/>
        <v>1724022.0729812444</v>
      </c>
      <c r="P21" s="7">
        <f t="shared" si="1"/>
        <v>1628046.1754571509</v>
      </c>
      <c r="Q21" s="7">
        <f t="shared" si="1"/>
        <v>3525438.163546571</v>
      </c>
      <c r="R21" s="7">
        <f t="shared" si="1"/>
        <v>2636370.423667951</v>
      </c>
      <c r="S21" s="7">
        <f t="shared" si="1"/>
        <v>1510902.0700913884</v>
      </c>
      <c r="T21" s="7">
        <f t="shared" si="1"/>
        <v>1429067.7594159564</v>
      </c>
      <c r="U21" s="8">
        <f t="shared" si="7"/>
        <v>22870297.037639875</v>
      </c>
      <c r="V21" s="8">
        <f t="shared" si="7"/>
        <v>19136924.910745945</v>
      </c>
      <c r="W21" s="7">
        <f t="shared" si="2"/>
        <v>22623156.773574874</v>
      </c>
      <c r="X21" s="7">
        <f t="shared" si="2"/>
        <v>18864548.007802881</v>
      </c>
      <c r="Y21" s="10">
        <f t="shared" si="3"/>
        <v>7.2301631700744134E-2</v>
      </c>
      <c r="Z21" s="10">
        <f t="shared" si="8"/>
        <v>5.6805256909469803E-2</v>
      </c>
      <c r="AA21" s="10">
        <f t="shared" si="9"/>
        <v>-1.5496374791274331E-2</v>
      </c>
      <c r="AB21" s="10">
        <f t="shared" si="10"/>
        <v>7.0399999999999949E-2</v>
      </c>
      <c r="AC21" s="10">
        <f t="shared" si="11"/>
        <v>5.4315360000000007E-2</v>
      </c>
      <c r="AD21" s="10">
        <f t="shared" si="12"/>
        <v>-1.6084639999999942E-2</v>
      </c>
      <c r="AE21" s="10">
        <f t="shared" si="4"/>
        <v>1.2870297037639875</v>
      </c>
      <c r="AF21" s="10">
        <f t="shared" si="4"/>
        <v>0.91369249107459449</v>
      </c>
      <c r="AG21" s="10">
        <f t="shared" si="13"/>
        <v>-0.37333721268939302</v>
      </c>
      <c r="AH21" s="10">
        <f t="shared" si="5"/>
        <v>1.2623156773574875</v>
      </c>
      <c r="AI21" s="10">
        <f t="shared" si="5"/>
        <v>0.88645480078028793</v>
      </c>
      <c r="AJ21" s="10">
        <f t="shared" si="14"/>
        <v>-0.37586087657719958</v>
      </c>
      <c r="AK21" s="10">
        <f t="shared" si="6"/>
        <v>7.1369594945001724E-2</v>
      </c>
      <c r="AL21" s="10">
        <f t="shared" si="15"/>
        <v>5.5575607951009465E-2</v>
      </c>
      <c r="AM21" s="10">
        <f t="shared" si="16"/>
        <v>-1.5793986993992259E-2</v>
      </c>
      <c r="AN21" s="10">
        <f t="shared" si="17"/>
        <v>7.0400000000000018E-2</v>
      </c>
      <c r="AO21" s="10">
        <f t="shared" si="18"/>
        <v>5.4315359999999924E-2</v>
      </c>
      <c r="AP21" s="10">
        <f t="shared" si="19"/>
        <v>-1.6084640000000094E-2</v>
      </c>
    </row>
    <row r="22" spans="2:42" x14ac:dyDescent="0.45">
      <c r="B22" t="s">
        <v>43</v>
      </c>
      <c r="C22" s="8">
        <f>_xlfn.XLOOKUP(C3,G:G,V:V)</f>
        <v>29988397.026908625</v>
      </c>
      <c r="D22" s="8">
        <f>_xlfn.XLOOKUP(C3,G:G,X:X)</f>
        <v>28801205.99387436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9137935.7199127115</v>
      </c>
      <c r="J22" s="7">
        <f t="shared" si="1"/>
        <v>7251476.0139370253</v>
      </c>
      <c r="K22" s="7">
        <f t="shared" si="1"/>
        <v>3916258.1656768792</v>
      </c>
      <c r="L22" s="7">
        <f t="shared" si="1"/>
        <v>3686994.8192931679</v>
      </c>
      <c r="M22" s="7">
        <f t="shared" si="1"/>
        <v>4223854.0788040496</v>
      </c>
      <c r="N22" s="7">
        <f t="shared" si="1"/>
        <v>3272946.8968078229</v>
      </c>
      <c r="O22" s="7">
        <f t="shared" si="1"/>
        <v>1810223.1766303068</v>
      </c>
      <c r="P22" s="7">
        <f t="shared" si="1"/>
        <v>1701308.2533527226</v>
      </c>
      <c r="Q22" s="7">
        <f t="shared" si="1"/>
        <v>3807473.2166302968</v>
      </c>
      <c r="R22" s="7">
        <f t="shared" si="1"/>
        <v>2779156.245813807</v>
      </c>
      <c r="S22" s="7">
        <f t="shared" si="1"/>
        <v>1631774.2356986997</v>
      </c>
      <c r="T22" s="7">
        <f t="shared" si="1"/>
        <v>1536247.841372153</v>
      </c>
      <c r="U22" s="8">
        <f t="shared" si="7"/>
        <v>24527518.593352944</v>
      </c>
      <c r="V22" s="8">
        <f t="shared" si="7"/>
        <v>20228130.070576701</v>
      </c>
      <c r="W22" s="7">
        <f t="shared" si="2"/>
        <v>24215827.010434546</v>
      </c>
      <c r="X22" s="7">
        <f t="shared" si="2"/>
        <v>19889182.724083975</v>
      </c>
      <c r="Y22" s="10">
        <f t="shared" si="3"/>
        <v>7.2461741663679219E-2</v>
      </c>
      <c r="Z22" s="10">
        <f t="shared" si="8"/>
        <v>5.7020924987692914E-2</v>
      </c>
      <c r="AA22" s="10">
        <f t="shared" si="9"/>
        <v>-1.5440816675986305E-2</v>
      </c>
      <c r="AB22" s="10">
        <f t="shared" si="10"/>
        <v>7.0400000000000032E-2</v>
      </c>
      <c r="AC22" s="10">
        <f t="shared" si="11"/>
        <v>5.4315359999999861E-2</v>
      </c>
      <c r="AD22" s="10">
        <f t="shared" si="12"/>
        <v>-1.6084640000000171E-2</v>
      </c>
      <c r="AE22" s="10">
        <f t="shared" si="4"/>
        <v>1.4527518593352946</v>
      </c>
      <c r="AF22" s="10">
        <f t="shared" si="4"/>
        <v>1.0228130070576702</v>
      </c>
      <c r="AG22" s="10">
        <f t="shared" si="13"/>
        <v>-0.42993885227762441</v>
      </c>
      <c r="AH22" s="10">
        <f t="shared" si="5"/>
        <v>1.4215827010434547</v>
      </c>
      <c r="AI22" s="10">
        <f t="shared" si="5"/>
        <v>0.98891827240839736</v>
      </c>
      <c r="AJ22" s="10">
        <f t="shared" si="14"/>
        <v>-0.43266442863505739</v>
      </c>
      <c r="AK22" s="10">
        <f t="shared" si="6"/>
        <v>7.1453566730468987E-2</v>
      </c>
      <c r="AL22" s="10">
        <f t="shared" si="15"/>
        <v>5.5686715987289803E-2</v>
      </c>
      <c r="AM22" s="10">
        <f t="shared" si="16"/>
        <v>-1.5766850743179184E-2</v>
      </c>
      <c r="AN22" s="10">
        <f t="shared" si="17"/>
        <v>7.0400000000000018E-2</v>
      </c>
      <c r="AO22" s="10">
        <f t="shared" si="18"/>
        <v>5.4315359999999924E-2</v>
      </c>
      <c r="AP22" s="10">
        <f t="shared" si="19"/>
        <v>-1.6084640000000094E-2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9868970.5775057282</v>
      </c>
      <c r="J23" s="7">
        <f t="shared" si="1"/>
        <v>7693525.9917466259</v>
      </c>
      <c r="K23" s="7">
        <f t="shared" si="1"/>
        <v>4229558.8189310301</v>
      </c>
      <c r="L23" s="7">
        <f t="shared" si="1"/>
        <v>3963519.4307401553</v>
      </c>
      <c r="M23" s="7">
        <f t="shared" si="1"/>
        <v>4435046.7827442521</v>
      </c>
      <c r="N23" s="7">
        <f t="shared" si="1"/>
        <v>3369826.1249533347</v>
      </c>
      <c r="O23" s="7">
        <f t="shared" si="1"/>
        <v>1900734.3354618221</v>
      </c>
      <c r="P23" s="7">
        <f t="shared" si="1"/>
        <v>1777867.1247535951</v>
      </c>
      <c r="Q23" s="7">
        <f t="shared" si="1"/>
        <v>4112071.073960721</v>
      </c>
      <c r="R23" s="7">
        <f t="shared" si="1"/>
        <v>2929675.3480870826</v>
      </c>
      <c r="S23" s="7">
        <f t="shared" si="1"/>
        <v>1762316.1745545957</v>
      </c>
      <c r="T23" s="7">
        <f t="shared" si="1"/>
        <v>1651466.4294750644</v>
      </c>
      <c r="U23" s="8">
        <f t="shared" si="7"/>
        <v>26308697.76315815</v>
      </c>
      <c r="V23" s="8">
        <f t="shared" si="7"/>
        <v>21385880.449755862</v>
      </c>
      <c r="W23" s="7">
        <f t="shared" si="2"/>
        <v>25920621.231969137</v>
      </c>
      <c r="X23" s="7">
        <f t="shared" si="2"/>
        <v>20969470.843848374</v>
      </c>
      <c r="Y23" s="10">
        <f t="shared" si="3"/>
        <v>7.261962366987719E-2</v>
      </c>
      <c r="Z23" s="10">
        <f t="shared" si="8"/>
        <v>5.7234671476786375E-2</v>
      </c>
      <c r="AA23" s="10">
        <f t="shared" si="9"/>
        <v>-1.5384952193090815E-2</v>
      </c>
      <c r="AB23" s="10">
        <f t="shared" si="10"/>
        <v>7.0399999999999963E-2</v>
      </c>
      <c r="AC23" s="10">
        <f t="shared" si="11"/>
        <v>5.4315359999999847E-2</v>
      </c>
      <c r="AD23" s="10">
        <f t="shared" si="12"/>
        <v>-1.6084640000000115E-2</v>
      </c>
      <c r="AE23" s="10">
        <f t="shared" si="4"/>
        <v>1.6308697763158153</v>
      </c>
      <c r="AF23" s="10">
        <f t="shared" si="4"/>
        <v>1.1385880449755863</v>
      </c>
      <c r="AG23" s="10">
        <f t="shared" si="13"/>
        <v>-0.49228173134022901</v>
      </c>
      <c r="AH23" s="10">
        <f t="shared" si="5"/>
        <v>1.5920621231969139</v>
      </c>
      <c r="AI23" s="10">
        <f t="shared" si="5"/>
        <v>1.0969470843848375</v>
      </c>
      <c r="AJ23" s="10">
        <f t="shared" si="14"/>
        <v>-0.49511503881207641</v>
      </c>
      <c r="AK23" s="10">
        <f t="shared" si="6"/>
        <v>7.1536814456651499E-2</v>
      </c>
      <c r="AL23" s="10">
        <f t="shared" si="15"/>
        <v>5.5797209034427864E-2</v>
      </c>
      <c r="AM23" s="10">
        <f t="shared" si="16"/>
        <v>-1.5739605422223635E-2</v>
      </c>
      <c r="AN23" s="10">
        <f t="shared" si="17"/>
        <v>7.0400000000000018E-2</v>
      </c>
      <c r="AO23" s="10">
        <f t="shared" si="18"/>
        <v>5.4315359999999924E-2</v>
      </c>
      <c r="AP23" s="10">
        <f t="shared" si="19"/>
        <v>-1.6084640000000094E-2</v>
      </c>
    </row>
    <row r="24" spans="2:42" x14ac:dyDescent="0.45">
      <c r="B24" t="s">
        <v>62</v>
      </c>
      <c r="C24" s="9">
        <f>_xlfn.XLOOKUP(C3,G:G,AE:AE)</f>
        <v>3.0185061234637436</v>
      </c>
      <c r="D24" s="9">
        <f>_xlfn.XLOOKUP(C3,G:G,AH:AH)</f>
        <v>2.8987196635413923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10658488.223706188</v>
      </c>
      <c r="J24" s="7">
        <f t="shared" si="1"/>
        <v>8162523.3362034997</v>
      </c>
      <c r="K24" s="7">
        <f t="shared" si="1"/>
        <v>4567923.5244455133</v>
      </c>
      <c r="L24" s="7">
        <f t="shared" si="1"/>
        <v>4260783.3880456667</v>
      </c>
      <c r="M24" s="7">
        <f t="shared" si="1"/>
        <v>4656799.1218814645</v>
      </c>
      <c r="N24" s="7">
        <f t="shared" si="1"/>
        <v>3469572.9782519536</v>
      </c>
      <c r="O24" s="7">
        <f t="shared" si="1"/>
        <v>1995771.0522349132</v>
      </c>
      <c r="P24" s="7">
        <f t="shared" si="1"/>
        <v>1857871.1453675067</v>
      </c>
      <c r="Q24" s="7">
        <f t="shared" si="1"/>
        <v>4441036.7598775793</v>
      </c>
      <c r="R24" s="7">
        <f t="shared" si="1"/>
        <v>3088346.5649394789</v>
      </c>
      <c r="S24" s="7">
        <f t="shared" si="1"/>
        <v>1903301.4685189635</v>
      </c>
      <c r="T24" s="7">
        <f t="shared" si="1"/>
        <v>1775326.4116856942</v>
      </c>
      <c r="U24" s="8">
        <f t="shared" si="7"/>
        <v>28223320.150664628</v>
      </c>
      <c r="V24" s="8">
        <f t="shared" si="7"/>
        <v>22614423.824493799</v>
      </c>
      <c r="W24" s="7">
        <f t="shared" si="2"/>
        <v>27745432.966699764</v>
      </c>
      <c r="X24" s="7">
        <f t="shared" si="2"/>
        <v>22108435.201741502</v>
      </c>
      <c r="Y24" s="10">
        <f t="shared" si="3"/>
        <v>7.2775262566878274E-2</v>
      </c>
      <c r="Z24" s="10">
        <f t="shared" si="8"/>
        <v>5.7446471639280197E-2</v>
      </c>
      <c r="AA24" s="10">
        <f t="shared" si="9"/>
        <v>-1.5328790927598077E-2</v>
      </c>
      <c r="AB24" s="10">
        <f t="shared" si="10"/>
        <v>7.0400000000000004E-2</v>
      </c>
      <c r="AC24" s="10">
        <f t="shared" si="11"/>
        <v>5.4315359999999986E-2</v>
      </c>
      <c r="AD24" s="10">
        <f t="shared" si="12"/>
        <v>-1.6084640000000018E-2</v>
      </c>
      <c r="AE24" s="10">
        <f t="shared" si="4"/>
        <v>1.822332015066463</v>
      </c>
      <c r="AF24" s="10">
        <f t="shared" si="4"/>
        <v>1.2614423824493799</v>
      </c>
      <c r="AG24" s="10">
        <f t="shared" si="13"/>
        <v>-0.56088963261708313</v>
      </c>
      <c r="AH24" s="10">
        <f t="shared" si="5"/>
        <v>1.7745432966699766</v>
      </c>
      <c r="AI24" s="10">
        <f t="shared" si="5"/>
        <v>1.2108435201741501</v>
      </c>
      <c r="AJ24" s="10">
        <f t="shared" si="14"/>
        <v>-0.56369977649582648</v>
      </c>
      <c r="AK24" s="10">
        <f t="shared" si="6"/>
        <v>7.161933316597513E-2</v>
      </c>
      <c r="AL24" s="10">
        <f t="shared" si="15"/>
        <v>5.5907079803296789E-2</v>
      </c>
      <c r="AM24" s="10">
        <f t="shared" si="16"/>
        <v>-1.5712253362678341E-2</v>
      </c>
      <c r="AN24" s="10">
        <f t="shared" si="17"/>
        <v>7.0400000000000018E-2</v>
      </c>
      <c r="AO24" s="10">
        <f t="shared" si="18"/>
        <v>5.4315359999999924E-2</v>
      </c>
      <c r="AP24" s="10">
        <f t="shared" si="19"/>
        <v>-1.6084640000000094E-2</v>
      </c>
    </row>
    <row r="25" spans="2:42" x14ac:dyDescent="0.45">
      <c r="B25" t="s">
        <v>64</v>
      </c>
      <c r="C25" s="9">
        <f>_xlfn.XLOOKUP(C3,G:G,AF:AF)</f>
        <v>1.9988397026908626</v>
      </c>
      <c r="D25" s="9">
        <f>_xlfn.XLOOKUP(C3,G:G,AI:AI)</f>
        <v>1.8801205993874355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11511167.281602683</v>
      </c>
      <c r="J25" s="7">
        <f t="shared" si="1"/>
        <v>8660110.758778464</v>
      </c>
      <c r="K25" s="7">
        <f t="shared" si="1"/>
        <v>4933357.4064011546</v>
      </c>
      <c r="L25" s="7">
        <f t="shared" si="1"/>
        <v>4580342.1421490917</v>
      </c>
      <c r="M25" s="7">
        <f t="shared" si="1"/>
        <v>4889639.0779755376</v>
      </c>
      <c r="N25" s="7">
        <f t="shared" si="1"/>
        <v>3572272.3384082117</v>
      </c>
      <c r="O25" s="7">
        <f t="shared" si="1"/>
        <v>2095559.6048466589</v>
      </c>
      <c r="P25" s="7">
        <f t="shared" si="1"/>
        <v>1941475.3469090443</v>
      </c>
      <c r="Q25" s="7">
        <f t="shared" si="1"/>
        <v>4796319.7006677855</v>
      </c>
      <c r="R25" s="7">
        <f t="shared" si="1"/>
        <v>3255611.4148966009</v>
      </c>
      <c r="S25" s="7">
        <f t="shared" si="1"/>
        <v>2055565.5860004807</v>
      </c>
      <c r="T25" s="7">
        <f t="shared" si="1"/>
        <v>1908475.8925621212</v>
      </c>
      <c r="U25" s="8">
        <f t="shared" si="7"/>
        <v>30281608.657494299</v>
      </c>
      <c r="V25" s="8">
        <f t="shared" si="7"/>
        <v>23918287.893703535</v>
      </c>
      <c r="W25" s="7">
        <f t="shared" si="2"/>
        <v>29698711.447555427</v>
      </c>
      <c r="X25" s="7">
        <f t="shared" si="2"/>
        <v>23309262.818760764</v>
      </c>
      <c r="Y25" s="10">
        <f t="shared" si="3"/>
        <v>7.2928645384097421E-2</v>
      </c>
      <c r="Z25" s="10">
        <f t="shared" si="8"/>
        <v>5.7656302867973755E-2</v>
      </c>
      <c r="AA25" s="10">
        <f t="shared" si="9"/>
        <v>-1.5272342516123666E-2</v>
      </c>
      <c r="AB25" s="10">
        <f t="shared" si="10"/>
        <v>7.0399999999999963E-2</v>
      </c>
      <c r="AC25" s="10">
        <f t="shared" si="11"/>
        <v>5.4315359999999993E-2</v>
      </c>
      <c r="AD25" s="10">
        <f t="shared" si="12"/>
        <v>-1.608463999999997E-2</v>
      </c>
      <c r="AE25" s="10">
        <f t="shared" si="4"/>
        <v>2.0281608657494301</v>
      </c>
      <c r="AF25" s="10">
        <f t="shared" si="4"/>
        <v>1.3918287893703534</v>
      </c>
      <c r="AG25" s="10">
        <f t="shared" si="13"/>
        <v>-0.63633207637907674</v>
      </c>
      <c r="AH25" s="10">
        <f t="shared" si="5"/>
        <v>1.969871144755543</v>
      </c>
      <c r="AI25" s="10">
        <f t="shared" si="5"/>
        <v>1.3309262818760761</v>
      </c>
      <c r="AJ25" s="10">
        <f t="shared" si="14"/>
        <v>-0.63894486287946695</v>
      </c>
      <c r="AK25" s="10">
        <f t="shared" si="6"/>
        <v>7.1701118349551951E-2</v>
      </c>
      <c r="AL25" s="10">
        <f t="shared" si="15"/>
        <v>5.601632143980062E-2</v>
      </c>
      <c r="AM25" s="10">
        <f t="shared" si="16"/>
        <v>-1.5684796909751331E-2</v>
      </c>
      <c r="AN25" s="10">
        <f t="shared" si="17"/>
        <v>7.0400000000000018E-2</v>
      </c>
      <c r="AO25" s="10">
        <f t="shared" si="18"/>
        <v>5.4315359999999924E-2</v>
      </c>
      <c r="AP25" s="10">
        <f t="shared" si="19"/>
        <v>-1.6084640000000094E-2</v>
      </c>
    </row>
    <row r="26" spans="2:42" x14ac:dyDescent="0.45">
      <c r="B26" t="s">
        <v>63</v>
      </c>
      <c r="C26" s="9">
        <f>_xlfn.XLOOKUP(C3,G:G,AG:AG)</f>
        <v>-1.0196664207728809</v>
      </c>
      <c r="D26" s="9">
        <f>_xlfn.XLOOKUP(C3,G:G,AJ:AJ)</f>
        <v>-1.0185990641539568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12432060.664130898</v>
      </c>
      <c r="J26" s="7">
        <f t="shared" si="1"/>
        <v>9188031.1106335986</v>
      </c>
      <c r="K26" s="7">
        <f t="shared" si="1"/>
        <v>5328025.9989132471</v>
      </c>
      <c r="L26" s="7">
        <f t="shared" si="1"/>
        <v>4923867.8028102731</v>
      </c>
      <c r="M26" s="7">
        <f t="shared" si="1"/>
        <v>5134121.0318743149</v>
      </c>
      <c r="N26" s="7">
        <f t="shared" si="1"/>
        <v>3678011.5996250953</v>
      </c>
      <c r="O26" s="7">
        <f t="shared" si="1"/>
        <v>2200337.585088992</v>
      </c>
      <c r="P26" s="7">
        <f t="shared" si="1"/>
        <v>2028841.7375199511</v>
      </c>
      <c r="Q26" s="7">
        <f t="shared" si="1"/>
        <v>5180025.2767212084</v>
      </c>
      <c r="R26" s="7">
        <f t="shared" si="1"/>
        <v>3431935.3291274006</v>
      </c>
      <c r="S26" s="7">
        <f t="shared" si="1"/>
        <v>2220010.8328805193</v>
      </c>
      <c r="T26" s="7">
        <f t="shared" si="1"/>
        <v>2051611.5845042802</v>
      </c>
      <c r="U26" s="8">
        <f t="shared" si="7"/>
        <v>32494581.38960918</v>
      </c>
      <c r="V26" s="8">
        <f t="shared" si="7"/>
        <v>25302299.164220598</v>
      </c>
      <c r="W26" s="7">
        <f t="shared" ref="W26:X41" si="20">IF($G26="","",IF($G26=1,(($C$2+$H26)*W$3)*(1+(W$4-W$5)),((W25+($H26*W$3))*(1+(W$4-W$5)))))</f>
        <v>31789500.733463328</v>
      </c>
      <c r="X26" s="7">
        <f t="shared" si="20"/>
        <v>24575313.820096366</v>
      </c>
      <c r="Y26" s="10">
        <f t="shared" si="3"/>
        <v>7.3079761288282807E-2</v>
      </c>
      <c r="Z26" s="10">
        <f t="shared" si="8"/>
        <v>5.7864144652318608E-2</v>
      </c>
      <c r="AA26" s="10">
        <f t="shared" si="9"/>
        <v>-1.5215616635964199E-2</v>
      </c>
      <c r="AB26" s="10">
        <f t="shared" si="10"/>
        <v>7.039999999999999E-2</v>
      </c>
      <c r="AC26" s="10">
        <f t="shared" si="11"/>
        <v>5.4315359999999854E-2</v>
      </c>
      <c r="AD26" s="10">
        <f t="shared" si="12"/>
        <v>-1.6084640000000136E-2</v>
      </c>
      <c r="AE26" s="10">
        <f t="shared" ref="AE26:AF41" si="21">IF($G26="","",IF($G26=1,Y26,(1+Y26)*(1+AE25)-1))</f>
        <v>2.2494581389609181</v>
      </c>
      <c r="AF26" s="10">
        <f t="shared" si="21"/>
        <v>1.5302299164220599</v>
      </c>
      <c r="AG26" s="10">
        <f t="shared" si="13"/>
        <v>-0.71922822253885821</v>
      </c>
      <c r="AH26" s="10">
        <f t="shared" ref="AH26:AI41" si="22">IF($G26="","",IF($G26=1,AB26,(1+AB26)*(1+AH25)-1))</f>
        <v>2.1789500733463334</v>
      </c>
      <c r="AI26" s="10">
        <f t="shared" si="22"/>
        <v>1.4575313820096363</v>
      </c>
      <c r="AJ26" s="10">
        <f t="shared" si="14"/>
        <v>-0.72141869133669712</v>
      </c>
      <c r="AK26" s="10">
        <f t="shared" si="6"/>
        <v>7.1782165940550868E-2</v>
      </c>
      <c r="AL26" s="10">
        <f t="shared" si="15"/>
        <v>5.6124927520118106E-2</v>
      </c>
      <c r="AM26" s="10">
        <f t="shared" si="16"/>
        <v>-1.5657238420432762E-2</v>
      </c>
      <c r="AN26" s="10">
        <f t="shared" si="17"/>
        <v>7.0400000000000018E-2</v>
      </c>
      <c r="AO26" s="10">
        <f t="shared" si="18"/>
        <v>5.4315359999999924E-2</v>
      </c>
      <c r="AP26" s="10">
        <f t="shared" si="19"/>
        <v>-1.6084640000000094E-2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13426625.517261371</v>
      </c>
      <c r="J27" s="7">
        <f t="shared" si="1"/>
        <v>9748133.4871378224</v>
      </c>
      <c r="K27" s="7">
        <f t="shared" si="1"/>
        <v>5754268.0788263073</v>
      </c>
      <c r="L27" s="7">
        <f t="shared" si="1"/>
        <v>5293157.8880210435</v>
      </c>
      <c r="M27" s="7">
        <f t="shared" si="1"/>
        <v>5390827.0834680311</v>
      </c>
      <c r="N27" s="7">
        <f t="shared" si="1"/>
        <v>3786880.7429739982</v>
      </c>
      <c r="O27" s="7">
        <f t="shared" si="1"/>
        <v>2310354.4643434417</v>
      </c>
      <c r="P27" s="7">
        <f t="shared" si="1"/>
        <v>2120139.6157083488</v>
      </c>
      <c r="Q27" s="7">
        <f t="shared" si="1"/>
        <v>5594427.2988589052</v>
      </c>
      <c r="R27" s="7">
        <f t="shared" si="1"/>
        <v>3617808.9465529406</v>
      </c>
      <c r="S27" s="7">
        <f t="shared" si="1"/>
        <v>2397611.6995109608</v>
      </c>
      <c r="T27" s="7">
        <f t="shared" si="1"/>
        <v>2205482.4533421011</v>
      </c>
      <c r="U27" s="8">
        <f t="shared" si="7"/>
        <v>34874114.142269015</v>
      </c>
      <c r="V27" s="8">
        <f t="shared" si="7"/>
        <v>26771603.133736253</v>
      </c>
      <c r="W27" s="7">
        <f t="shared" si="20"/>
        <v>34027481.585099146</v>
      </c>
      <c r="X27" s="7">
        <f t="shared" si="20"/>
        <v>25910130.837347873</v>
      </c>
      <c r="Y27" s="10">
        <f t="shared" si="3"/>
        <v>7.3228601536031487E-2</v>
      </c>
      <c r="Z27" s="10">
        <f t="shared" si="8"/>
        <v>5.8069978541450663E-2</v>
      </c>
      <c r="AA27" s="10">
        <f t="shared" si="9"/>
        <v>-1.5158622994580824E-2</v>
      </c>
      <c r="AB27" s="10">
        <f t="shared" si="10"/>
        <v>7.0399999999999976E-2</v>
      </c>
      <c r="AC27" s="10">
        <f t="shared" si="11"/>
        <v>5.4315359999999882E-2</v>
      </c>
      <c r="AD27" s="10">
        <f t="shared" si="12"/>
        <v>-1.6084640000000094E-2</v>
      </c>
      <c r="AE27" s="10">
        <f t="shared" si="21"/>
        <v>2.4874114142269015</v>
      </c>
      <c r="AF27" s="10">
        <f t="shared" si="21"/>
        <v>1.6771603133736255</v>
      </c>
      <c r="AG27" s="10">
        <f t="shared" si="13"/>
        <v>-0.81025110085327601</v>
      </c>
      <c r="AH27" s="10">
        <f t="shared" si="22"/>
        <v>2.4027481585099153</v>
      </c>
      <c r="AI27" s="10">
        <f t="shared" si="22"/>
        <v>1.5910130837347869</v>
      </c>
      <c r="AJ27" s="10">
        <f t="shared" si="14"/>
        <v>-0.81173507477512841</v>
      </c>
      <c r="AK27" s="10">
        <f t="shared" si="6"/>
        <v>7.1862472307108627E-2</v>
      </c>
      <c r="AL27" s="10">
        <f t="shared" si="15"/>
        <v>5.6232892045426475E-2</v>
      </c>
      <c r="AM27" s="10">
        <f t="shared" si="16"/>
        <v>-1.5629580261682152E-2</v>
      </c>
      <c r="AN27" s="10">
        <f t="shared" si="17"/>
        <v>7.0400000000000018E-2</v>
      </c>
      <c r="AO27" s="10">
        <f t="shared" si="18"/>
        <v>5.4315359999999924E-2</v>
      </c>
      <c r="AP27" s="10">
        <f t="shared" si="19"/>
        <v>-1.6084640000000094E-2</v>
      </c>
    </row>
    <row r="28" spans="2:42" x14ac:dyDescent="0.45">
      <c r="B28" t="s">
        <v>65</v>
      </c>
      <c r="C28" s="9">
        <f>_xlfn.XLOOKUP(C3,G:G,AK:AK)</f>
        <v>7.2020848968773032E-2</v>
      </c>
      <c r="D28" s="9">
        <f>_xlfn.XLOOKUP(C3,G:G,AN:AN)</f>
        <v>7.0400000000000018E-2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14500755.558642281</v>
      </c>
      <c r="J28" s="7">
        <f t="shared" si="1"/>
        <v>10342379.704513744</v>
      </c>
      <c r="K28" s="7">
        <f t="shared" si="1"/>
        <v>6214609.5251324121</v>
      </c>
      <c r="L28" s="7">
        <f t="shared" si="1"/>
        <v>5690144.7296226211</v>
      </c>
      <c r="M28" s="7">
        <f t="shared" si="1"/>
        <v>5660368.4376414325</v>
      </c>
      <c r="N28" s="7">
        <f t="shared" si="1"/>
        <v>3898972.4129660288</v>
      </c>
      <c r="O28" s="7">
        <f t="shared" si="1"/>
        <v>2425872.1875606137</v>
      </c>
      <c r="P28" s="7">
        <f t="shared" si="1"/>
        <v>2215545.8984152242</v>
      </c>
      <c r="Q28" s="7">
        <f t="shared" si="1"/>
        <v>6041981.4827676183</v>
      </c>
      <c r="R28" s="7">
        <f t="shared" si="1"/>
        <v>3813749.4790982478</v>
      </c>
      <c r="S28" s="7">
        <f t="shared" si="1"/>
        <v>2589420.6354718381</v>
      </c>
      <c r="T28" s="7">
        <f t="shared" si="1"/>
        <v>2370893.6373427585</v>
      </c>
      <c r="U28" s="8">
        <f t="shared" si="7"/>
        <v>37433007.827216193</v>
      </c>
      <c r="V28" s="8">
        <f t="shared" si="7"/>
        <v>28331685.861958623</v>
      </c>
      <c r="W28" s="7">
        <f t="shared" si="20"/>
        <v>36423016.288690127</v>
      </c>
      <c r="X28" s="7">
        <f t="shared" si="20"/>
        <v>27317448.921425521</v>
      </c>
      <c r="Y28" s="10">
        <f t="shared" si="3"/>
        <v>7.3375159423639147E-2</v>
      </c>
      <c r="Z28" s="10">
        <f t="shared" si="8"/>
        <v>5.827378810409866E-2</v>
      </c>
      <c r="AA28" s="10">
        <f t="shared" si="9"/>
        <v>-1.5101371319540487E-2</v>
      </c>
      <c r="AB28" s="10">
        <f t="shared" si="10"/>
        <v>7.040000000000006E-2</v>
      </c>
      <c r="AC28" s="10">
        <f t="shared" si="11"/>
        <v>5.431535999999991E-2</v>
      </c>
      <c r="AD28" s="10">
        <f t="shared" si="12"/>
        <v>-1.608464000000015E-2</v>
      </c>
      <c r="AE28" s="10">
        <f t="shared" si="21"/>
        <v>2.7433007827216191</v>
      </c>
      <c r="AF28" s="10">
        <f t="shared" si="21"/>
        <v>1.8331685861958626</v>
      </c>
      <c r="AG28" s="10">
        <f t="shared" si="13"/>
        <v>-0.9101321965257565</v>
      </c>
      <c r="AH28" s="10">
        <f t="shared" si="22"/>
        <v>2.6423016288690135</v>
      </c>
      <c r="AI28" s="10">
        <f t="shared" si="22"/>
        <v>1.7317448921425518</v>
      </c>
      <c r="AJ28" s="10">
        <f t="shared" si="14"/>
        <v>-0.91055673672646176</v>
      </c>
      <c r="AK28" s="10">
        <f t="shared" si="6"/>
        <v>7.1942034244810271E-2</v>
      </c>
      <c r="AL28" s="10">
        <f t="shared" si="15"/>
        <v>5.6340209436139599E-2</v>
      </c>
      <c r="AM28" s="10">
        <f t="shared" si="16"/>
        <v>-1.5601824808670672E-2</v>
      </c>
      <c r="AN28" s="10">
        <f t="shared" si="17"/>
        <v>7.0400000000000018E-2</v>
      </c>
      <c r="AO28" s="10">
        <f t="shared" si="18"/>
        <v>5.4315359999999924E-2</v>
      </c>
      <c r="AP28" s="10">
        <f t="shared" si="19"/>
        <v>-1.6084640000000094E-2</v>
      </c>
    </row>
    <row r="29" spans="2:42" x14ac:dyDescent="0.45">
      <c r="B29" t="s">
        <v>66</v>
      </c>
      <c r="C29" s="9">
        <f>_xlfn.XLOOKUP(C3,G:G,AL:AL)</f>
        <v>5.644687452568431E-2</v>
      </c>
      <c r="D29" s="9">
        <f>_xlfn.XLOOKUP(C3,G:G,AO:AO)</f>
        <v>5.4315359999999924E-2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15660816.003333665</v>
      </c>
      <c r="J29" s="7">
        <f t="shared" si="1"/>
        <v>10972851.171300901</v>
      </c>
      <c r="K29" s="7">
        <f t="shared" si="1"/>
        <v>6711778.2871430051</v>
      </c>
      <c r="L29" s="7">
        <f t="shared" si="1"/>
        <v>6116905.5843443172</v>
      </c>
      <c r="M29" s="7">
        <f t="shared" si="1"/>
        <v>5943386.859523504</v>
      </c>
      <c r="N29" s="7">
        <f t="shared" si="1"/>
        <v>4014381.9963898235</v>
      </c>
      <c r="O29" s="7">
        <f t="shared" si="1"/>
        <v>2547165.7969386447</v>
      </c>
      <c r="P29" s="7">
        <f t="shared" si="1"/>
        <v>2315245.4638439091</v>
      </c>
      <c r="Q29" s="7">
        <f t="shared" si="1"/>
        <v>6525340.0013890285</v>
      </c>
      <c r="R29" s="7">
        <f t="shared" si="1"/>
        <v>4020302.1508862088</v>
      </c>
      <c r="S29" s="7">
        <f t="shared" si="1"/>
        <v>2796574.2863095854</v>
      </c>
      <c r="T29" s="7">
        <f t="shared" si="1"/>
        <v>2548710.6601434653</v>
      </c>
      <c r="U29" s="8">
        <f t="shared" si="7"/>
        <v>40185061.234637432</v>
      </c>
      <c r="V29" s="8">
        <f t="shared" si="7"/>
        <v>29988397.026908625</v>
      </c>
      <c r="W29" s="7">
        <f t="shared" si="20"/>
        <v>38987196.635413915</v>
      </c>
      <c r="X29" s="7">
        <f t="shared" si="20"/>
        <v>28801205.99387436</v>
      </c>
      <c r="Y29" s="10">
        <f t="shared" si="3"/>
        <v>7.3519430234519373E-2</v>
      </c>
      <c r="Z29" s="10">
        <f t="shared" si="8"/>
        <v>5.8475558885625396E-2</v>
      </c>
      <c r="AA29" s="10">
        <f t="shared" si="9"/>
        <v>-1.5043871348893977E-2</v>
      </c>
      <c r="AB29" s="10">
        <f t="shared" si="10"/>
        <v>7.0400000000000074E-2</v>
      </c>
      <c r="AC29" s="10">
        <f t="shared" si="11"/>
        <v>5.4315359999999986E-2</v>
      </c>
      <c r="AD29" s="10">
        <f t="shared" si="12"/>
        <v>-1.6084640000000087E-2</v>
      </c>
      <c r="AE29" s="10">
        <f t="shared" si="21"/>
        <v>3.0185061234637436</v>
      </c>
      <c r="AF29" s="10">
        <f t="shared" si="21"/>
        <v>1.9988397026908626</v>
      </c>
      <c r="AG29" s="10">
        <f t="shared" si="13"/>
        <v>-1.0196664207728809</v>
      </c>
      <c r="AH29" s="10">
        <f t="shared" si="22"/>
        <v>2.8987196635413923</v>
      </c>
      <c r="AI29" s="10">
        <f t="shared" si="22"/>
        <v>1.8801205993874355</v>
      </c>
      <c r="AJ29" s="10">
        <f t="shared" si="14"/>
        <v>-1.0185990641539568</v>
      </c>
      <c r="AK29" s="10">
        <f t="shared" si="6"/>
        <v>7.2020848968773032E-2</v>
      </c>
      <c r="AL29" s="10">
        <f t="shared" si="15"/>
        <v>5.644687452568431E-2</v>
      </c>
      <c r="AM29" s="10">
        <f t="shared" si="16"/>
        <v>-1.5573974443088723E-2</v>
      </c>
      <c r="AN29" s="10">
        <f t="shared" si="17"/>
        <v>7.0400000000000018E-2</v>
      </c>
      <c r="AO29" s="10">
        <f t="shared" si="18"/>
        <v>5.4315359999999924E-2</v>
      </c>
      <c r="AP29" s="10">
        <f t="shared" si="19"/>
        <v>-1.6084640000000094E-2</v>
      </c>
    </row>
    <row r="30" spans="2:42" x14ac:dyDescent="0.45">
      <c r="B30" t="s">
        <v>67</v>
      </c>
      <c r="C30" s="9">
        <f>_xlfn.XLOOKUP(C3,G:G,AM:AM)</f>
        <v>-1.5573974443088723E-2</v>
      </c>
      <c r="D30" s="9">
        <f>_xlfn.XLOOKUP(C3,G:G,AP:AP)</f>
        <v>-1.6084640000000094E-2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3" priority="1" operator="equal">
      <formula>"Error"</formula>
    </cfRule>
    <cfRule type="cellIs" dxfId="2" priority="2" operator="equal">
      <formula>"GOOD"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266A-8480-4E02-A831-037C16B96542}">
  <sheetPr>
    <tabColor rgb="FF7030A0"/>
  </sheetPr>
  <dimension ref="B1:AP109"/>
  <sheetViews>
    <sheetView workbookViewId="0">
      <selection activeCell="D34" sqref="D34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5.53125" customWidth="1"/>
    <col min="5" max="5" width="16.06640625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'Return Simulator'!D47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'Return Simulator'!D48</f>
        <v>20</v>
      </c>
      <c r="H3" s="1" t="s">
        <v>12</v>
      </c>
      <c r="I3" s="10">
        <f>$D$7*(1-$E$7)</f>
        <v>0.28799999999999998</v>
      </c>
      <c r="J3" s="10">
        <f>$D$7*(1-$E$7)</f>
        <v>0.28799999999999998</v>
      </c>
      <c r="K3" s="10">
        <f>$D$7*$E$7</f>
        <v>0.192</v>
      </c>
      <c r="L3" s="10">
        <f>$D$7*$E$7</f>
        <v>0.192</v>
      </c>
      <c r="M3" s="10">
        <f>$D$8*(1-$E$8)</f>
        <v>0.192</v>
      </c>
      <c r="N3" s="10">
        <f>$D$8*(1-$E$8)</f>
        <v>0.192</v>
      </c>
      <c r="O3" s="10">
        <f>$D$8*$E$8</f>
        <v>0.128</v>
      </c>
      <c r="P3" s="10">
        <f>$D$8*$E$8</f>
        <v>0.128</v>
      </c>
      <c r="Q3" s="10">
        <f>$D$9*(1-$E$9)</f>
        <v>0.12</v>
      </c>
      <c r="R3" s="10">
        <f>$D$9*(1-$E$9)</f>
        <v>0.12</v>
      </c>
      <c r="S3" s="10">
        <f>$D$9*$E$9</f>
        <v>8.0000000000000016E-2</v>
      </c>
      <c r="T3" s="10">
        <f>$D$9*$E$9</f>
        <v>8.0000000000000016E-2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7.039999999999999E-2</v>
      </c>
      <c r="X4" s="10">
        <f>SUMPRODUCT(I3:T3,I4:T4)/2</f>
        <v>7.039999999999999E-2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16">
        <v>0</v>
      </c>
      <c r="J5" s="10">
        <f>$C$7*($C$15+$C$16)</f>
        <v>1.9040000000000001E-2</v>
      </c>
      <c r="K5" s="16">
        <v>0</v>
      </c>
      <c r="L5" s="10">
        <f>$C$11</f>
        <v>5.0000000000000001E-3</v>
      </c>
      <c r="M5" s="16">
        <v>0</v>
      </c>
      <c r="N5" s="10">
        <f>$C$8*($C$14+$C$16)</f>
        <v>2.0400000000000001E-2</v>
      </c>
      <c r="O5" s="16">
        <v>0</v>
      </c>
      <c r="P5" s="10">
        <f>$C$11</f>
        <v>5.0000000000000001E-3</v>
      </c>
      <c r="Q5" s="16">
        <v>0</v>
      </c>
      <c r="R5" s="10">
        <f>(50%*$C$9*($C$14+$C$16))+(50%*$C$9*($C$15+$C$16))</f>
        <v>2.5839999999999998E-2</v>
      </c>
      <c r="S5" s="16">
        <v>0</v>
      </c>
      <c r="T5" s="10">
        <f>$C$11</f>
        <v>5.0000000000000001E-3</v>
      </c>
      <c r="V5" s="10"/>
      <c r="W5" s="16">
        <v>0</v>
      </c>
      <c r="X5" s="10">
        <f>SUMPRODUCT(J3:T3,J5:T5)</f>
        <v>1.4501119999999999E-2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'Return Simulator'!D56</f>
        <v>0.08</v>
      </c>
      <c r="D7" s="4">
        <f>'Return Simulator'!D51</f>
        <v>0.48</v>
      </c>
      <c r="E7" s="11">
        <v>0.4</v>
      </c>
      <c r="U7" s="30" t="s">
        <v>76</v>
      </c>
      <c r="V7" s="30" t="s">
        <v>76</v>
      </c>
      <c r="W7" s="31" t="s">
        <v>77</v>
      </c>
      <c r="X7" s="31" t="s">
        <v>77</v>
      </c>
      <c r="Y7" s="30" t="s">
        <v>76</v>
      </c>
      <c r="Z7" s="30" t="s">
        <v>76</v>
      </c>
      <c r="AA7" s="30" t="s">
        <v>76</v>
      </c>
      <c r="AB7" s="31" t="s">
        <v>77</v>
      </c>
      <c r="AC7" s="31" t="s">
        <v>77</v>
      </c>
      <c r="AD7" s="31" t="s">
        <v>77</v>
      </c>
      <c r="AE7" s="30" t="s">
        <v>76</v>
      </c>
      <c r="AF7" s="30" t="s">
        <v>76</v>
      </c>
      <c r="AG7" s="30" t="s">
        <v>76</v>
      </c>
      <c r="AH7" s="31" t="s">
        <v>77</v>
      </c>
      <c r="AI7" s="31" t="s">
        <v>77</v>
      </c>
      <c r="AJ7" s="31" t="s">
        <v>77</v>
      </c>
      <c r="AK7" s="30" t="s">
        <v>76</v>
      </c>
      <c r="AL7" s="30" t="s">
        <v>76</v>
      </c>
      <c r="AM7" s="30" t="s">
        <v>76</v>
      </c>
      <c r="AN7" s="31" t="s">
        <v>77</v>
      </c>
      <c r="AO7" s="31" t="s">
        <v>77</v>
      </c>
      <c r="AP7" s="31" t="s">
        <v>77</v>
      </c>
    </row>
    <row r="8" spans="2:42" x14ac:dyDescent="0.45">
      <c r="B8" t="s">
        <v>1</v>
      </c>
      <c r="C8" s="4">
        <f>'Return Simulator'!D57</f>
        <v>0.05</v>
      </c>
      <c r="D8" s="4">
        <f>'Return Simulator'!D52</f>
        <v>0.32</v>
      </c>
      <c r="E8" s="11">
        <v>0.4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'Return Simulator'!D58</f>
        <v>0.08</v>
      </c>
      <c r="D9" s="4">
        <f>'Return Simulator'!D53</f>
        <v>0.2</v>
      </c>
      <c r="E9" s="11">
        <v>0.4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3110400</v>
      </c>
      <c r="J10" s="7">
        <f t="shared" si="1"/>
        <v>3055564.7999999998</v>
      </c>
      <c r="K10" s="7">
        <f t="shared" si="1"/>
        <v>2073600.0000000002</v>
      </c>
      <c r="L10" s="7">
        <f t="shared" si="1"/>
        <v>2064000</v>
      </c>
      <c r="M10" s="7">
        <f t="shared" si="1"/>
        <v>2016000</v>
      </c>
      <c r="N10" s="7">
        <f t="shared" si="1"/>
        <v>1976832.0000000002</v>
      </c>
      <c r="O10" s="7">
        <f t="shared" si="1"/>
        <v>1344000</v>
      </c>
      <c r="P10" s="7">
        <f t="shared" si="1"/>
        <v>1337600</v>
      </c>
      <c r="Q10" s="7">
        <f t="shared" si="1"/>
        <v>1296000</v>
      </c>
      <c r="R10" s="7">
        <f t="shared" si="1"/>
        <v>1264992</v>
      </c>
      <c r="S10" s="7">
        <f t="shared" si="1"/>
        <v>864000.00000000023</v>
      </c>
      <c r="T10" s="7">
        <f t="shared" si="1"/>
        <v>860000.00000000012</v>
      </c>
      <c r="U10" s="8">
        <f>IF(G10="","",SUM(I10,K10,M10,O10,Q10,S10))</f>
        <v>10704000</v>
      </c>
      <c r="V10" s="8">
        <f>IF(H10="","",SUM(J10,L10,N10,P10,R10,T10))</f>
        <v>10558988.800000001</v>
      </c>
      <c r="W10" s="7">
        <f t="shared" ref="W10:X25" si="2">IF($G10="","",IF($G10=1,(($C$2+$H10)*W$3)*(1+(W$4-W$5)),((W9+($H10*W$3))*(1+(W$4-W$5)))))</f>
        <v>10704000</v>
      </c>
      <c r="X10" s="7">
        <f t="shared" si="2"/>
        <v>10558988.800000001</v>
      </c>
      <c r="Y10" s="10">
        <f t="shared" ref="Y10:Y73" si="3">IF($G10="","",IF($G10=1,(U10-$C$2-H10)/($C$2+H10),(U10-U9-H10)/(U9+H10)))</f>
        <v>7.0400000000000004E-2</v>
      </c>
      <c r="Z10" s="10">
        <f>IF($G10="","",IF($G10=1,(V10-$C$2-H10)/($C$2+H10),(V10-V9-H10)/(V9+H10)))</f>
        <v>5.5898880000000074E-2</v>
      </c>
      <c r="AA10" s="10">
        <f>IF($G10="","",Z10-Y10)</f>
        <v>-1.450111999999993E-2</v>
      </c>
      <c r="AB10" s="10">
        <f>IF($G10="","",IF($G10=1,(W10-$C$2-H10)/($C$2+H10),(W10-W9-H10)/(W9+H10)))</f>
        <v>7.0400000000000004E-2</v>
      </c>
      <c r="AC10" s="10">
        <f>IF($G10="","",IF($G10=1,(X10-$C$2-H10)/($C$2+H10),(X10-X9-H10)/(X9+H10)))</f>
        <v>5.5898880000000074E-2</v>
      </c>
      <c r="AD10" s="10">
        <f>IF($G10="","",AC10-AB10)</f>
        <v>-1.450111999999993E-2</v>
      </c>
      <c r="AE10" s="10">
        <f t="shared" ref="AE10:AF25" si="4">IF($G10="","",IF($G10=1,Y10,(1+Y10)*(1+AE9)-1))</f>
        <v>7.0400000000000004E-2</v>
      </c>
      <c r="AF10" s="10">
        <f t="shared" si="4"/>
        <v>5.5898880000000074E-2</v>
      </c>
      <c r="AG10" s="10">
        <f>IF($G10="","",AF10-AE10)</f>
        <v>-1.450111999999993E-2</v>
      </c>
      <c r="AH10" s="10">
        <f t="shared" ref="AH10:AI25" si="5">IF($G10="","",IF($G10=1,AB10,(1+AB10)*(1+AH9)-1))</f>
        <v>7.0400000000000004E-2</v>
      </c>
      <c r="AI10" s="10">
        <f t="shared" si="5"/>
        <v>5.5898880000000074E-2</v>
      </c>
      <c r="AJ10" s="10">
        <f>IF($G10="","",AI10-AH10)</f>
        <v>-1.450111999999993E-2</v>
      </c>
      <c r="AK10" s="10">
        <f t="shared" ref="AK10:AK73" si="6">IF($G10="","",(1+AE10)^(1/G10)-1)</f>
        <v>7.0400000000000018E-2</v>
      </c>
      <c r="AL10" s="10">
        <f>IF($G10="","",(1+AF10)^(1/G10)-1)</f>
        <v>5.5898879999999984E-2</v>
      </c>
      <c r="AM10" s="10">
        <f>IF($G10="","",AL10-AK10)</f>
        <v>-1.4501120000000034E-2</v>
      </c>
      <c r="AN10" s="10">
        <f>IF($G10="","",(1+AH10)^(1/G10)-1)</f>
        <v>7.0400000000000018E-2</v>
      </c>
      <c r="AO10" s="10">
        <f>IF($G10="","",(1+AI10)^(1/G10)-1)</f>
        <v>5.5898879999999984E-2</v>
      </c>
      <c r="AP10" s="10">
        <f>IF($G10="","",AO10-AN10)</f>
        <v>-1.4501120000000034E-2</v>
      </c>
    </row>
    <row r="11" spans="2:42" x14ac:dyDescent="0.45">
      <c r="B11" t="s">
        <v>5</v>
      </c>
      <c r="C11" s="4">
        <f>'Return Simulator'!D71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3359232</v>
      </c>
      <c r="J11" s="7">
        <f t="shared" si="1"/>
        <v>3241832.0302079995</v>
      </c>
      <c r="K11" s="7">
        <f t="shared" si="1"/>
        <v>2239488.0000000005</v>
      </c>
      <c r="L11" s="7">
        <f t="shared" si="1"/>
        <v>2218800</v>
      </c>
      <c r="M11" s="7">
        <f t="shared" si="1"/>
        <v>2116800</v>
      </c>
      <c r="N11" s="7">
        <f t="shared" si="1"/>
        <v>2035346.2272000003</v>
      </c>
      <c r="O11" s="7">
        <f t="shared" si="1"/>
        <v>1411200</v>
      </c>
      <c r="P11" s="7">
        <f t="shared" si="1"/>
        <v>1397792</v>
      </c>
      <c r="Q11" s="7">
        <f t="shared" si="1"/>
        <v>1399680</v>
      </c>
      <c r="R11" s="7">
        <f t="shared" si="1"/>
        <v>1333503.9667199999</v>
      </c>
      <c r="S11" s="7">
        <f t="shared" si="1"/>
        <v>933120.00000000035</v>
      </c>
      <c r="T11" s="7">
        <f t="shared" si="1"/>
        <v>924500.00000000012</v>
      </c>
      <c r="U11" s="8">
        <f t="shared" ref="U11:V74" si="7">IF(G11="","",SUM(I11,K11,M11,O11,Q11,S11))</f>
        <v>11459520</v>
      </c>
      <c r="V11" s="8">
        <f t="shared" si="7"/>
        <v>11151774.224128</v>
      </c>
      <c r="W11" s="7">
        <f t="shared" si="2"/>
        <v>11457561.6</v>
      </c>
      <c r="X11" s="7">
        <f t="shared" si="2"/>
        <v>11149224.447852544</v>
      </c>
      <c r="Y11" s="10">
        <f t="shared" si="3"/>
        <v>7.0582959641255605E-2</v>
      </c>
      <c r="Z11" s="10">
        <f t="shared" ref="Z11:Z74" si="8">IF($G11="","",IF($G11=1,(V11-$C$2-H11)/($C$2+H11),(V11-V10-H11)/(V10+H11)))</f>
        <v>5.6140359210154638E-2</v>
      </c>
      <c r="AA11" s="10">
        <f t="shared" ref="AA11:AA74" si="9">IF($G11="","",Z11-Y11)</f>
        <v>-1.4442600431100967E-2</v>
      </c>
      <c r="AB11" s="10">
        <f t="shared" ref="AB11:AB74" si="10">IF($G11="","",IF($G11=1,(W11-$C$2-H11)/($C$2+H11),(W11-W10-H11)/(W10+H11)))</f>
        <v>7.0399999999999963E-2</v>
      </c>
      <c r="AC11" s="10">
        <f t="shared" ref="AC11:AC74" si="11">IF($G11="","",IF($G11=1,(X11-$C$2-H11)/($C$2+H11),(X11-X10-H11)/(X10+H11)))</f>
        <v>5.589887999999997E-2</v>
      </c>
      <c r="AD11" s="10">
        <f t="shared" ref="AD11:AD74" si="12">IF($G11="","",AC11-AB11)</f>
        <v>-1.4501119999999992E-2</v>
      </c>
      <c r="AE11" s="10">
        <f t="shared" si="4"/>
        <v>0.14595200000000008</v>
      </c>
      <c r="AF11" s="10">
        <f t="shared" si="4"/>
        <v>0.11517742241279993</v>
      </c>
      <c r="AG11" s="10">
        <f t="shared" ref="AG11:AG74" si="13">IF($G11="","",AF11-AE11)</f>
        <v>-3.0774577587200147E-2</v>
      </c>
      <c r="AH11" s="10">
        <f t="shared" si="5"/>
        <v>0.14575616000000013</v>
      </c>
      <c r="AI11" s="10">
        <f t="shared" si="5"/>
        <v>0.11492244478525437</v>
      </c>
      <c r="AJ11" s="10">
        <f t="shared" ref="AJ11:AJ74" si="14">IF($G11="","",AI11-AH11)</f>
        <v>-3.083371521474576E-2</v>
      </c>
      <c r="AK11" s="10">
        <f t="shared" si="6"/>
        <v>7.0491475911882207E-2</v>
      </c>
      <c r="AL11" s="10">
        <f t="shared" ref="AL11:AL74" si="15">IF($G11="","",(1+AF11)^(1/G11)-1)</f>
        <v>5.6019612702718602E-2</v>
      </c>
      <c r="AM11" s="10">
        <f t="shared" ref="AM11:AM74" si="16">IF($G11="","",AL11-AK11)</f>
        <v>-1.4471863209163605E-2</v>
      </c>
      <c r="AN11" s="10">
        <f t="shared" ref="AN11:AN74" si="17">IF($G11="","",(1+AH11)^(1/G11)-1)</f>
        <v>7.0400000000000018E-2</v>
      </c>
      <c r="AO11" s="10">
        <f t="shared" ref="AO11:AO74" si="18">IF($G11="","",(1+AI11)^(1/G11)-1)</f>
        <v>5.5898879999999984E-2</v>
      </c>
      <c r="AP11" s="10">
        <f t="shared" ref="AP11:AP74" si="19">IF($G11="","",AO11-AN11)</f>
        <v>-1.4501120000000034E-2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3627970.5600000001</v>
      </c>
      <c r="J12" s="7">
        <f t="shared" si="1"/>
        <v>3439454.1107694791</v>
      </c>
      <c r="K12" s="7">
        <f t="shared" si="1"/>
        <v>2418647.0400000005</v>
      </c>
      <c r="L12" s="7">
        <f t="shared" si="1"/>
        <v>2385210</v>
      </c>
      <c r="M12" s="7">
        <f t="shared" si="1"/>
        <v>2222640</v>
      </c>
      <c r="N12" s="7">
        <f t="shared" si="1"/>
        <v>2095592.4755251205</v>
      </c>
      <c r="O12" s="7">
        <f t="shared" si="1"/>
        <v>1481760</v>
      </c>
      <c r="P12" s="7">
        <f t="shared" si="1"/>
        <v>1460692.64</v>
      </c>
      <c r="Q12" s="7">
        <f t="shared" si="1"/>
        <v>1511654.4000000001</v>
      </c>
      <c r="R12" s="7">
        <f t="shared" si="1"/>
        <v>1405726.5415575551</v>
      </c>
      <c r="S12" s="7">
        <f t="shared" si="1"/>
        <v>1007769.6000000004</v>
      </c>
      <c r="T12" s="7">
        <f t="shared" si="1"/>
        <v>993837.50000000012</v>
      </c>
      <c r="U12" s="8">
        <f t="shared" si="7"/>
        <v>12270441.600000001</v>
      </c>
      <c r="V12" s="8">
        <f t="shared" si="7"/>
        <v>11780513.267852154</v>
      </c>
      <c r="W12" s="7">
        <f t="shared" si="2"/>
        <v>12264173.93664</v>
      </c>
      <c r="X12" s="7">
        <f t="shared" si="2"/>
        <v>11772453.60735612</v>
      </c>
      <c r="Y12" s="10">
        <f t="shared" si="3"/>
        <v>7.0764011058054924E-2</v>
      </c>
      <c r="Z12" s="10">
        <f t="shared" si="8"/>
        <v>5.63801805065074E-2</v>
      </c>
      <c r="AA12" s="10">
        <f t="shared" si="9"/>
        <v>-1.4383830551547523E-2</v>
      </c>
      <c r="AB12" s="10">
        <f t="shared" si="10"/>
        <v>7.0400000000000032E-2</v>
      </c>
      <c r="AC12" s="10">
        <f t="shared" si="11"/>
        <v>5.5898879999999977E-2</v>
      </c>
      <c r="AD12" s="10">
        <f t="shared" si="12"/>
        <v>-1.4501120000000055E-2</v>
      </c>
      <c r="AE12" s="10">
        <f t="shared" si="4"/>
        <v>0.22704416000000038</v>
      </c>
      <c r="AF12" s="10">
        <f t="shared" si="4"/>
        <v>0.17805132678521529</v>
      </c>
      <c r="AG12" s="10">
        <f t="shared" si="13"/>
        <v>-4.8992833214785092E-2</v>
      </c>
      <c r="AH12" s="10">
        <f t="shared" si="5"/>
        <v>0.22641739366400015</v>
      </c>
      <c r="AI12" s="10">
        <f t="shared" si="5"/>
        <v>0.17724536073561192</v>
      </c>
      <c r="AJ12" s="10">
        <f t="shared" si="14"/>
        <v>-4.9172032928388232E-2</v>
      </c>
      <c r="AK12" s="10">
        <f t="shared" si="6"/>
        <v>7.058231325231934E-2</v>
      </c>
      <c r="AL12" s="10">
        <f t="shared" si="15"/>
        <v>5.6139788294083504E-2</v>
      </c>
      <c r="AM12" s="10">
        <f t="shared" si="16"/>
        <v>-1.4442524958235836E-2</v>
      </c>
      <c r="AN12" s="10">
        <f t="shared" si="17"/>
        <v>7.0400000000000018E-2</v>
      </c>
      <c r="AO12" s="10">
        <f t="shared" si="18"/>
        <v>5.5898879999999984E-2</v>
      </c>
      <c r="AP12" s="10">
        <f t="shared" si="19"/>
        <v>-1.4501120000000034E-2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3918208.2048000004</v>
      </c>
      <c r="J13" s="7">
        <f t="shared" si="1"/>
        <v>3649123.233361986</v>
      </c>
      <c r="K13" s="7">
        <f t="shared" si="1"/>
        <v>2612138.8032000009</v>
      </c>
      <c r="L13" s="7">
        <f t="shared" si="1"/>
        <v>2564100.75</v>
      </c>
      <c r="M13" s="7">
        <f t="shared" si="1"/>
        <v>2333772</v>
      </c>
      <c r="N13" s="7">
        <f t="shared" si="1"/>
        <v>2157622.0128006642</v>
      </c>
      <c r="O13" s="7">
        <f t="shared" si="1"/>
        <v>1555848</v>
      </c>
      <c r="P13" s="7">
        <f t="shared" si="1"/>
        <v>1526423.8087999998</v>
      </c>
      <c r="Q13" s="7">
        <f t="shared" si="1"/>
        <v>1632586.7520000003</v>
      </c>
      <c r="R13" s="7">
        <f t="shared" si="1"/>
        <v>1481860.6910483122</v>
      </c>
      <c r="S13" s="7">
        <f t="shared" si="1"/>
        <v>1088391.1680000005</v>
      </c>
      <c r="T13" s="7">
        <f t="shared" si="1"/>
        <v>1068375.3125</v>
      </c>
      <c r="U13" s="8">
        <f t="shared" si="7"/>
        <v>13140944.928000003</v>
      </c>
      <c r="V13" s="8">
        <f t="shared" si="7"/>
        <v>12447505.808510963</v>
      </c>
      <c r="W13" s="7">
        <f t="shared" si="2"/>
        <v>13127571.781779457</v>
      </c>
      <c r="X13" s="7">
        <f t="shared" si="2"/>
        <v>12430520.578859286</v>
      </c>
      <c r="Y13" s="10">
        <f t="shared" si="3"/>
        <v>7.0943113245410944E-2</v>
      </c>
      <c r="Z13" s="10">
        <f t="shared" si="8"/>
        <v>5.661829204666026E-2</v>
      </c>
      <c r="AA13" s="10">
        <f t="shared" si="9"/>
        <v>-1.4324821198750684E-2</v>
      </c>
      <c r="AB13" s="10">
        <f t="shared" si="10"/>
        <v>7.0400000000000074E-2</v>
      </c>
      <c r="AC13" s="10">
        <f t="shared" si="11"/>
        <v>5.589887999999997E-2</v>
      </c>
      <c r="AD13" s="10">
        <f t="shared" si="12"/>
        <v>-1.4501120000000103E-2</v>
      </c>
      <c r="AE13" s="10">
        <f t="shared" si="4"/>
        <v>0.31409449280000068</v>
      </c>
      <c r="AF13" s="10">
        <f t="shared" si="4"/>
        <v>0.24475058085109613</v>
      </c>
      <c r="AG13" s="10">
        <f t="shared" si="13"/>
        <v>-6.9343911948904546E-2</v>
      </c>
      <c r="AH13" s="10">
        <f t="shared" si="5"/>
        <v>0.31275717817794568</v>
      </c>
      <c r="AI13" s="10">
        <f t="shared" si="5"/>
        <v>0.24305205788592854</v>
      </c>
      <c r="AJ13" s="10">
        <f t="shared" si="14"/>
        <v>-6.9705120292017142E-2</v>
      </c>
      <c r="AK13" s="10">
        <f t="shared" si="6"/>
        <v>7.0672501853373371E-2</v>
      </c>
      <c r="AL13" s="10">
        <f t="shared" si="15"/>
        <v>5.6259393913064892E-2</v>
      </c>
      <c r="AM13" s="10">
        <f t="shared" si="16"/>
        <v>-1.4413107940308478E-2</v>
      </c>
      <c r="AN13" s="10">
        <f t="shared" si="17"/>
        <v>7.0400000000000018E-2</v>
      </c>
      <c r="AO13" s="10">
        <f t="shared" si="18"/>
        <v>5.5898879999999984E-2</v>
      </c>
      <c r="AP13" s="10">
        <f t="shared" si="19"/>
        <v>-1.4501120000000034E-2</v>
      </c>
    </row>
    <row r="14" spans="2:42" x14ac:dyDescent="0.45">
      <c r="B14" t="s">
        <v>7</v>
      </c>
      <c r="C14" s="4">
        <f>'Return Simulator'!D61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4231664.861184001</v>
      </c>
      <c r="J14" s="7">
        <f t="shared" si="1"/>
        <v>3871573.7856677324</v>
      </c>
      <c r="K14" s="7">
        <f t="shared" si="1"/>
        <v>2821109.9074560013</v>
      </c>
      <c r="L14" s="7">
        <f t="shared" si="1"/>
        <v>2756408.3062499999</v>
      </c>
      <c r="M14" s="7">
        <f t="shared" si="1"/>
        <v>2450460.6</v>
      </c>
      <c r="N14" s="7">
        <f t="shared" si="1"/>
        <v>2221487.6243795641</v>
      </c>
      <c r="O14" s="7">
        <f t="shared" si="1"/>
        <v>1633640.4000000001</v>
      </c>
      <c r="P14" s="7">
        <f t="shared" si="1"/>
        <v>1595112.8801959998</v>
      </c>
      <c r="Q14" s="7">
        <f t="shared" si="1"/>
        <v>1763193.6921600006</v>
      </c>
      <c r="R14" s="7">
        <f t="shared" si="1"/>
        <v>1562118.2660754889</v>
      </c>
      <c r="S14" s="7">
        <f t="shared" si="1"/>
        <v>1175462.4614400007</v>
      </c>
      <c r="T14" s="7">
        <f t="shared" si="1"/>
        <v>1148503.4609375</v>
      </c>
      <c r="U14" s="8">
        <f t="shared" si="7"/>
        <v>14075531.922240004</v>
      </c>
      <c r="V14" s="8">
        <f t="shared" si="7"/>
        <v>13155204.323506285</v>
      </c>
      <c r="W14" s="7">
        <f t="shared" si="2"/>
        <v>14051752.835216731</v>
      </c>
      <c r="X14" s="7">
        <f t="shared" si="2"/>
        <v>13125372.757034471</v>
      </c>
      <c r="Y14" s="10">
        <f t="shared" si="3"/>
        <v>7.1120227606207703E-2</v>
      </c>
      <c r="Z14" s="10">
        <f t="shared" si="8"/>
        <v>5.6854644286362485E-2</v>
      </c>
      <c r="AA14" s="10">
        <f t="shared" si="9"/>
        <v>-1.4265583319845218E-2</v>
      </c>
      <c r="AB14" s="10">
        <f t="shared" si="10"/>
        <v>7.0400000000000018E-2</v>
      </c>
      <c r="AC14" s="10">
        <f t="shared" si="11"/>
        <v>5.5898879999999929E-2</v>
      </c>
      <c r="AD14" s="10">
        <f t="shared" si="12"/>
        <v>-1.4501120000000089E-2</v>
      </c>
      <c r="AE14" s="10">
        <f t="shared" si="4"/>
        <v>0.40755319222400077</v>
      </c>
      <c r="AF14" s="10">
        <f t="shared" si="4"/>
        <v>0.31552043235062821</v>
      </c>
      <c r="AG14" s="10">
        <f t="shared" si="13"/>
        <v>-9.203275987337256E-2</v>
      </c>
      <c r="AH14" s="10">
        <f t="shared" si="5"/>
        <v>0.40517528352167309</v>
      </c>
      <c r="AI14" s="10">
        <f t="shared" si="5"/>
        <v>0.31253727570344703</v>
      </c>
      <c r="AJ14" s="10">
        <f t="shared" si="14"/>
        <v>-9.2638007818226065E-2</v>
      </c>
      <c r="AK14" s="10">
        <f t="shared" si="6"/>
        <v>7.0762032029570987E-2</v>
      </c>
      <c r="AL14" s="10">
        <f t="shared" si="15"/>
        <v>5.6378417160734884E-2</v>
      </c>
      <c r="AM14" s="10">
        <f t="shared" si="16"/>
        <v>-1.4383614868836103E-2</v>
      </c>
      <c r="AN14" s="10">
        <f t="shared" si="17"/>
        <v>7.0400000000000018E-2</v>
      </c>
      <c r="AO14" s="10">
        <f t="shared" si="18"/>
        <v>5.5898879999999984E-2</v>
      </c>
      <c r="AP14" s="10">
        <f t="shared" si="19"/>
        <v>-1.4501120000000034E-2</v>
      </c>
    </row>
    <row r="15" spans="2:42" x14ac:dyDescent="0.45">
      <c r="B15" t="s">
        <v>8</v>
      </c>
      <c r="C15" s="4">
        <f>'Return Simulator'!D62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4570198.0500787217</v>
      </c>
      <c r="J15" s="7">
        <f t="shared" si="1"/>
        <v>4107584.923642037</v>
      </c>
      <c r="K15" s="7">
        <f t="shared" si="1"/>
        <v>3046798.7000524816</v>
      </c>
      <c r="L15" s="7">
        <f t="shared" si="1"/>
        <v>2963138.92921875</v>
      </c>
      <c r="M15" s="7">
        <f t="shared" si="1"/>
        <v>2572983.6300000004</v>
      </c>
      <c r="N15" s="7">
        <f t="shared" si="1"/>
        <v>2287243.6580611994</v>
      </c>
      <c r="O15" s="7">
        <f t="shared" si="1"/>
        <v>1715322.4200000002</v>
      </c>
      <c r="P15" s="7">
        <f t="shared" si="1"/>
        <v>1666892.9598048197</v>
      </c>
      <c r="Q15" s="7">
        <f t="shared" si="1"/>
        <v>1904249.1875328007</v>
      </c>
      <c r="R15" s="7">
        <f t="shared" si="1"/>
        <v>1646722.5913661374</v>
      </c>
      <c r="S15" s="7">
        <f t="shared" si="1"/>
        <v>1269499.4583552007</v>
      </c>
      <c r="T15" s="7">
        <f t="shared" si="1"/>
        <v>1234641.2205078125</v>
      </c>
      <c r="U15" s="8">
        <f t="shared" si="7"/>
        <v>15079051.446019206</v>
      </c>
      <c r="V15" s="8">
        <f t="shared" si="7"/>
        <v>13906224.282600757</v>
      </c>
      <c r="W15" s="7">
        <f t="shared" si="2"/>
        <v>15040996.234815989</v>
      </c>
      <c r="X15" s="7">
        <f t="shared" si="2"/>
        <v>13859066.393735209</v>
      </c>
      <c r="Y15" s="10">
        <f t="shared" si="3"/>
        <v>7.1295317954811643E-2</v>
      </c>
      <c r="Z15" s="10">
        <f t="shared" si="8"/>
        <v>5.7089189998555744E-2</v>
      </c>
      <c r="AA15" s="10">
        <f t="shared" si="9"/>
        <v>-1.42061279562559E-2</v>
      </c>
      <c r="AB15" s="10">
        <f t="shared" si="10"/>
        <v>7.0400000000000004E-2</v>
      </c>
      <c r="AC15" s="10">
        <f t="shared" si="11"/>
        <v>5.5898879999999936E-2</v>
      </c>
      <c r="AD15" s="10">
        <f t="shared" si="12"/>
        <v>-1.4501120000000069E-2</v>
      </c>
      <c r="AE15" s="10">
        <f t="shared" si="4"/>
        <v>0.50790514460192115</v>
      </c>
      <c r="AF15" s="10">
        <f t="shared" si="4"/>
        <v>0.39062242826007543</v>
      </c>
      <c r="AG15" s="10">
        <f t="shared" si="13"/>
        <v>-0.11728271634184573</v>
      </c>
      <c r="AH15" s="10">
        <f t="shared" si="5"/>
        <v>0.50409962348159887</v>
      </c>
      <c r="AI15" s="10">
        <f t="shared" si="5"/>
        <v>0.38590663937352088</v>
      </c>
      <c r="AJ15" s="10">
        <f t="shared" si="14"/>
        <v>-0.11819298410807799</v>
      </c>
      <c r="AK15" s="10">
        <f t="shared" si="6"/>
        <v>7.0850894578311951E-2</v>
      </c>
      <c r="AL15" s="10">
        <f t="shared" si="15"/>
        <v>5.6496846103198051E-2</v>
      </c>
      <c r="AM15" s="10">
        <f t="shared" si="16"/>
        <v>-1.4354048475113901E-2</v>
      </c>
      <c r="AN15" s="10">
        <f t="shared" si="17"/>
        <v>7.0400000000000018E-2</v>
      </c>
      <c r="AO15" s="10">
        <f t="shared" si="18"/>
        <v>5.5898879999999984E-2</v>
      </c>
      <c r="AP15" s="10">
        <f t="shared" si="19"/>
        <v>-1.4501120000000034E-2</v>
      </c>
    </row>
    <row r="16" spans="2:42" x14ac:dyDescent="0.45">
      <c r="B16" t="s">
        <v>9</v>
      </c>
      <c r="C16" s="4">
        <f>'Return Simulator'!D63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4935813.8940850198</v>
      </c>
      <c r="J16" s="7">
        <f t="shared" si="1"/>
        <v>4357983.3005872555</v>
      </c>
      <c r="K16" s="7">
        <f t="shared" si="1"/>
        <v>3290542.5960566802</v>
      </c>
      <c r="L16" s="7">
        <f t="shared" si="1"/>
        <v>3185374.3489101562</v>
      </c>
      <c r="M16" s="7">
        <f t="shared" si="1"/>
        <v>2701632.8115000003</v>
      </c>
      <c r="N16" s="7">
        <f t="shared" si="1"/>
        <v>2354946.070339811</v>
      </c>
      <c r="O16" s="7">
        <f t="shared" si="1"/>
        <v>1801088.5410000002</v>
      </c>
      <c r="P16" s="7">
        <f t="shared" si="1"/>
        <v>1741903.1429960364</v>
      </c>
      <c r="Q16" s="7">
        <f t="shared" si="1"/>
        <v>2056589.122535425</v>
      </c>
      <c r="R16" s="7">
        <f t="shared" si="1"/>
        <v>1735909.0869145275</v>
      </c>
      <c r="S16" s="7">
        <f t="shared" si="1"/>
        <v>1371059.4150236167</v>
      </c>
      <c r="T16" s="7">
        <f t="shared" si="1"/>
        <v>1327239.3120458983</v>
      </c>
      <c r="U16" s="8">
        <f t="shared" si="7"/>
        <v>16156726.380200742</v>
      </c>
      <c r="V16" s="8">
        <f t="shared" si="7"/>
        <v>14703355.261793684</v>
      </c>
      <c r="W16" s="7">
        <f t="shared" si="2"/>
        <v>16099882.369747035</v>
      </c>
      <c r="X16" s="7">
        <f t="shared" si="2"/>
        <v>14633772.682990646</v>
      </c>
      <c r="Y16" s="10">
        <f t="shared" si="3"/>
        <v>7.1468350515246526E-2</v>
      </c>
      <c r="Z16" s="10">
        <f t="shared" si="8"/>
        <v>5.7321884286756747E-2</v>
      </c>
      <c r="AA16" s="10">
        <f t="shared" si="9"/>
        <v>-1.4146466228489779E-2</v>
      </c>
      <c r="AB16" s="10">
        <f t="shared" si="10"/>
        <v>7.040000000000006E-2</v>
      </c>
      <c r="AC16" s="10">
        <f t="shared" si="11"/>
        <v>5.5898879999999949E-2</v>
      </c>
      <c r="AD16" s="10">
        <f t="shared" si="12"/>
        <v>-1.450112000000011E-2</v>
      </c>
      <c r="AE16" s="10">
        <f t="shared" si="4"/>
        <v>0.61567263802007477</v>
      </c>
      <c r="AF16" s="10">
        <f t="shared" si="4"/>
        <v>0.47033552617936802</v>
      </c>
      <c r="AG16" s="10">
        <f t="shared" si="13"/>
        <v>-0.14533711184070675</v>
      </c>
      <c r="AH16" s="10">
        <f t="shared" si="5"/>
        <v>0.60998823697470339</v>
      </c>
      <c r="AI16" s="10">
        <f t="shared" si="5"/>
        <v>0.46337726829906467</v>
      </c>
      <c r="AJ16" s="10">
        <f t="shared" si="14"/>
        <v>-0.14661096867563872</v>
      </c>
      <c r="AK16" s="10">
        <f t="shared" si="6"/>
        <v>7.0939080779508279E-2</v>
      </c>
      <c r="AL16" s="10">
        <f t="shared" si="15"/>
        <v>5.6614669273717499E-2</v>
      </c>
      <c r="AM16" s="10">
        <f t="shared" si="16"/>
        <v>-1.4324411505790779E-2</v>
      </c>
      <c r="AN16" s="10">
        <f t="shared" si="17"/>
        <v>7.0400000000000018E-2</v>
      </c>
      <c r="AO16" s="10">
        <f t="shared" si="18"/>
        <v>5.5898879999999984E-2</v>
      </c>
      <c r="AP16" s="10">
        <f t="shared" si="19"/>
        <v>-1.4501120000000034E-2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5330679.005611822</v>
      </c>
      <c r="J17" s="7">
        <f t="shared" si="1"/>
        <v>4623645.9625910539</v>
      </c>
      <c r="K17" s="7">
        <f t="shared" si="1"/>
        <v>3553786.003741215</v>
      </c>
      <c r="L17" s="7">
        <f t="shared" si="1"/>
        <v>3424277.4250784176</v>
      </c>
      <c r="M17" s="7">
        <f t="shared" si="1"/>
        <v>2836714.4520750004</v>
      </c>
      <c r="N17" s="7">
        <f t="shared" si="1"/>
        <v>2424652.4740218697</v>
      </c>
      <c r="O17" s="7">
        <f t="shared" si="1"/>
        <v>1891142.9680500003</v>
      </c>
      <c r="P17" s="7">
        <f t="shared" si="1"/>
        <v>1820288.784430858</v>
      </c>
      <c r="Q17" s="7">
        <f t="shared" si="1"/>
        <v>2221116.252338259</v>
      </c>
      <c r="R17" s="7">
        <f t="shared" si="1"/>
        <v>1829925.9230618184</v>
      </c>
      <c r="S17" s="7">
        <f t="shared" si="1"/>
        <v>1480744.1682255061</v>
      </c>
      <c r="T17" s="7">
        <f t="shared" si="1"/>
        <v>1426782.2604493406</v>
      </c>
      <c r="U17" s="8">
        <f t="shared" si="7"/>
        <v>17314182.850041803</v>
      </c>
      <c r="V17" s="8">
        <f t="shared" si="7"/>
        <v>15549572.829633357</v>
      </c>
      <c r="W17" s="7">
        <f t="shared" si="2"/>
        <v>17233314.088577226</v>
      </c>
      <c r="X17" s="7">
        <f t="shared" si="2"/>
        <v>15451784.186144417</v>
      </c>
      <c r="Y17" s="10">
        <f t="shared" si="3"/>
        <v>7.163929391411035E-2</v>
      </c>
      <c r="Z17" s="10">
        <f t="shared" si="8"/>
        <v>5.7552684592920691E-2</v>
      </c>
      <c r="AA17" s="10">
        <f t="shared" si="9"/>
        <v>-1.4086609321189658E-2</v>
      </c>
      <c r="AB17" s="10">
        <f t="shared" si="10"/>
        <v>7.0399999999999963E-2</v>
      </c>
      <c r="AC17" s="10">
        <f t="shared" si="11"/>
        <v>5.5898879999999929E-2</v>
      </c>
      <c r="AD17" s="10">
        <f t="shared" si="12"/>
        <v>-1.4501120000000034E-2</v>
      </c>
      <c r="AE17" s="10">
        <f t="shared" si="4"/>
        <v>0.73141828500418105</v>
      </c>
      <c r="AF17" s="10">
        <f t="shared" si="4"/>
        <v>0.55495728296333513</v>
      </c>
      <c r="AG17" s="10">
        <f t="shared" si="13"/>
        <v>-0.17646100204084592</v>
      </c>
      <c r="AH17" s="10">
        <f t="shared" si="5"/>
        <v>0.72333140885772251</v>
      </c>
      <c r="AI17" s="10">
        <f t="shared" si="5"/>
        <v>0.54517841861444194</v>
      </c>
      <c r="AJ17" s="10">
        <f t="shared" si="14"/>
        <v>-0.17815299024328057</v>
      </c>
      <c r="AK17" s="10">
        <f t="shared" si="6"/>
        <v>7.1026582394472459E-2</v>
      </c>
      <c r="AL17" s="10">
        <f t="shared" si="15"/>
        <v>5.6731875674050691E-2</v>
      </c>
      <c r="AM17" s="10">
        <f t="shared" si="16"/>
        <v>-1.4294706720421768E-2</v>
      </c>
      <c r="AN17" s="10">
        <f t="shared" si="17"/>
        <v>7.0400000000000018E-2</v>
      </c>
      <c r="AO17" s="10">
        <f t="shared" si="18"/>
        <v>5.5898879999999984E-2</v>
      </c>
      <c r="AP17" s="10">
        <f t="shared" si="19"/>
        <v>-1.4501120000000034E-2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5757133.3260607682</v>
      </c>
      <c r="J18" s="7">
        <f t="shared" si="1"/>
        <v>4905503.4204706037</v>
      </c>
      <c r="K18" s="7">
        <f t="shared" si="1"/>
        <v>3838088.8840405126</v>
      </c>
      <c r="L18" s="7">
        <f t="shared" si="1"/>
        <v>3681098.2319592987</v>
      </c>
      <c r="M18" s="7">
        <f t="shared" si="1"/>
        <v>2978550.1746787503</v>
      </c>
      <c r="N18" s="7">
        <f t="shared" si="1"/>
        <v>2496422.1872529173</v>
      </c>
      <c r="O18" s="7">
        <f t="shared" si="1"/>
        <v>1985700.1164525005</v>
      </c>
      <c r="P18" s="7">
        <f t="shared" si="1"/>
        <v>1902201.7797302464</v>
      </c>
      <c r="Q18" s="7">
        <f t="shared" si="1"/>
        <v>2398805.5525253201</v>
      </c>
      <c r="R18" s="7">
        <f t="shared" si="1"/>
        <v>1929034.7110548464</v>
      </c>
      <c r="S18" s="7">
        <f t="shared" si="1"/>
        <v>1599203.7016835466</v>
      </c>
      <c r="T18" s="7">
        <f t="shared" si="1"/>
        <v>1533790.929983041</v>
      </c>
      <c r="U18" s="8">
        <f t="shared" si="7"/>
        <v>18557481.755441397</v>
      </c>
      <c r="V18" s="8">
        <f t="shared" si="7"/>
        <v>16448051.260450954</v>
      </c>
      <c r="W18" s="7">
        <f t="shared" si="2"/>
        <v>18446539.400413062</v>
      </c>
      <c r="X18" s="7">
        <f t="shared" si="2"/>
        <v>16315521.616151601</v>
      </c>
      <c r="Y18" s="10">
        <f t="shared" si="3"/>
        <v>7.1808119168418783E-2</v>
      </c>
      <c r="Z18" s="10">
        <f t="shared" si="8"/>
        <v>5.7781550699922461E-2</v>
      </c>
      <c r="AA18" s="10">
        <f t="shared" si="9"/>
        <v>-1.4026568468496321E-2</v>
      </c>
      <c r="AB18" s="10">
        <f t="shared" si="10"/>
        <v>7.039999999999999E-2</v>
      </c>
      <c r="AC18" s="10">
        <f t="shared" si="11"/>
        <v>5.589887999999997E-2</v>
      </c>
      <c r="AD18" s="10">
        <f t="shared" si="12"/>
        <v>-1.450112000000002E-2</v>
      </c>
      <c r="AE18" s="10">
        <f t="shared" si="4"/>
        <v>0.85574817554414051</v>
      </c>
      <c r="AF18" s="10">
        <f t="shared" si="4"/>
        <v>0.64480512604509466</v>
      </c>
      <c r="AG18" s="10">
        <f t="shared" si="13"/>
        <v>-0.21094304949904585</v>
      </c>
      <c r="AH18" s="10">
        <f t="shared" si="5"/>
        <v>0.84465394004130623</v>
      </c>
      <c r="AI18" s="10">
        <f t="shared" si="5"/>
        <v>0.63155216161516048</v>
      </c>
      <c r="AJ18" s="10">
        <f t="shared" si="14"/>
        <v>-0.21310177842614575</v>
      </c>
      <c r="AK18" s="10">
        <f t="shared" si="6"/>
        <v>7.1113391664079595E-2</v>
      </c>
      <c r="AL18" s="10">
        <f t="shared" si="15"/>
        <v>5.6848454775016322E-2</v>
      </c>
      <c r="AM18" s="10">
        <f t="shared" si="16"/>
        <v>-1.4264936889063273E-2</v>
      </c>
      <c r="AN18" s="10">
        <f t="shared" si="17"/>
        <v>7.0400000000000018E-2</v>
      </c>
      <c r="AO18" s="10">
        <f t="shared" si="18"/>
        <v>5.5898879999999984E-2</v>
      </c>
      <c r="AP18" s="10">
        <f t="shared" si="19"/>
        <v>-1.4501120000000034E-2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6217703.9921456305</v>
      </c>
      <c r="J19" s="7">
        <f t="shared" si="1"/>
        <v>5204542.9089824911</v>
      </c>
      <c r="K19" s="7">
        <f t="shared" si="1"/>
        <v>4145135.9947637538</v>
      </c>
      <c r="L19" s="7">
        <f t="shared" si="1"/>
        <v>3957180.5993562462</v>
      </c>
      <c r="M19" s="7">
        <f t="shared" si="1"/>
        <v>3127477.6834126879</v>
      </c>
      <c r="N19" s="7">
        <f t="shared" si="1"/>
        <v>2570316.2839956037</v>
      </c>
      <c r="O19" s="7">
        <f t="shared" si="1"/>
        <v>2084985.1222751255</v>
      </c>
      <c r="P19" s="7">
        <f t="shared" si="1"/>
        <v>1987800.8598181074</v>
      </c>
      <c r="Q19" s="7">
        <f t="shared" si="1"/>
        <v>2590709.996727346</v>
      </c>
      <c r="R19" s="7">
        <f t="shared" si="1"/>
        <v>2033511.2310055769</v>
      </c>
      <c r="S19" s="7">
        <f t="shared" si="1"/>
        <v>1727139.9978182304</v>
      </c>
      <c r="T19" s="7">
        <f t="shared" si="1"/>
        <v>1648825.2497317691</v>
      </c>
      <c r="U19" s="8">
        <f t="shared" si="7"/>
        <v>19893152.787142776</v>
      </c>
      <c r="V19" s="8">
        <f t="shared" si="7"/>
        <v>17402177.132889796</v>
      </c>
      <c r="W19" s="7">
        <f t="shared" si="2"/>
        <v>19745175.774202142</v>
      </c>
      <c r="X19" s="7">
        <f t="shared" si="2"/>
        <v>17227541.001110267</v>
      </c>
      <c r="Y19" s="10">
        <f t="shared" si="3"/>
        <v>7.1974799668588385E-2</v>
      </c>
      <c r="Z19" s="10">
        <f t="shared" si="8"/>
        <v>5.8008444728830648E-2</v>
      </c>
      <c r="AA19" s="10">
        <f t="shared" si="9"/>
        <v>-1.3966354939757737E-2</v>
      </c>
      <c r="AB19" s="10">
        <f t="shared" si="10"/>
        <v>7.039999999999999E-2</v>
      </c>
      <c r="AC19" s="10">
        <f t="shared" si="11"/>
        <v>5.5898880000000088E-2</v>
      </c>
      <c r="AD19" s="10">
        <f t="shared" si="12"/>
        <v>-1.4501119999999902E-2</v>
      </c>
      <c r="AE19" s="10">
        <f t="shared" si="4"/>
        <v>0.98931527871427849</v>
      </c>
      <c r="AF19" s="10">
        <f t="shared" si="4"/>
        <v>0.7402177132889789</v>
      </c>
      <c r="AG19" s="10">
        <f t="shared" si="13"/>
        <v>-0.24909756542529959</v>
      </c>
      <c r="AH19" s="10">
        <f t="shared" si="5"/>
        <v>0.97451757742021416</v>
      </c>
      <c r="AI19" s="10">
        <f t="shared" si="5"/>
        <v>0.72275410011102692</v>
      </c>
      <c r="AJ19" s="10">
        <f t="shared" si="14"/>
        <v>-0.25176347730918724</v>
      </c>
      <c r="AK19" s="10">
        <f t="shared" si="6"/>
        <v>7.1199501306231427E-2</v>
      </c>
      <c r="AL19" s="10">
        <f t="shared" si="15"/>
        <v>5.6964396516310911E-2</v>
      </c>
      <c r="AM19" s="10">
        <f t="shared" si="16"/>
        <v>-1.4235104789920516E-2</v>
      </c>
      <c r="AN19" s="10">
        <f t="shared" si="17"/>
        <v>7.0400000000000018E-2</v>
      </c>
      <c r="AO19" s="10">
        <f t="shared" si="18"/>
        <v>5.5898879999999984E-2</v>
      </c>
      <c r="AP19" s="10">
        <f t="shared" si="19"/>
        <v>-1.4501120000000034E-2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6715120.3115172815</v>
      </c>
      <c r="J20" s="7">
        <f t="shared" si="1"/>
        <v>5521811.8447140632</v>
      </c>
      <c r="K20" s="7">
        <f t="shared" si="1"/>
        <v>4476746.8743448546</v>
      </c>
      <c r="L20" s="7">
        <f t="shared" si="1"/>
        <v>4253969.1443079645</v>
      </c>
      <c r="M20" s="7">
        <f t="shared" si="1"/>
        <v>3283851.5675833225</v>
      </c>
      <c r="N20" s="7">
        <f t="shared" si="1"/>
        <v>2646397.6460018735</v>
      </c>
      <c r="O20" s="7">
        <f t="shared" si="1"/>
        <v>2189234.3783888817</v>
      </c>
      <c r="P20" s="7">
        <f t="shared" si="1"/>
        <v>2077251.8985099222</v>
      </c>
      <c r="Q20" s="7">
        <f t="shared" si="1"/>
        <v>2797966.7964655338</v>
      </c>
      <c r="R20" s="7">
        <f t="shared" si="1"/>
        <v>2143646.1992768389</v>
      </c>
      <c r="S20" s="7">
        <f t="shared" si="1"/>
        <v>1865311.1976436889</v>
      </c>
      <c r="T20" s="7">
        <f t="shared" si="1"/>
        <v>1772487.1434616516</v>
      </c>
      <c r="U20" s="8">
        <f t="shared" si="7"/>
        <v>21328231.125943564</v>
      </c>
      <c r="V20" s="8">
        <f t="shared" si="7"/>
        <v>18415563.876272313</v>
      </c>
      <c r="W20" s="7">
        <f t="shared" si="2"/>
        <v>21135236.148705974</v>
      </c>
      <c r="X20" s="7">
        <f t="shared" si="2"/>
        <v>18190541.248226408</v>
      </c>
      <c r="Y20" s="10">
        <f t="shared" si="3"/>
        <v>7.2139311156766417E-2</v>
      </c>
      <c r="Z20" s="10">
        <f t="shared" si="8"/>
        <v>5.8233331131151103E-2</v>
      </c>
      <c r="AA20" s="10">
        <f t="shared" si="9"/>
        <v>-1.3905980025615314E-2</v>
      </c>
      <c r="AB20" s="10">
        <f t="shared" si="10"/>
        <v>7.0400000000000074E-2</v>
      </c>
      <c r="AC20" s="10">
        <f t="shared" si="11"/>
        <v>5.5898879999999901E-2</v>
      </c>
      <c r="AD20" s="10">
        <f t="shared" si="12"/>
        <v>-1.4501120000000173E-2</v>
      </c>
      <c r="AE20" s="10">
        <f t="shared" si="4"/>
        <v>1.1328231125943575</v>
      </c>
      <c r="AF20" s="10">
        <f t="shared" si="4"/>
        <v>0.84155638762723073</v>
      </c>
      <c r="AG20" s="10">
        <f t="shared" si="13"/>
        <v>-0.2912667249671268</v>
      </c>
      <c r="AH20" s="10">
        <f t="shared" si="5"/>
        <v>1.1135236148705974</v>
      </c>
      <c r="AI20" s="10">
        <f t="shared" si="5"/>
        <v>0.81905412482264128</v>
      </c>
      <c r="AJ20" s="10">
        <f t="shared" si="14"/>
        <v>-0.29446949004795608</v>
      </c>
      <c r="AK20" s="10">
        <f t="shared" si="6"/>
        <v>7.1284904512645797E-2</v>
      </c>
      <c r="AL20" s="10">
        <f t="shared" si="15"/>
        <v>5.7079691305601754E-2</v>
      </c>
      <c r="AM20" s="10">
        <f t="shared" si="16"/>
        <v>-1.4205213207044043E-2</v>
      </c>
      <c r="AN20" s="10">
        <f t="shared" si="17"/>
        <v>7.0400000000000018E-2</v>
      </c>
      <c r="AO20" s="10">
        <f t="shared" si="18"/>
        <v>5.5898879999999984E-2</v>
      </c>
      <c r="AP20" s="10">
        <f t="shared" si="19"/>
        <v>-1.4501120000000034E-2</v>
      </c>
    </row>
    <row r="21" spans="2:42" x14ac:dyDescent="0.45">
      <c r="B21" s="32" t="s">
        <v>42</v>
      </c>
      <c r="C21" s="33" t="s">
        <v>76</v>
      </c>
      <c r="D21" s="33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7252329.9364386648</v>
      </c>
      <c r="J21" s="7">
        <f t="shared" si="1"/>
        <v>5858421.4947678316</v>
      </c>
      <c r="K21" s="7">
        <f t="shared" si="1"/>
        <v>4834886.6242924435</v>
      </c>
      <c r="L21" s="7">
        <f t="shared" si="1"/>
        <v>4573016.8301310614</v>
      </c>
      <c r="M21" s="7">
        <f t="shared" si="1"/>
        <v>3448044.1459624888</v>
      </c>
      <c r="N21" s="7">
        <f t="shared" si="1"/>
        <v>2724731.0163235292</v>
      </c>
      <c r="O21" s="7">
        <f t="shared" si="1"/>
        <v>2298696.097308326</v>
      </c>
      <c r="P21" s="7">
        <f t="shared" si="1"/>
        <v>2170728.2339428687</v>
      </c>
      <c r="Q21" s="7">
        <f t="shared" si="1"/>
        <v>3021804.1401827768</v>
      </c>
      <c r="R21" s="7">
        <f t="shared" si="1"/>
        <v>2259746.0774296727</v>
      </c>
      <c r="S21" s="7">
        <f t="shared" si="1"/>
        <v>2014536.093455184</v>
      </c>
      <c r="T21" s="7">
        <f t="shared" si="1"/>
        <v>1905423.6792212755</v>
      </c>
      <c r="U21" s="8">
        <f t="shared" si="7"/>
        <v>22870297.037639886</v>
      </c>
      <c r="V21" s="8">
        <f t="shared" si="7"/>
        <v>19492067.331816237</v>
      </c>
      <c r="W21" s="7">
        <f t="shared" si="2"/>
        <v>22623156.773574874</v>
      </c>
      <c r="X21" s="7">
        <f t="shared" si="2"/>
        <v>19207372.130596064</v>
      </c>
      <c r="Y21" s="10">
        <f t="shared" si="3"/>
        <v>7.2301631700744287E-2</v>
      </c>
      <c r="Z21" s="10">
        <f t="shared" si="8"/>
        <v>5.8456176676238189E-2</v>
      </c>
      <c r="AA21" s="10">
        <f t="shared" si="9"/>
        <v>-1.3845455024506098E-2</v>
      </c>
      <c r="AB21" s="10">
        <f t="shared" si="10"/>
        <v>7.0399999999999949E-2</v>
      </c>
      <c r="AC21" s="10">
        <f t="shared" si="11"/>
        <v>5.5898879999999887E-2</v>
      </c>
      <c r="AD21" s="10">
        <f t="shared" si="12"/>
        <v>-1.4501120000000062E-2</v>
      </c>
      <c r="AE21" s="10">
        <f t="shared" si="4"/>
        <v>1.2870297037639897</v>
      </c>
      <c r="AF21" s="10">
        <f t="shared" si="4"/>
        <v>0.94920673318162296</v>
      </c>
      <c r="AG21" s="10">
        <f t="shared" si="13"/>
        <v>-0.33782297058236677</v>
      </c>
      <c r="AH21" s="10">
        <f t="shared" si="5"/>
        <v>1.2623156773574875</v>
      </c>
      <c r="AI21" s="10">
        <f t="shared" si="5"/>
        <v>0.92073721305960721</v>
      </c>
      <c r="AJ21" s="10">
        <f t="shared" si="14"/>
        <v>-0.3415784642978803</v>
      </c>
      <c r="AK21" s="10">
        <f t="shared" si="6"/>
        <v>7.1369594945001724E-2</v>
      </c>
      <c r="AL21" s="10">
        <f t="shared" si="15"/>
        <v>5.7194330016914874E-2</v>
      </c>
      <c r="AM21" s="10">
        <f t="shared" si="16"/>
        <v>-1.417526492808685E-2</v>
      </c>
      <c r="AN21" s="10">
        <f t="shared" si="17"/>
        <v>7.0400000000000018E-2</v>
      </c>
      <c r="AO21" s="10">
        <f t="shared" si="18"/>
        <v>5.5898879999999984E-2</v>
      </c>
      <c r="AP21" s="10">
        <f t="shared" si="19"/>
        <v>-1.4501120000000034E-2</v>
      </c>
    </row>
    <row r="22" spans="2:42" x14ac:dyDescent="0.45">
      <c r="B22" t="s">
        <v>43</v>
      </c>
      <c r="C22" s="8">
        <f>_xlfn.XLOOKUP(C3,G:G,V:V)</f>
        <v>30933322.074651059</v>
      </c>
      <c r="D22" s="8">
        <f>_xlfn.XLOOKUP(C3,G:G,X:X)</f>
        <v>29678816.894493531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7832516.3313537585</v>
      </c>
      <c r="J22" s="7">
        <f t="shared" si="1"/>
        <v>6215550.8690888779</v>
      </c>
      <c r="K22" s="7">
        <f t="shared" si="1"/>
        <v>5221677.5542358393</v>
      </c>
      <c r="L22" s="7">
        <f t="shared" si="1"/>
        <v>4915993.0923908912</v>
      </c>
      <c r="M22" s="7">
        <f t="shared" si="1"/>
        <v>3620446.3532606135</v>
      </c>
      <c r="N22" s="7">
        <f t="shared" si="1"/>
        <v>2805383.0544067058</v>
      </c>
      <c r="O22" s="7">
        <f t="shared" si="1"/>
        <v>2413630.9021737427</v>
      </c>
      <c r="P22" s="7">
        <f t="shared" si="1"/>
        <v>2268411.0044702976</v>
      </c>
      <c r="Q22" s="7">
        <f t="shared" si="1"/>
        <v>3263548.4713973994</v>
      </c>
      <c r="R22" s="7">
        <f t="shared" si="1"/>
        <v>2382133.9249832639</v>
      </c>
      <c r="S22" s="7">
        <f t="shared" si="1"/>
        <v>2175698.9809315987</v>
      </c>
      <c r="T22" s="7">
        <f t="shared" si="1"/>
        <v>2048330.4551628712</v>
      </c>
      <c r="U22" s="8">
        <f t="shared" si="7"/>
        <v>24527518.593352955</v>
      </c>
      <c r="V22" s="8">
        <f t="shared" si="7"/>
        <v>20635802.400502909</v>
      </c>
      <c r="W22" s="7">
        <f t="shared" si="2"/>
        <v>24215827.010434546</v>
      </c>
      <c r="X22" s="7">
        <f t="shared" si="2"/>
        <v>20281042.720439598</v>
      </c>
      <c r="Y22" s="10">
        <f t="shared" si="3"/>
        <v>7.2461741663679177E-2</v>
      </c>
      <c r="Z22" s="10">
        <f t="shared" si="8"/>
        <v>5.8676950434076933E-2</v>
      </c>
      <c r="AA22" s="10">
        <f t="shared" si="9"/>
        <v>-1.3784791229602245E-2</v>
      </c>
      <c r="AB22" s="10">
        <f t="shared" si="10"/>
        <v>7.0400000000000032E-2</v>
      </c>
      <c r="AC22" s="10">
        <f t="shared" si="11"/>
        <v>5.5898880000000012E-2</v>
      </c>
      <c r="AD22" s="10">
        <f t="shared" si="12"/>
        <v>-1.450112000000002E-2</v>
      </c>
      <c r="AE22" s="10">
        <f t="shared" si="4"/>
        <v>1.4527518593352968</v>
      </c>
      <c r="AF22" s="10">
        <f t="shared" si="4"/>
        <v>1.0635802400502903</v>
      </c>
      <c r="AG22" s="10">
        <f t="shared" si="13"/>
        <v>-0.38917161928500654</v>
      </c>
      <c r="AH22" s="10">
        <f t="shared" si="5"/>
        <v>1.4215827010434547</v>
      </c>
      <c r="AI22" s="10">
        <f t="shared" si="5"/>
        <v>1.0281042720439606</v>
      </c>
      <c r="AJ22" s="10">
        <f t="shared" si="14"/>
        <v>-0.39347842899949415</v>
      </c>
      <c r="AK22" s="10">
        <f t="shared" si="6"/>
        <v>7.1453566730468987E-2</v>
      </c>
      <c r="AL22" s="10">
        <f t="shared" si="15"/>
        <v>5.7308303988348408E-2</v>
      </c>
      <c r="AM22" s="10">
        <f t="shared" si="16"/>
        <v>-1.4145262742120579E-2</v>
      </c>
      <c r="AN22" s="10">
        <f t="shared" si="17"/>
        <v>7.0400000000000018E-2</v>
      </c>
      <c r="AO22" s="10">
        <f t="shared" si="18"/>
        <v>5.5898879999999984E-2</v>
      </c>
      <c r="AP22" s="10">
        <f t="shared" si="19"/>
        <v>-1.4501120000000034E-2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8459117.6378620602</v>
      </c>
      <c r="J23" s="7">
        <f t="shared" si="1"/>
        <v>6594450.8500685357</v>
      </c>
      <c r="K23" s="7">
        <f t="shared" si="1"/>
        <v>5639411.7585747065</v>
      </c>
      <c r="L23" s="7">
        <f t="shared" si="1"/>
        <v>5284692.5743202073</v>
      </c>
      <c r="M23" s="7">
        <f t="shared" si="1"/>
        <v>3801468.6709236442</v>
      </c>
      <c r="N23" s="7">
        <f t="shared" si="1"/>
        <v>2888422.3928171443</v>
      </c>
      <c r="O23" s="7">
        <f t="shared" si="1"/>
        <v>2534312.4472824298</v>
      </c>
      <c r="P23" s="7">
        <f t="shared" si="1"/>
        <v>2370489.4996714611</v>
      </c>
      <c r="Q23" s="7">
        <f t="shared" si="1"/>
        <v>3524632.3491091914</v>
      </c>
      <c r="R23" s="7">
        <f t="shared" si="1"/>
        <v>2511150.2983603575</v>
      </c>
      <c r="S23" s="7">
        <f t="shared" si="1"/>
        <v>2349754.8994061267</v>
      </c>
      <c r="T23" s="7">
        <f t="shared" si="1"/>
        <v>2201955.2393000866</v>
      </c>
      <c r="U23" s="8">
        <f t="shared" si="7"/>
        <v>26308697.763158157</v>
      </c>
      <c r="V23" s="8">
        <f t="shared" si="7"/>
        <v>21851160.854537796</v>
      </c>
      <c r="W23" s="7">
        <f t="shared" si="2"/>
        <v>25920621.231969137</v>
      </c>
      <c r="X23" s="7">
        <f t="shared" si="2"/>
        <v>21414730.293744326</v>
      </c>
      <c r="Y23" s="10">
        <f t="shared" si="3"/>
        <v>7.2619623669877009E-2</v>
      </c>
      <c r="Z23" s="10">
        <f t="shared" si="8"/>
        <v>5.8895623753659712E-2</v>
      </c>
      <c r="AA23" s="10">
        <f t="shared" si="9"/>
        <v>-1.3723999916217297E-2</v>
      </c>
      <c r="AB23" s="10">
        <f t="shared" si="10"/>
        <v>7.0399999999999963E-2</v>
      </c>
      <c r="AC23" s="10">
        <f t="shared" si="11"/>
        <v>5.5898880000000054E-2</v>
      </c>
      <c r="AD23" s="10">
        <f t="shared" si="12"/>
        <v>-1.4501119999999909E-2</v>
      </c>
      <c r="AE23" s="10">
        <f t="shared" si="4"/>
        <v>1.6308697763158175</v>
      </c>
      <c r="AF23" s="10">
        <f t="shared" si="4"/>
        <v>1.185116085453779</v>
      </c>
      <c r="AG23" s="10">
        <f t="shared" si="13"/>
        <v>-0.44575369086203853</v>
      </c>
      <c r="AH23" s="10">
        <f t="shared" si="5"/>
        <v>1.5920621231969139</v>
      </c>
      <c r="AI23" s="10">
        <f t="shared" si="5"/>
        <v>1.1414730293744331</v>
      </c>
      <c r="AJ23" s="10">
        <f t="shared" si="14"/>
        <v>-0.4505890938224808</v>
      </c>
      <c r="AK23" s="10">
        <f t="shared" si="6"/>
        <v>7.1536814456651499E-2</v>
      </c>
      <c r="AL23" s="10">
        <f t="shared" si="15"/>
        <v>5.7421605019135846E-2</v>
      </c>
      <c r="AM23" s="10">
        <f t="shared" si="16"/>
        <v>-1.4115209437515652E-2</v>
      </c>
      <c r="AN23" s="10">
        <f t="shared" si="17"/>
        <v>7.0400000000000018E-2</v>
      </c>
      <c r="AO23" s="10">
        <f t="shared" si="18"/>
        <v>5.5898879999999984E-2</v>
      </c>
      <c r="AP23" s="10">
        <f t="shared" si="19"/>
        <v>-1.4501120000000034E-2</v>
      </c>
    </row>
    <row r="24" spans="2:42" x14ac:dyDescent="0.45">
      <c r="B24" t="s">
        <v>62</v>
      </c>
      <c r="C24" s="9">
        <f>_xlfn.XLOOKUP(C3,G:G,AE:AE)</f>
        <v>3.018506123463748</v>
      </c>
      <c r="D24" s="9">
        <f>_xlfn.XLOOKUP(C3,G:G,AH:AH)</f>
        <v>2.8987196635413923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9135847.0488910265</v>
      </c>
      <c r="J24" s="7">
        <f t="shared" si="1"/>
        <v>6996448.5738887126</v>
      </c>
      <c r="K24" s="7">
        <f t="shared" si="1"/>
        <v>6090564.6992606837</v>
      </c>
      <c r="L24" s="7">
        <f t="shared" si="1"/>
        <v>5681044.5173942223</v>
      </c>
      <c r="M24" s="7">
        <f t="shared" si="1"/>
        <v>3991542.1044698264</v>
      </c>
      <c r="N24" s="7">
        <f t="shared" si="1"/>
        <v>2973919.6956445319</v>
      </c>
      <c r="O24" s="7">
        <f t="shared" si="1"/>
        <v>2661028.0696465513</v>
      </c>
      <c r="P24" s="7">
        <f t="shared" si="1"/>
        <v>2477161.5271566766</v>
      </c>
      <c r="Q24" s="7">
        <f t="shared" si="1"/>
        <v>3806602.9370379271</v>
      </c>
      <c r="R24" s="7">
        <f t="shared" si="1"/>
        <v>2647154.1985195545</v>
      </c>
      <c r="S24" s="7">
        <f t="shared" si="1"/>
        <v>2537735.2913586171</v>
      </c>
      <c r="T24" s="7">
        <f t="shared" si="1"/>
        <v>2367101.8822475933</v>
      </c>
      <c r="U24" s="8">
        <f t="shared" si="7"/>
        <v>28223320.150664631</v>
      </c>
      <c r="V24" s="8">
        <f t="shared" si="7"/>
        <v>23142830.39485129</v>
      </c>
      <c r="W24" s="7">
        <f t="shared" si="2"/>
        <v>27745432.966699764</v>
      </c>
      <c r="X24" s="7">
        <f t="shared" si="2"/>
        <v>22611789.732666705</v>
      </c>
      <c r="Y24" s="10">
        <f t="shared" si="3"/>
        <v>7.2775262566878107E-2</v>
      </c>
      <c r="Z24" s="10">
        <f t="shared" si="8"/>
        <v>5.9112170237182363E-2</v>
      </c>
      <c r="AA24" s="10">
        <f t="shared" si="9"/>
        <v>-1.3663092329695745E-2</v>
      </c>
      <c r="AB24" s="10">
        <f t="shared" si="10"/>
        <v>7.0400000000000004E-2</v>
      </c>
      <c r="AC24" s="10">
        <f t="shared" si="11"/>
        <v>5.5898880000000019E-2</v>
      </c>
      <c r="AD24" s="10">
        <f t="shared" si="12"/>
        <v>-1.4501119999999985E-2</v>
      </c>
      <c r="AE24" s="10">
        <f t="shared" si="4"/>
        <v>1.8223320150664648</v>
      </c>
      <c r="AF24" s="10">
        <f t="shared" si="4"/>
        <v>1.3142830394851286</v>
      </c>
      <c r="AG24" s="10">
        <f t="shared" si="13"/>
        <v>-0.50804897558133622</v>
      </c>
      <c r="AH24" s="10">
        <f t="shared" si="5"/>
        <v>1.7745432966699766</v>
      </c>
      <c r="AI24" s="10">
        <f t="shared" si="5"/>
        <v>1.2611789732666709</v>
      </c>
      <c r="AJ24" s="10">
        <f t="shared" si="14"/>
        <v>-0.51336432340330562</v>
      </c>
      <c r="AK24" s="10">
        <f t="shared" si="6"/>
        <v>7.161933316597513E-2</v>
      </c>
      <c r="AL24" s="10">
        <f t="shared" si="15"/>
        <v>5.7534225366086877E-2</v>
      </c>
      <c r="AM24" s="10">
        <f t="shared" si="16"/>
        <v>-1.4085107799888252E-2</v>
      </c>
      <c r="AN24" s="10">
        <f t="shared" si="17"/>
        <v>7.0400000000000018E-2</v>
      </c>
      <c r="AO24" s="10">
        <f t="shared" si="18"/>
        <v>5.5898879999999984E-2</v>
      </c>
      <c r="AP24" s="10">
        <f t="shared" si="19"/>
        <v>-1.4501120000000034E-2</v>
      </c>
    </row>
    <row r="25" spans="2:42" x14ac:dyDescent="0.45">
      <c r="B25" t="s">
        <v>64</v>
      </c>
      <c r="C25" s="9">
        <f>_xlfn.XLOOKUP(C3,G:G,AF:AF)</f>
        <v>2.0933322074651053</v>
      </c>
      <c r="D25" s="9">
        <f>_xlfn.XLOOKUP(C3,G:G,AI:AI)</f>
        <v>1.9678816894493543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9866714.8128023092</v>
      </c>
      <c r="J25" s="7">
        <f t="shared" si="1"/>
        <v>7422952.0789529681</v>
      </c>
      <c r="K25" s="7">
        <f t="shared" si="1"/>
        <v>6577809.8752015391</v>
      </c>
      <c r="L25" s="7">
        <f t="shared" si="1"/>
        <v>6107122.8561987886</v>
      </c>
      <c r="M25" s="7">
        <f t="shared" si="1"/>
        <v>4191119.2096933178</v>
      </c>
      <c r="N25" s="7">
        <f t="shared" si="1"/>
        <v>3061947.7186356103</v>
      </c>
      <c r="O25" s="7">
        <f t="shared" si="1"/>
        <v>2794079.473128879</v>
      </c>
      <c r="P25" s="7">
        <f t="shared" si="1"/>
        <v>2588633.795878727</v>
      </c>
      <c r="Q25" s="7">
        <f t="shared" si="1"/>
        <v>4111131.1720009614</v>
      </c>
      <c r="R25" s="7">
        <f t="shared" si="1"/>
        <v>2790524.0699113733</v>
      </c>
      <c r="S25" s="7">
        <f t="shared" si="1"/>
        <v>2740754.1146673067</v>
      </c>
      <c r="T25" s="7">
        <f t="shared" si="1"/>
        <v>2544634.5234161625</v>
      </c>
      <c r="U25" s="8">
        <f t="shared" si="7"/>
        <v>30281608.65749431</v>
      </c>
      <c r="V25" s="8">
        <f t="shared" si="7"/>
        <v>24515815.042993627</v>
      </c>
      <c r="W25" s="7">
        <f t="shared" si="2"/>
        <v>29698711.447555427</v>
      </c>
      <c r="X25" s="7">
        <f t="shared" si="2"/>
        <v>23875763.453518271</v>
      </c>
      <c r="Y25" s="10">
        <f t="shared" si="3"/>
        <v>7.2928645384097671E-2</v>
      </c>
      <c r="Z25" s="10">
        <f t="shared" si="8"/>
        <v>5.9326565710294155E-2</v>
      </c>
      <c r="AA25" s="10">
        <f t="shared" si="9"/>
        <v>-1.3602079673803516E-2</v>
      </c>
      <c r="AB25" s="10">
        <f t="shared" si="10"/>
        <v>7.0399999999999963E-2</v>
      </c>
      <c r="AC25" s="10">
        <f t="shared" si="11"/>
        <v>5.5898879999999929E-2</v>
      </c>
      <c r="AD25" s="10">
        <f t="shared" si="12"/>
        <v>-1.4501120000000034E-2</v>
      </c>
      <c r="AE25" s="10">
        <f t="shared" si="4"/>
        <v>2.0281608657494328</v>
      </c>
      <c r="AF25" s="10">
        <f t="shared" si="4"/>
        <v>1.4515815042993623</v>
      </c>
      <c r="AG25" s="10">
        <f t="shared" si="13"/>
        <v>-0.57657936145007049</v>
      </c>
      <c r="AH25" s="10">
        <f t="shared" si="5"/>
        <v>1.969871144755543</v>
      </c>
      <c r="AI25" s="10">
        <f t="shared" si="5"/>
        <v>1.3875763453518277</v>
      </c>
      <c r="AJ25" s="10">
        <f t="shared" si="14"/>
        <v>-0.58229479940371531</v>
      </c>
      <c r="AK25" s="10">
        <f t="shared" si="6"/>
        <v>7.1701118349551951E-2</v>
      </c>
      <c r="AL25" s="10">
        <f t="shared" si="15"/>
        <v>5.7646157739436266E-2</v>
      </c>
      <c r="AM25" s="10">
        <f t="shared" si="16"/>
        <v>-1.4054960610115685E-2</v>
      </c>
      <c r="AN25" s="10">
        <f t="shared" si="17"/>
        <v>7.0400000000000018E-2</v>
      </c>
      <c r="AO25" s="10">
        <f t="shared" si="18"/>
        <v>5.5898879999999984E-2</v>
      </c>
      <c r="AP25" s="10">
        <f t="shared" si="19"/>
        <v>-1.4501120000000034E-2</v>
      </c>
    </row>
    <row r="26" spans="2:42" x14ac:dyDescent="0.45">
      <c r="B26" t="s">
        <v>63</v>
      </c>
      <c r="C26" s="9">
        <f>_xlfn.XLOOKUP(C3,G:G,AG:AG)</f>
        <v>-0.92517391599864274</v>
      </c>
      <c r="D26" s="9">
        <f>_xlfn.XLOOKUP(C3,G:G,AJ:AJ)</f>
        <v>-0.93083797409203806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10656051.997826494</v>
      </c>
      <c r="J26" s="7">
        <f t="shared" si="1"/>
        <v>7875455.2376859402</v>
      </c>
      <c r="K26" s="7">
        <f t="shared" si="1"/>
        <v>7104034.6652176632</v>
      </c>
      <c r="L26" s="7">
        <f t="shared" si="1"/>
        <v>6565157.0704136975</v>
      </c>
      <c r="M26" s="7">
        <f t="shared" si="1"/>
        <v>4400675.1701779841</v>
      </c>
      <c r="N26" s="7">
        <f t="shared" si="1"/>
        <v>3152581.3711072244</v>
      </c>
      <c r="O26" s="7">
        <f t="shared" si="1"/>
        <v>2933783.4467853229</v>
      </c>
      <c r="P26" s="7">
        <f t="shared" si="1"/>
        <v>2705122.3166932696</v>
      </c>
      <c r="Q26" s="7">
        <f t="shared" si="1"/>
        <v>4440021.6657610387</v>
      </c>
      <c r="R26" s="7">
        <f t="shared" si="1"/>
        <v>2941658.8535377732</v>
      </c>
      <c r="S26" s="7">
        <f t="shared" si="1"/>
        <v>2960014.4438406914</v>
      </c>
      <c r="T26" s="7">
        <f t="shared" si="1"/>
        <v>2735482.1126723746</v>
      </c>
      <c r="U26" s="8">
        <f t="shared" si="7"/>
        <v>32494581.389609195</v>
      </c>
      <c r="V26" s="8">
        <f t="shared" si="7"/>
        <v>25975456.962110277</v>
      </c>
      <c r="W26" s="7">
        <f t="shared" ref="W26:X41" si="20">IF($G26="","",IF($G26=1,(($C$2+$H26)*W$3)*(1+(W$4-W$5)),((W25+($H26*W$3))*(1+(W$4-W$5)))))</f>
        <v>31789500.733463328</v>
      </c>
      <c r="X26" s="7">
        <f t="shared" si="20"/>
        <v>25210391.889714874</v>
      </c>
      <c r="Y26" s="10">
        <f t="shared" si="3"/>
        <v>7.3079761288282905E-2</v>
      </c>
      <c r="Z26" s="10">
        <f t="shared" si="8"/>
        <v>5.95387881886391E-2</v>
      </c>
      <c r="AA26" s="10">
        <f t="shared" si="9"/>
        <v>-1.3540973099643805E-2</v>
      </c>
      <c r="AB26" s="10">
        <f t="shared" si="10"/>
        <v>7.039999999999999E-2</v>
      </c>
      <c r="AC26" s="10">
        <f t="shared" si="11"/>
        <v>5.5898879999999977E-2</v>
      </c>
      <c r="AD26" s="10">
        <f t="shared" si="12"/>
        <v>-1.4501120000000013E-2</v>
      </c>
      <c r="AE26" s="10">
        <f t="shared" ref="AE26:AF41" si="21">IF($G26="","",IF($G26=1,Y26,(1+Y26)*(1+AE25)-1))</f>
        <v>2.2494581389609216</v>
      </c>
      <c r="AF26" s="10">
        <f t="shared" si="21"/>
        <v>1.5975456962110273</v>
      </c>
      <c r="AG26" s="10">
        <f t="shared" si="13"/>
        <v>-0.65191244274989435</v>
      </c>
      <c r="AH26" s="10">
        <f t="shared" ref="AH26:AI41" si="22">IF($G26="","",IF($G26=1,AB26,(1+AB26)*(1+AH25)-1))</f>
        <v>2.1789500733463334</v>
      </c>
      <c r="AI26" s="10">
        <f t="shared" si="22"/>
        <v>1.5210391889714883</v>
      </c>
      <c r="AJ26" s="10">
        <f t="shared" si="14"/>
        <v>-0.65791088437484513</v>
      </c>
      <c r="AK26" s="10">
        <f t="shared" si="6"/>
        <v>7.1782165940550868E-2</v>
      </c>
      <c r="AL26" s="10">
        <f t="shared" si="15"/>
        <v>5.7757395298127845E-2</v>
      </c>
      <c r="AM26" s="10">
        <f t="shared" si="16"/>
        <v>-1.4024770642423023E-2</v>
      </c>
      <c r="AN26" s="10">
        <f t="shared" si="17"/>
        <v>7.0400000000000018E-2</v>
      </c>
      <c r="AO26" s="10">
        <f t="shared" si="18"/>
        <v>5.5898879999999984E-2</v>
      </c>
      <c r="AP26" s="10">
        <f t="shared" si="19"/>
        <v>-1.4501120000000034E-2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11508536.157652615</v>
      </c>
      <c r="J27" s="7">
        <f t="shared" si="1"/>
        <v>8355542.9889752744</v>
      </c>
      <c r="K27" s="7">
        <f t="shared" si="1"/>
        <v>7672357.4384350767</v>
      </c>
      <c r="L27" s="7">
        <f t="shared" si="1"/>
        <v>7057543.8506947244</v>
      </c>
      <c r="M27" s="7">
        <f t="shared" si="1"/>
        <v>4620708.9286868833</v>
      </c>
      <c r="N27" s="7">
        <f t="shared" si="1"/>
        <v>3245897.7796919984</v>
      </c>
      <c r="O27" s="7">
        <f t="shared" si="1"/>
        <v>3080472.619124589</v>
      </c>
      <c r="P27" s="7">
        <f t="shared" si="1"/>
        <v>2826852.8209444666</v>
      </c>
      <c r="Q27" s="7">
        <f t="shared" si="1"/>
        <v>4795223.3990219217</v>
      </c>
      <c r="R27" s="7">
        <f t="shared" si="1"/>
        <v>3100979.0970453792</v>
      </c>
      <c r="S27" s="7">
        <f t="shared" si="1"/>
        <v>3196815.5993479467</v>
      </c>
      <c r="T27" s="7">
        <f t="shared" si="1"/>
        <v>2940643.2711228025</v>
      </c>
      <c r="U27" s="8">
        <f t="shared" si="7"/>
        <v>34874114.14226903</v>
      </c>
      <c r="V27" s="8">
        <f t="shared" si="7"/>
        <v>27527459.808474645</v>
      </c>
      <c r="W27" s="7">
        <f t="shared" si="20"/>
        <v>34027481.585099146</v>
      </c>
      <c r="X27" s="7">
        <f t="shared" si="20"/>
        <v>26619624.560711019</v>
      </c>
      <c r="Y27" s="10">
        <f t="shared" si="3"/>
        <v>7.3228601536031446E-2</v>
      </c>
      <c r="Z27" s="10">
        <f t="shared" si="8"/>
        <v>5.9748817840942464E-2</v>
      </c>
      <c r="AA27" s="10">
        <f t="shared" si="9"/>
        <v>-1.3479783695088982E-2</v>
      </c>
      <c r="AB27" s="10">
        <f t="shared" si="10"/>
        <v>7.0399999999999976E-2</v>
      </c>
      <c r="AC27" s="10">
        <f t="shared" si="11"/>
        <v>5.5898879999999977E-2</v>
      </c>
      <c r="AD27" s="10">
        <f t="shared" si="12"/>
        <v>-1.4501119999999999E-2</v>
      </c>
      <c r="AE27" s="10">
        <f t="shared" si="21"/>
        <v>2.4874114142269055</v>
      </c>
      <c r="AF27" s="10">
        <f t="shared" si="21"/>
        <v>1.7527459808474641</v>
      </c>
      <c r="AG27" s="10">
        <f t="shared" si="13"/>
        <v>-0.73466543337944135</v>
      </c>
      <c r="AH27" s="10">
        <f t="shared" si="22"/>
        <v>2.4027481585099153</v>
      </c>
      <c r="AI27" s="10">
        <f t="shared" si="22"/>
        <v>1.6619624560711026</v>
      </c>
      <c r="AJ27" s="10">
        <f t="shared" si="14"/>
        <v>-0.7407857024388127</v>
      </c>
      <c r="AK27" s="10">
        <f t="shared" si="6"/>
        <v>7.1862472307108849E-2</v>
      </c>
      <c r="AL27" s="10">
        <f t="shared" si="15"/>
        <v>5.7867931644566051E-2</v>
      </c>
      <c r="AM27" s="10">
        <f t="shared" si="16"/>
        <v>-1.3994540662542798E-2</v>
      </c>
      <c r="AN27" s="10">
        <f t="shared" si="17"/>
        <v>7.0400000000000018E-2</v>
      </c>
      <c r="AO27" s="10">
        <f t="shared" si="18"/>
        <v>5.5898879999999984E-2</v>
      </c>
      <c r="AP27" s="10">
        <f t="shared" si="19"/>
        <v>-1.4501120000000034E-2</v>
      </c>
    </row>
    <row r="28" spans="2:42" x14ac:dyDescent="0.45">
      <c r="B28" t="s">
        <v>65</v>
      </c>
      <c r="C28" s="9">
        <f>_xlfn.XLOOKUP(C3,G:G,AK:AK)</f>
        <v>7.2020848968773032E-2</v>
      </c>
      <c r="D28" s="9">
        <f>_xlfn.XLOOKUP(C3,G:G,AN:AN)</f>
        <v>7.0400000000000018E-2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12429219.050264824</v>
      </c>
      <c r="J28" s="7">
        <f t="shared" si="1"/>
        <v>8864896.8895832058</v>
      </c>
      <c r="K28" s="7">
        <f t="shared" si="1"/>
        <v>8286146.0335098831</v>
      </c>
      <c r="L28" s="7">
        <f t="shared" si="1"/>
        <v>7586859.6394968284</v>
      </c>
      <c r="M28" s="7">
        <f t="shared" si="1"/>
        <v>4851744.3751212275</v>
      </c>
      <c r="N28" s="7">
        <f t="shared" si="1"/>
        <v>3341976.3539708816</v>
      </c>
      <c r="O28" s="7">
        <f t="shared" si="1"/>
        <v>3234496.2500808188</v>
      </c>
      <c r="P28" s="7">
        <f t="shared" si="1"/>
        <v>2954061.1978869676</v>
      </c>
      <c r="Q28" s="7">
        <f t="shared" si="1"/>
        <v>5178841.2709436761</v>
      </c>
      <c r="R28" s="7">
        <f t="shared" si="1"/>
        <v>3268928.1249413569</v>
      </c>
      <c r="S28" s="7">
        <f t="shared" si="1"/>
        <v>3452560.8472957825</v>
      </c>
      <c r="T28" s="7">
        <f t="shared" si="1"/>
        <v>3161191.5164570124</v>
      </c>
      <c r="U28" s="8">
        <f t="shared" si="7"/>
        <v>37433007.827216215</v>
      </c>
      <c r="V28" s="8">
        <f t="shared" si="7"/>
        <v>29177913.722336251</v>
      </c>
      <c r="W28" s="7">
        <f t="shared" si="20"/>
        <v>36423016.288690127</v>
      </c>
      <c r="X28" s="7">
        <f t="shared" si="20"/>
        <v>28107631.759675257</v>
      </c>
      <c r="Y28" s="10">
        <f t="shared" si="3"/>
        <v>7.3375159423639341E-2</v>
      </c>
      <c r="Z28" s="10">
        <f t="shared" si="8"/>
        <v>5.9956636948880225E-2</v>
      </c>
      <c r="AA28" s="10">
        <f t="shared" si="9"/>
        <v>-1.3418522474759116E-2</v>
      </c>
      <c r="AB28" s="10">
        <f t="shared" si="10"/>
        <v>7.040000000000006E-2</v>
      </c>
      <c r="AC28" s="10">
        <f t="shared" si="11"/>
        <v>5.5898880000000005E-2</v>
      </c>
      <c r="AD28" s="10">
        <f t="shared" si="12"/>
        <v>-1.4501120000000055E-2</v>
      </c>
      <c r="AE28" s="10">
        <f t="shared" si="21"/>
        <v>2.7433007827216245</v>
      </c>
      <c r="AF28" s="10">
        <f t="shared" si="21"/>
        <v>1.9177913722336246</v>
      </c>
      <c r="AG28" s="10">
        <f t="shared" si="13"/>
        <v>-0.82550941048799986</v>
      </c>
      <c r="AH28" s="10">
        <f t="shared" si="22"/>
        <v>2.6423016288690135</v>
      </c>
      <c r="AI28" s="10">
        <f t="shared" si="22"/>
        <v>1.8107631759675265</v>
      </c>
      <c r="AJ28" s="10">
        <f t="shared" si="14"/>
        <v>-0.83153845290148709</v>
      </c>
      <c r="AK28" s="10">
        <f t="shared" si="6"/>
        <v>7.1942034244810493E-2</v>
      </c>
      <c r="AL28" s="10">
        <f t="shared" si="15"/>
        <v>5.7977760818864743E-2</v>
      </c>
      <c r="AM28" s="10">
        <f t="shared" si="16"/>
        <v>-1.396427342594575E-2</v>
      </c>
      <c r="AN28" s="10">
        <f t="shared" si="17"/>
        <v>7.0400000000000018E-2</v>
      </c>
      <c r="AO28" s="10">
        <f t="shared" si="18"/>
        <v>5.5898879999999984E-2</v>
      </c>
      <c r="AP28" s="10">
        <f t="shared" si="19"/>
        <v>-1.4501120000000034E-2</v>
      </c>
    </row>
    <row r="29" spans="2:42" x14ac:dyDescent="0.45">
      <c r="B29" t="s">
        <v>66</v>
      </c>
      <c r="C29" s="9">
        <f>_xlfn.XLOOKUP(C3,G:G,AL:AL)</f>
        <v>5.808687729262263E-2</v>
      </c>
      <c r="D29" s="9">
        <f>_xlfn.XLOOKUP(C3,G:G,AO:AO)</f>
        <v>5.5898879999999984E-2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13423556.57428601</v>
      </c>
      <c r="J29" s="7">
        <f t="shared" si="1"/>
        <v>9405301.003972197</v>
      </c>
      <c r="K29" s="7">
        <f t="shared" si="1"/>
        <v>8949037.7161906734</v>
      </c>
      <c r="L29" s="7">
        <f t="shared" si="1"/>
        <v>8155874.1124590905</v>
      </c>
      <c r="M29" s="7">
        <f t="shared" si="1"/>
        <v>5094331.5938772894</v>
      </c>
      <c r="N29" s="7">
        <f t="shared" si="1"/>
        <v>3440898.8540484197</v>
      </c>
      <c r="O29" s="7">
        <f t="shared" si="1"/>
        <v>3396221.0625848598</v>
      </c>
      <c r="P29" s="7">
        <f t="shared" si="1"/>
        <v>3086993.9517918811</v>
      </c>
      <c r="Q29" s="7">
        <f t="shared" si="1"/>
        <v>5593148.5726191709</v>
      </c>
      <c r="R29" s="7">
        <f t="shared" si="1"/>
        <v>3445973.2721881806</v>
      </c>
      <c r="S29" s="7">
        <f t="shared" si="1"/>
        <v>3728765.7150794454</v>
      </c>
      <c r="T29" s="7">
        <f t="shared" si="1"/>
        <v>3398280.880191288</v>
      </c>
      <c r="U29" s="8">
        <f t="shared" si="7"/>
        <v>40185061.234637454</v>
      </c>
      <c r="V29" s="8">
        <f t="shared" si="7"/>
        <v>30933322.074651059</v>
      </c>
      <c r="W29" s="7">
        <f t="shared" si="20"/>
        <v>38987196.635413915</v>
      </c>
      <c r="X29" s="7">
        <f t="shared" si="20"/>
        <v>29678816.894493531</v>
      </c>
      <c r="Y29" s="10">
        <f t="shared" si="3"/>
        <v>7.3519430234519331E-2</v>
      </c>
      <c r="Z29" s="10">
        <f t="shared" si="8"/>
        <v>6.0162229863988143E-2</v>
      </c>
      <c r="AA29" s="10">
        <f t="shared" si="9"/>
        <v>-1.3357200370531189E-2</v>
      </c>
      <c r="AB29" s="10">
        <f t="shared" si="10"/>
        <v>7.0400000000000074E-2</v>
      </c>
      <c r="AC29" s="10">
        <f t="shared" si="11"/>
        <v>5.5898879999999949E-2</v>
      </c>
      <c r="AD29" s="10">
        <f t="shared" si="12"/>
        <v>-1.4501120000000124E-2</v>
      </c>
      <c r="AE29" s="10">
        <f t="shared" si="21"/>
        <v>3.018506123463748</v>
      </c>
      <c r="AF29" s="10">
        <f t="shared" si="21"/>
        <v>2.0933322074651053</v>
      </c>
      <c r="AG29" s="10">
        <f t="shared" si="13"/>
        <v>-0.92517391599864274</v>
      </c>
      <c r="AH29" s="10">
        <f t="shared" si="22"/>
        <v>2.8987196635413923</v>
      </c>
      <c r="AI29" s="10">
        <f t="shared" si="22"/>
        <v>1.9678816894493543</v>
      </c>
      <c r="AJ29" s="10">
        <f t="shared" si="14"/>
        <v>-0.93083797409203806</v>
      </c>
      <c r="AK29" s="10">
        <f t="shared" si="6"/>
        <v>7.2020848968773032E-2</v>
      </c>
      <c r="AL29" s="10">
        <f t="shared" si="15"/>
        <v>5.808687729262263E-2</v>
      </c>
      <c r="AM29" s="10">
        <f t="shared" si="16"/>
        <v>-1.3933971676150403E-2</v>
      </c>
      <c r="AN29" s="10">
        <f t="shared" si="17"/>
        <v>7.0400000000000018E-2</v>
      </c>
      <c r="AO29" s="10">
        <f t="shared" si="18"/>
        <v>5.5898879999999984E-2</v>
      </c>
      <c r="AP29" s="10">
        <f t="shared" si="19"/>
        <v>-1.4501120000000034E-2</v>
      </c>
    </row>
    <row r="30" spans="2:42" x14ac:dyDescent="0.45">
      <c r="B30" t="s">
        <v>67</v>
      </c>
      <c r="C30" s="9">
        <f>_xlfn.XLOOKUP(C3,G:G,AM:AM)</f>
        <v>-1.3933971676150403E-2</v>
      </c>
      <c r="D30" s="9">
        <f>_xlfn.XLOOKUP(C3,G:G,AP:AP)</f>
        <v>-1.4501120000000034E-2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1" priority="1" operator="equal">
      <formula>"Error"</formula>
    </cfRule>
    <cfRule type="cellIs" dxfId="0" priority="2" operator="equal">
      <formula>"GOOD"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FBEC-E23C-49EB-BEE3-AB0FB4486B7C}">
  <dimension ref="A1:B1"/>
  <sheetViews>
    <sheetView workbookViewId="0">
      <selection activeCell="D34" sqref="D34"/>
    </sheetView>
  </sheetViews>
  <sheetFormatPr defaultRowHeight="14.25" x14ac:dyDescent="0.45"/>
  <cols>
    <col min="2" max="2" width="9.6640625" bestFit="1" customWidth="1"/>
  </cols>
  <sheetData>
    <row r="1" spans="1:2" x14ac:dyDescent="0.45">
      <c r="A1" t="s">
        <v>95</v>
      </c>
      <c r="B1" s="5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Diagram</vt:lpstr>
      <vt:lpstr>Log-in</vt:lpstr>
      <vt:lpstr>Suitability</vt:lpstr>
      <vt:lpstr>Return Simulator</vt:lpstr>
      <vt:lpstr>Carrier Portal</vt:lpstr>
      <vt:lpstr>Education Portal</vt:lpstr>
      <vt:lpstr>Service Providers</vt:lpstr>
      <vt:lpstr>Policy Execution</vt:lpstr>
      <vt:lpstr>Portal-Widget</vt:lpstr>
      <vt:lpstr>Chart Feeder &gt;</vt:lpstr>
      <vt:lpstr>WA PIVOT</vt:lpstr>
      <vt:lpstr>WA</vt:lpstr>
      <vt:lpstr>Rank</vt:lpstr>
      <vt:lpstr>Strategy Feeder &gt;</vt:lpstr>
      <vt:lpstr>1</vt:lpstr>
      <vt:lpstr>2</vt:lpstr>
      <vt:lpstr>3</vt:lpstr>
      <vt:lpstr>4</vt:lpstr>
      <vt:lpstr>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Rickman</dc:creator>
  <cp:lastModifiedBy>Corey Rickman</cp:lastModifiedBy>
  <dcterms:created xsi:type="dcterms:W3CDTF">2025-10-27T20:46:51Z</dcterms:created>
  <dcterms:modified xsi:type="dcterms:W3CDTF">2025-11-10T17:26:00Z</dcterms:modified>
</cp:coreProperties>
</file>